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A_IC_design_training\verification\RTL-Verification-Workshop\fpmul\"/>
    </mc:Choice>
  </mc:AlternateContent>
  <xr:revisionPtr revIDLastSave="0" documentId="13_ncr:1_{323848EA-B7B5-4BF4-922E-46E4D1C1AE09}" xr6:coauthVersionLast="47" xr6:coauthVersionMax="47" xr10:uidLastSave="{00000000-0000-0000-0000-000000000000}"/>
  <bookViews>
    <workbookView xWindow="-120" yWindow="-120" windowWidth="29040" windowHeight="15720" activeTab="1" xr2:uid="{FFE21AE7-1962-4AA8-AF8A-1CAF0D5AC87E}"/>
  </bookViews>
  <sheets>
    <sheet name="Overall" sheetId="1" r:id="rId1"/>
    <sheet name="Testc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2" l="1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4" i="2"/>
  <c r="N5" i="2"/>
  <c r="Q5" i="2" s="1"/>
  <c r="N6" i="2"/>
  <c r="Q6" i="2" s="1"/>
  <c r="O6" i="2"/>
  <c r="R6" i="2" s="1"/>
  <c r="P6" i="2"/>
  <c r="N7" i="2"/>
  <c r="Q7" i="2" s="1"/>
  <c r="P7" i="2"/>
  <c r="O8" i="2"/>
  <c r="R8" i="2" s="1"/>
  <c r="N8" i="2"/>
  <c r="Q8" i="2" s="1"/>
  <c r="N9" i="2"/>
  <c r="Q9" i="2" s="1"/>
  <c r="N10" i="2"/>
  <c r="Q10" i="2" s="1"/>
  <c r="O10" i="2"/>
  <c r="R10" i="2" s="1"/>
  <c r="P10" i="2"/>
  <c r="N11" i="2"/>
  <c r="Q11" i="2" s="1"/>
  <c r="P11" i="2"/>
  <c r="O12" i="2"/>
  <c r="R12" i="2" s="1"/>
  <c r="N12" i="2"/>
  <c r="Q12" i="2" s="1"/>
  <c r="N13" i="2"/>
  <c r="Q13" i="2" s="1"/>
  <c r="N14" i="2"/>
  <c r="Q14" i="2" s="1"/>
  <c r="O14" i="2"/>
  <c r="R14" i="2" s="1"/>
  <c r="P14" i="2"/>
  <c r="N15" i="2"/>
  <c r="Q15" i="2" s="1"/>
  <c r="P15" i="2"/>
  <c r="O16" i="2"/>
  <c r="R16" i="2" s="1"/>
  <c r="N16" i="2"/>
  <c r="Q16" i="2" s="1"/>
  <c r="N17" i="2"/>
  <c r="Q17" i="2" s="1"/>
  <c r="N18" i="2"/>
  <c r="Q18" i="2" s="1"/>
  <c r="O18" i="2"/>
  <c r="R18" i="2" s="1"/>
  <c r="P18" i="2"/>
  <c r="N19" i="2"/>
  <c r="Q19" i="2" s="1"/>
  <c r="P19" i="2"/>
  <c r="O20" i="2"/>
  <c r="R20" i="2" s="1"/>
  <c r="N20" i="2"/>
  <c r="Q20" i="2" s="1"/>
  <c r="N21" i="2"/>
  <c r="Q21" i="2" s="1"/>
  <c r="N22" i="2"/>
  <c r="Q22" i="2" s="1"/>
  <c r="O22" i="2"/>
  <c r="R22" i="2" s="1"/>
  <c r="P22" i="2"/>
  <c r="N23" i="2"/>
  <c r="Q23" i="2" s="1"/>
  <c r="P23" i="2"/>
  <c r="O24" i="2"/>
  <c r="R24" i="2" s="1"/>
  <c r="N24" i="2"/>
  <c r="Q24" i="2" s="1"/>
  <c r="N25" i="2"/>
  <c r="Q25" i="2" s="1"/>
  <c r="N26" i="2"/>
  <c r="Q26" i="2" s="1"/>
  <c r="O26" i="2"/>
  <c r="R26" i="2" s="1"/>
  <c r="P26" i="2"/>
  <c r="N27" i="2"/>
  <c r="Q27" i="2" s="1"/>
  <c r="P27" i="2"/>
  <c r="O28" i="2"/>
  <c r="R28" i="2" s="1"/>
  <c r="N28" i="2"/>
  <c r="Q28" i="2" s="1"/>
  <c r="N29" i="2"/>
  <c r="Q29" i="2" s="1"/>
  <c r="N30" i="2"/>
  <c r="Q30" i="2" s="1"/>
  <c r="O30" i="2"/>
  <c r="P30" i="2"/>
  <c r="R30" i="2"/>
  <c r="N31" i="2"/>
  <c r="Q31" i="2" s="1"/>
  <c r="P31" i="2"/>
  <c r="O32" i="2"/>
  <c r="R32" i="2" s="1"/>
  <c r="N32" i="2"/>
  <c r="Q32" i="2" s="1"/>
  <c r="N33" i="2"/>
  <c r="Q33" i="2" s="1"/>
  <c r="N34" i="2"/>
  <c r="Q34" i="2" s="1"/>
  <c r="O34" i="2"/>
  <c r="R34" i="2" s="1"/>
  <c r="P34" i="2"/>
  <c r="P35" i="2"/>
  <c r="O36" i="2"/>
  <c r="R36" i="2" s="1"/>
  <c r="N36" i="2"/>
  <c r="Q36" i="2" s="1"/>
  <c r="N37" i="2"/>
  <c r="Q37" i="2" s="1"/>
  <c r="N38" i="2"/>
  <c r="Q38" i="2" s="1"/>
  <c r="O38" i="2"/>
  <c r="R38" i="2" s="1"/>
  <c r="P38" i="2"/>
  <c r="N39" i="2"/>
  <c r="Q39" i="2" s="1"/>
  <c r="O39" i="2"/>
  <c r="R39" i="2" s="1"/>
  <c r="N40" i="2"/>
  <c r="Q40" i="2" s="1"/>
  <c r="N41" i="2"/>
  <c r="Q41" i="2" s="1"/>
  <c r="N42" i="2"/>
  <c r="Q42" i="2" s="1"/>
  <c r="O42" i="2"/>
  <c r="R42" i="2" s="1"/>
  <c r="P42" i="2"/>
  <c r="N43" i="2"/>
  <c r="Q43" i="2" s="1"/>
  <c r="O43" i="2"/>
  <c r="R43" i="2" s="1"/>
  <c r="P43" i="2"/>
  <c r="N46" i="2"/>
  <c r="Q46" i="2" s="1"/>
  <c r="O46" i="2"/>
  <c r="R46" i="2" s="1"/>
  <c r="P46" i="2"/>
  <c r="N47" i="2"/>
  <c r="Q47" i="2" s="1"/>
  <c r="O47" i="2"/>
  <c r="R47" i="2" s="1"/>
  <c r="P47" i="2"/>
  <c r="P48" i="2"/>
  <c r="N48" i="2"/>
  <c r="Q48" i="2" s="1"/>
  <c r="O48" i="2"/>
  <c r="R48" i="2" s="1"/>
  <c r="N50" i="2"/>
  <c r="Q50" i="2" s="1"/>
  <c r="O50" i="2"/>
  <c r="R50" i="2" s="1"/>
  <c r="P50" i="2"/>
  <c r="N51" i="2"/>
  <c r="Q51" i="2" s="1"/>
  <c r="O51" i="2"/>
  <c r="R51" i="2" s="1"/>
  <c r="P52" i="2"/>
  <c r="N52" i="2"/>
  <c r="Q52" i="2" s="1"/>
  <c r="O52" i="2"/>
  <c r="R52" i="2" s="1"/>
  <c r="N54" i="2"/>
  <c r="Q54" i="2" s="1"/>
  <c r="O54" i="2"/>
  <c r="R54" i="2" s="1"/>
  <c r="P54" i="2"/>
  <c r="P55" i="2"/>
  <c r="O55" i="2"/>
  <c r="R55" i="2" s="1"/>
  <c r="P56" i="2"/>
  <c r="N58" i="2"/>
  <c r="Q58" i="2" s="1"/>
  <c r="O58" i="2"/>
  <c r="R58" i="2" s="1"/>
  <c r="P58" i="2"/>
  <c r="O59" i="2"/>
  <c r="R59" i="2" s="1"/>
  <c r="N59" i="2"/>
  <c r="P59" i="2"/>
  <c r="Q59" i="2"/>
  <c r="P60" i="2"/>
  <c r="N60" i="2"/>
  <c r="Q60" i="2" s="1"/>
  <c r="O61" i="2"/>
  <c r="R61" i="2" s="1"/>
  <c r="O63" i="2"/>
  <c r="R63" i="2" s="1"/>
  <c r="N63" i="2"/>
  <c r="Q63" i="2" s="1"/>
  <c r="P64" i="2"/>
  <c r="N64" i="2"/>
  <c r="Q64" i="2" s="1"/>
  <c r="O65" i="2"/>
  <c r="R65" i="2" s="1"/>
  <c r="N66" i="2"/>
  <c r="Q66" i="2" s="1"/>
  <c r="O66" i="2"/>
  <c r="R66" i="2" s="1"/>
  <c r="P66" i="2"/>
  <c r="N67" i="2"/>
  <c r="Q67" i="2" s="1"/>
  <c r="P67" i="2"/>
  <c r="P68" i="2"/>
  <c r="O69" i="2"/>
  <c r="R69" i="2" s="1"/>
  <c r="N70" i="2"/>
  <c r="Q70" i="2" s="1"/>
  <c r="O70" i="2"/>
  <c r="R70" i="2" s="1"/>
  <c r="P70" i="2"/>
  <c r="N71" i="2"/>
  <c r="Q71" i="2" s="1"/>
  <c r="O71" i="2"/>
  <c r="R71" i="2" s="1"/>
  <c r="P71" i="2"/>
  <c r="P72" i="2"/>
  <c r="N72" i="2"/>
  <c r="Q72" i="2" s="1"/>
  <c r="O72" i="2"/>
  <c r="R72" i="2" s="1"/>
  <c r="N73" i="2"/>
  <c r="Q73" i="2" s="1"/>
  <c r="O73" i="2"/>
  <c r="R73" i="2" s="1"/>
  <c r="P73" i="2"/>
  <c r="N74" i="2"/>
  <c r="Q74" i="2" s="1"/>
  <c r="P74" i="2"/>
  <c r="O75" i="2"/>
  <c r="R75" i="2" s="1"/>
  <c r="N75" i="2"/>
  <c r="Q75" i="2" s="1"/>
  <c r="N76" i="2"/>
  <c r="O76" i="2"/>
  <c r="R76" i="2" s="1"/>
  <c r="P76" i="2"/>
  <c r="Q76" i="2"/>
  <c r="N77" i="2"/>
  <c r="Q77" i="2" s="1"/>
  <c r="O77" i="2"/>
  <c r="R77" i="2" s="1"/>
  <c r="P77" i="2"/>
  <c r="N78" i="2"/>
  <c r="Q78" i="2" s="1"/>
  <c r="P78" i="2"/>
  <c r="O79" i="2"/>
  <c r="R79" i="2" s="1"/>
  <c r="N79" i="2"/>
  <c r="Q79" i="2" s="1"/>
  <c r="N80" i="2"/>
  <c r="Q80" i="2" s="1"/>
  <c r="O80" i="2"/>
  <c r="R80" i="2" s="1"/>
  <c r="P80" i="2"/>
  <c r="N81" i="2"/>
  <c r="O81" i="2"/>
  <c r="R81" i="2" s="1"/>
  <c r="P81" i="2"/>
  <c r="Q81" i="2"/>
  <c r="N82" i="2"/>
  <c r="Q82" i="2" s="1"/>
  <c r="P82" i="2"/>
  <c r="O83" i="2"/>
  <c r="R83" i="2" s="1"/>
  <c r="N83" i="2"/>
  <c r="Q83" i="2" s="1"/>
  <c r="N84" i="2"/>
  <c r="Q84" i="2" s="1"/>
  <c r="O84" i="2"/>
  <c r="R84" i="2" s="1"/>
  <c r="P84" i="2"/>
  <c r="N85" i="2"/>
  <c r="Q85" i="2" s="1"/>
  <c r="O85" i="2"/>
  <c r="R85" i="2" s="1"/>
  <c r="P85" i="2"/>
  <c r="N86" i="2"/>
  <c r="Q86" i="2" s="1"/>
  <c r="P86" i="2"/>
  <c r="O87" i="2"/>
  <c r="R87" i="2" s="1"/>
  <c r="N87" i="2"/>
  <c r="Q87" i="2" s="1"/>
  <c r="N88" i="2"/>
  <c r="Q88" i="2" s="1"/>
  <c r="O88" i="2"/>
  <c r="R88" i="2" s="1"/>
  <c r="P88" i="2"/>
  <c r="N89" i="2"/>
  <c r="Q89" i="2" s="1"/>
  <c r="O89" i="2"/>
  <c r="R89" i="2" s="1"/>
  <c r="P89" i="2"/>
  <c r="P90" i="2"/>
  <c r="O91" i="2"/>
  <c r="R91" i="2" s="1"/>
  <c r="N91" i="2"/>
  <c r="Q91" i="2" s="1"/>
  <c r="N92" i="2"/>
  <c r="Q92" i="2" s="1"/>
  <c r="O92" i="2"/>
  <c r="R92" i="2" s="1"/>
  <c r="P92" i="2"/>
  <c r="N93" i="2"/>
  <c r="Q93" i="2" s="1"/>
  <c r="O93" i="2"/>
  <c r="P93" i="2"/>
  <c r="R93" i="2"/>
  <c r="P94" i="2"/>
  <c r="O95" i="2"/>
  <c r="R95" i="2" s="1"/>
  <c r="N95" i="2"/>
  <c r="Q95" i="2" s="1"/>
  <c r="N96" i="2"/>
  <c r="Q96" i="2" s="1"/>
  <c r="O96" i="2"/>
  <c r="R96" i="2" s="1"/>
  <c r="P96" i="2"/>
  <c r="N97" i="2"/>
  <c r="Q97" i="2" s="1"/>
  <c r="O97" i="2"/>
  <c r="R97" i="2" s="1"/>
  <c r="P97" i="2"/>
  <c r="O98" i="2"/>
  <c r="R98" i="2" s="1"/>
  <c r="N98" i="2"/>
  <c r="Q98" i="2" s="1"/>
  <c r="O99" i="2"/>
  <c r="R99" i="2" s="1"/>
  <c r="N99" i="2"/>
  <c r="Q99" i="2" s="1"/>
  <c r="N100" i="2"/>
  <c r="Q100" i="2" s="1"/>
  <c r="O100" i="2"/>
  <c r="P100" i="2"/>
  <c r="R100" i="2"/>
  <c r="N101" i="2"/>
  <c r="Q101" i="2" s="1"/>
  <c r="O101" i="2"/>
  <c r="R101" i="2" s="1"/>
  <c r="P101" i="2"/>
  <c r="O103" i="2"/>
  <c r="R103" i="2" s="1"/>
  <c r="N103" i="2"/>
  <c r="Q103" i="2" s="1"/>
  <c r="N104" i="2"/>
  <c r="Q104" i="2" s="1"/>
  <c r="O104" i="2"/>
  <c r="R104" i="2" s="1"/>
  <c r="P104" i="2"/>
  <c r="N105" i="2"/>
  <c r="Q105" i="2" s="1"/>
  <c r="O105" i="2"/>
  <c r="P105" i="2"/>
  <c r="R105" i="2"/>
  <c r="O106" i="2"/>
  <c r="R106" i="2" s="1"/>
  <c r="N106" i="2"/>
  <c r="Q106" i="2" s="1"/>
  <c r="N107" i="2"/>
  <c r="Q107" i="2" s="1"/>
  <c r="N108" i="2"/>
  <c r="Q108" i="2" s="1"/>
  <c r="O108" i="2"/>
  <c r="R108" i="2" s="1"/>
  <c r="P108" i="2"/>
  <c r="N109" i="2"/>
  <c r="O109" i="2"/>
  <c r="P109" i="2"/>
  <c r="Q109" i="2"/>
  <c r="R109" i="2"/>
  <c r="O110" i="2"/>
  <c r="R110" i="2" s="1"/>
  <c r="N110" i="2"/>
  <c r="Q110" i="2" s="1"/>
  <c r="P110" i="2"/>
  <c r="N111" i="2"/>
  <c r="Q111" i="2" s="1"/>
  <c r="N112" i="2"/>
  <c r="O112" i="2"/>
  <c r="R112" i="2" s="1"/>
  <c r="P112" i="2"/>
  <c r="Q112" i="2"/>
  <c r="N113" i="2"/>
  <c r="Q113" i="2" s="1"/>
  <c r="O113" i="2"/>
  <c r="R113" i="2" s="1"/>
  <c r="P113" i="2"/>
  <c r="O114" i="2"/>
  <c r="R114" i="2" s="1"/>
  <c r="N114" i="2"/>
  <c r="Q114" i="2" s="1"/>
  <c r="N115" i="2"/>
  <c r="Q115" i="2" s="1"/>
  <c r="N116" i="2"/>
  <c r="Q116" i="2" s="1"/>
  <c r="O116" i="2"/>
  <c r="R116" i="2" s="1"/>
  <c r="P116" i="2"/>
  <c r="N117" i="2"/>
  <c r="Q117" i="2" s="1"/>
  <c r="O117" i="2"/>
  <c r="R117" i="2" s="1"/>
  <c r="P117" i="2"/>
  <c r="O118" i="2"/>
  <c r="R118" i="2" s="1"/>
  <c r="N118" i="2"/>
  <c r="Q118" i="2" s="1"/>
  <c r="P118" i="2"/>
  <c r="N120" i="2"/>
  <c r="Q120" i="2" s="1"/>
  <c r="O120" i="2"/>
  <c r="R120" i="2" s="1"/>
  <c r="P120" i="2"/>
  <c r="N121" i="2"/>
  <c r="Q121" i="2" s="1"/>
  <c r="O121" i="2"/>
  <c r="R121" i="2" s="1"/>
  <c r="P121" i="2"/>
  <c r="P122" i="2"/>
  <c r="N122" i="2"/>
  <c r="Q122" i="2" s="1"/>
  <c r="O122" i="2"/>
  <c r="R122" i="2" s="1"/>
  <c r="N123" i="2"/>
  <c r="Q123" i="2" s="1"/>
  <c r="N124" i="2"/>
  <c r="Q124" i="2" s="1"/>
  <c r="O124" i="2"/>
  <c r="R124" i="2" s="1"/>
  <c r="P124" i="2"/>
  <c r="N125" i="2"/>
  <c r="Q125" i="2" s="1"/>
  <c r="P125" i="2"/>
  <c r="P126" i="2"/>
  <c r="N126" i="2"/>
  <c r="Q126" i="2" s="1"/>
  <c r="O126" i="2"/>
  <c r="R126" i="2" s="1"/>
  <c r="O127" i="2"/>
  <c r="R127" i="2" s="1"/>
  <c r="N127" i="2"/>
  <c r="Q127" i="2" s="1"/>
  <c r="N128" i="2"/>
  <c r="Q128" i="2" s="1"/>
  <c r="O128" i="2"/>
  <c r="R128" i="2" s="1"/>
  <c r="P128" i="2"/>
  <c r="O129" i="2"/>
  <c r="R129" i="2" s="1"/>
  <c r="N129" i="2"/>
  <c r="Q129" i="2" s="1"/>
  <c r="P129" i="2"/>
  <c r="N130" i="2"/>
  <c r="Q130" i="2" s="1"/>
  <c r="O130" i="2"/>
  <c r="R130" i="2" s="1"/>
  <c r="P130" i="2"/>
  <c r="N131" i="2"/>
  <c r="Q131" i="2" s="1"/>
  <c r="P131" i="2"/>
  <c r="O132" i="2"/>
  <c r="R132" i="2" s="1"/>
  <c r="N132" i="2"/>
  <c r="Q132" i="2" s="1"/>
  <c r="O133" i="2"/>
  <c r="R133" i="2" s="1"/>
  <c r="N133" i="2"/>
  <c r="Q133" i="2" s="1"/>
  <c r="P133" i="2"/>
  <c r="N134" i="2"/>
  <c r="Q134" i="2" s="1"/>
  <c r="O134" i="2"/>
  <c r="R134" i="2" s="1"/>
  <c r="P134" i="2"/>
  <c r="N135" i="2"/>
  <c r="Q135" i="2" s="1"/>
  <c r="P135" i="2"/>
  <c r="O136" i="2"/>
  <c r="R136" i="2" s="1"/>
  <c r="N136" i="2"/>
  <c r="Q136" i="2" s="1"/>
  <c r="O137" i="2"/>
  <c r="R137" i="2" s="1"/>
  <c r="N137" i="2"/>
  <c r="Q137" i="2" s="1"/>
  <c r="P137" i="2"/>
  <c r="N138" i="2"/>
  <c r="Q138" i="2" s="1"/>
  <c r="O138" i="2"/>
  <c r="R138" i="2" s="1"/>
  <c r="P138" i="2"/>
  <c r="N139" i="2"/>
  <c r="Q139" i="2" s="1"/>
  <c r="P139" i="2"/>
  <c r="O140" i="2"/>
  <c r="R140" i="2" s="1"/>
  <c r="N140" i="2"/>
  <c r="Q140" i="2" s="1"/>
  <c r="O141" i="2"/>
  <c r="R141" i="2" s="1"/>
  <c r="N141" i="2"/>
  <c r="Q141" i="2" s="1"/>
  <c r="P141" i="2"/>
  <c r="N142" i="2"/>
  <c r="Q142" i="2" s="1"/>
  <c r="O142" i="2"/>
  <c r="R142" i="2" s="1"/>
  <c r="P142" i="2"/>
  <c r="P143" i="2"/>
  <c r="O144" i="2"/>
  <c r="R144" i="2" s="1"/>
  <c r="N144" i="2"/>
  <c r="Q144" i="2" s="1"/>
  <c r="O145" i="2"/>
  <c r="R145" i="2" s="1"/>
  <c r="N145" i="2"/>
  <c r="Q145" i="2" s="1"/>
  <c r="P145" i="2"/>
  <c r="N146" i="2"/>
  <c r="Q146" i="2" s="1"/>
  <c r="O146" i="2"/>
  <c r="P146" i="2"/>
  <c r="R146" i="2"/>
  <c r="O148" i="2"/>
  <c r="R148" i="2" s="1"/>
  <c r="N148" i="2"/>
  <c r="Q148" i="2" s="1"/>
  <c r="O149" i="2"/>
  <c r="R149" i="2" s="1"/>
  <c r="N149" i="2"/>
  <c r="Q149" i="2" s="1"/>
  <c r="P149" i="2"/>
  <c r="N150" i="2"/>
  <c r="Q150" i="2" s="1"/>
  <c r="O150" i="2"/>
  <c r="R150" i="2" s="1"/>
  <c r="P150" i="2"/>
  <c r="P151" i="2"/>
  <c r="O152" i="2"/>
  <c r="R152" i="2" s="1"/>
  <c r="N152" i="2"/>
  <c r="Q152" i="2" s="1"/>
  <c r="O153" i="2"/>
  <c r="R153" i="2" s="1"/>
  <c r="N153" i="2"/>
  <c r="Q153" i="2" s="1"/>
  <c r="P153" i="2"/>
  <c r="N154" i="2"/>
  <c r="Q154" i="2" s="1"/>
  <c r="O154" i="2"/>
  <c r="R154" i="2" s="1"/>
  <c r="P154" i="2"/>
  <c r="N155" i="2"/>
  <c r="Q155" i="2" s="1"/>
  <c r="O155" i="2"/>
  <c r="R155" i="2" s="1"/>
  <c r="P155" i="2"/>
  <c r="N156" i="2"/>
  <c r="Q156" i="2" s="1"/>
  <c r="O157" i="2"/>
  <c r="R157" i="2" s="1"/>
  <c r="N157" i="2"/>
  <c r="Q157" i="2" s="1"/>
  <c r="P157" i="2"/>
  <c r="N158" i="2"/>
  <c r="Q158" i="2" s="1"/>
  <c r="O158" i="2"/>
  <c r="R158" i="2" s="1"/>
  <c r="P158" i="2"/>
  <c r="N159" i="2"/>
  <c r="Q159" i="2" s="1"/>
  <c r="O159" i="2"/>
  <c r="R159" i="2" s="1"/>
  <c r="P159" i="2"/>
  <c r="N160" i="2"/>
  <c r="Q160" i="2" s="1"/>
  <c r="O161" i="2"/>
  <c r="R161" i="2" s="1"/>
  <c r="N161" i="2"/>
  <c r="Q161" i="2" s="1"/>
  <c r="P161" i="2"/>
  <c r="N162" i="2"/>
  <c r="Q162" i="2" s="1"/>
  <c r="O162" i="2"/>
  <c r="P162" i="2"/>
  <c r="R162" i="2"/>
  <c r="N163" i="2"/>
  <c r="Q163" i="2" s="1"/>
  <c r="O163" i="2"/>
  <c r="R163" i="2" s="1"/>
  <c r="P163" i="2"/>
  <c r="N164" i="2"/>
  <c r="Q164" i="2" s="1"/>
  <c r="O165" i="2"/>
  <c r="R165" i="2" s="1"/>
  <c r="N165" i="2"/>
  <c r="P165" i="2"/>
  <c r="Q165" i="2"/>
  <c r="N166" i="2"/>
  <c r="Q166" i="2" s="1"/>
  <c r="O166" i="2"/>
  <c r="R166" i="2" s="1"/>
  <c r="P166" i="2"/>
  <c r="P167" i="2"/>
  <c r="O167" i="2"/>
  <c r="R167" i="2" s="1"/>
  <c r="N168" i="2"/>
  <c r="Q168" i="2" s="1"/>
  <c r="O169" i="2"/>
  <c r="R169" i="2" s="1"/>
  <c r="N169" i="2"/>
  <c r="Q169" i="2" s="1"/>
  <c r="P169" i="2"/>
  <c r="N170" i="2"/>
  <c r="Q170" i="2" s="1"/>
  <c r="O170" i="2"/>
  <c r="R170" i="2" s="1"/>
  <c r="P170" i="2"/>
  <c r="N171" i="2"/>
  <c r="Q171" i="2" s="1"/>
  <c r="O171" i="2"/>
  <c r="R171" i="2" s="1"/>
  <c r="P171" i="2"/>
  <c r="N172" i="2"/>
  <c r="Q172" i="2" s="1"/>
  <c r="O173" i="2"/>
  <c r="R173" i="2" s="1"/>
  <c r="N173" i="2"/>
  <c r="Q173" i="2" s="1"/>
  <c r="P173" i="2"/>
  <c r="N174" i="2"/>
  <c r="Q174" i="2" s="1"/>
  <c r="O174" i="2"/>
  <c r="R174" i="2" s="1"/>
  <c r="P174" i="2"/>
  <c r="O177" i="2"/>
  <c r="R177" i="2" s="1"/>
  <c r="N177" i="2"/>
  <c r="Q177" i="2" s="1"/>
  <c r="P177" i="2"/>
  <c r="N178" i="2"/>
  <c r="Q178" i="2" s="1"/>
  <c r="O178" i="2"/>
  <c r="R178" i="2" s="1"/>
  <c r="P178" i="2"/>
  <c r="O181" i="2"/>
  <c r="R181" i="2" s="1"/>
  <c r="N181" i="2"/>
  <c r="Q181" i="2" s="1"/>
  <c r="P181" i="2"/>
  <c r="N182" i="2"/>
  <c r="Q182" i="2" s="1"/>
  <c r="O182" i="2"/>
  <c r="R182" i="2" s="1"/>
  <c r="P182" i="2"/>
  <c r="O185" i="2"/>
  <c r="R185" i="2" s="1"/>
  <c r="N185" i="2"/>
  <c r="Q185" i="2" s="1"/>
  <c r="P185" i="2"/>
  <c r="N186" i="2"/>
  <c r="Q186" i="2" s="1"/>
  <c r="O186" i="2"/>
  <c r="R186" i="2" s="1"/>
  <c r="P186" i="2"/>
  <c r="N189" i="2"/>
  <c r="Q189" i="2" s="1"/>
  <c r="O189" i="2"/>
  <c r="R189" i="2" s="1"/>
  <c r="P189" i="2"/>
  <c r="P190" i="2"/>
  <c r="N190" i="2"/>
  <c r="Q190" i="2" s="1"/>
  <c r="O190" i="2"/>
  <c r="R190" i="2" s="1"/>
  <c r="P191" i="2"/>
  <c r="O191" i="2"/>
  <c r="R191" i="2" s="1"/>
  <c r="N193" i="2"/>
  <c r="Q193" i="2" s="1"/>
  <c r="O193" i="2"/>
  <c r="R193" i="2" s="1"/>
  <c r="P193" i="2"/>
  <c r="P194" i="2"/>
  <c r="N194" i="2"/>
  <c r="Q194" i="2" s="1"/>
  <c r="O194" i="2"/>
  <c r="R194" i="2" s="1"/>
  <c r="P195" i="2"/>
  <c r="O195" i="2"/>
  <c r="R195" i="2" s="1"/>
  <c r="N197" i="2"/>
  <c r="Q197" i="2" s="1"/>
  <c r="O197" i="2"/>
  <c r="R197" i="2" s="1"/>
  <c r="P197" i="2"/>
  <c r="P198" i="2"/>
  <c r="N198" i="2"/>
  <c r="Q198" i="2" s="1"/>
  <c r="O198" i="2"/>
  <c r="R198" i="2" s="1"/>
  <c r="P199" i="2"/>
  <c r="O199" i="2"/>
  <c r="R199" i="2" s="1"/>
  <c r="N201" i="2"/>
  <c r="Q201" i="2" s="1"/>
  <c r="O201" i="2"/>
  <c r="R201" i="2" s="1"/>
  <c r="P201" i="2"/>
  <c r="P202" i="2"/>
  <c r="N202" i="2"/>
  <c r="O202" i="2"/>
  <c r="R202" i="2" s="1"/>
  <c r="Q202" i="2"/>
  <c r="N205" i="2"/>
  <c r="Q205" i="2" s="1"/>
  <c r="O205" i="2"/>
  <c r="R205" i="2" s="1"/>
  <c r="P205" i="2"/>
  <c r="P206" i="2"/>
  <c r="N206" i="2"/>
  <c r="Q206" i="2" s="1"/>
  <c r="O206" i="2"/>
  <c r="R206" i="2" s="1"/>
  <c r="O207" i="2"/>
  <c r="R207" i="2" s="1"/>
  <c r="N209" i="2"/>
  <c r="Q209" i="2" s="1"/>
  <c r="O209" i="2"/>
  <c r="R209" i="2" s="1"/>
  <c r="P209" i="2"/>
  <c r="P210" i="2"/>
  <c r="N210" i="2"/>
  <c r="Q210" i="2" s="1"/>
  <c r="O210" i="2"/>
  <c r="R210" i="2" s="1"/>
  <c r="O211" i="2"/>
  <c r="R211" i="2" s="1"/>
  <c r="N213" i="2"/>
  <c r="Q213" i="2" s="1"/>
  <c r="O213" i="2"/>
  <c r="R213" i="2" s="1"/>
  <c r="P213" i="2"/>
  <c r="P214" i="2"/>
  <c r="O214" i="2"/>
  <c r="R214" i="2" s="1"/>
  <c r="N217" i="2"/>
  <c r="Q217" i="2" s="1"/>
  <c r="O217" i="2"/>
  <c r="R217" i="2" s="1"/>
  <c r="P217" i="2"/>
  <c r="O219" i="2"/>
  <c r="R219" i="2" s="1"/>
  <c r="N221" i="2"/>
  <c r="Q221" i="2" s="1"/>
  <c r="O221" i="2"/>
  <c r="R221" i="2" s="1"/>
  <c r="P221" i="2"/>
  <c r="P222" i="2"/>
  <c r="N222" i="2"/>
  <c r="Q222" i="2" s="1"/>
  <c r="O223" i="2"/>
  <c r="R223" i="2"/>
  <c r="P224" i="2"/>
  <c r="N225" i="2"/>
  <c r="Q225" i="2" s="1"/>
  <c r="O225" i="2"/>
  <c r="R225" i="2" s="1"/>
  <c r="P225" i="2"/>
  <c r="P226" i="2"/>
  <c r="O226" i="2"/>
  <c r="R226" i="2" s="1"/>
  <c r="O227" i="2"/>
  <c r="R227" i="2" s="1"/>
  <c r="N228" i="2"/>
  <c r="Q228" i="2" s="1"/>
  <c r="O228" i="2"/>
  <c r="R228" i="2" s="1"/>
  <c r="P228" i="2"/>
  <c r="N232" i="2"/>
  <c r="Q232" i="2" s="1"/>
  <c r="O232" i="2"/>
  <c r="R232" i="2" s="1"/>
  <c r="P232" i="2"/>
  <c r="N233" i="2"/>
  <c r="Q233" i="2" s="1"/>
  <c r="O233" i="2"/>
  <c r="R233" i="2" s="1"/>
  <c r="P233" i="2"/>
  <c r="N234" i="2"/>
  <c r="Q234" i="2" s="1"/>
  <c r="O234" i="2"/>
  <c r="R234" i="2" s="1"/>
  <c r="P234" i="2"/>
  <c r="P235" i="2"/>
  <c r="N235" i="2"/>
  <c r="Q235" i="2" s="1"/>
  <c r="O235" i="2"/>
  <c r="R235" i="2" s="1"/>
  <c r="N236" i="2"/>
  <c r="Q236" i="2" s="1"/>
  <c r="O236" i="2"/>
  <c r="R236" i="2" s="1"/>
  <c r="N237" i="2"/>
  <c r="Q237" i="2" s="1"/>
  <c r="O237" i="2"/>
  <c r="R237" i="2" s="1"/>
  <c r="P237" i="2"/>
  <c r="O238" i="2"/>
  <c r="R238" i="2" s="1"/>
  <c r="N238" i="2"/>
  <c r="Q238" i="2" s="1"/>
  <c r="N239" i="2"/>
  <c r="Q239" i="2" s="1"/>
  <c r="O239" i="2"/>
  <c r="R239" i="2" s="1"/>
  <c r="P239" i="2"/>
  <c r="N240" i="2"/>
  <c r="Q240" i="2" s="1"/>
  <c r="O240" i="2"/>
  <c r="R240" i="2" s="1"/>
  <c r="P240" i="2"/>
  <c r="N241" i="2"/>
  <c r="Q241" i="2" s="1"/>
  <c r="O241" i="2"/>
  <c r="R241" i="2" s="1"/>
  <c r="P241" i="2"/>
  <c r="O242" i="2"/>
  <c r="R242" i="2" s="1"/>
  <c r="N242" i="2"/>
  <c r="Q242" i="2" s="1"/>
  <c r="N243" i="2"/>
  <c r="Q243" i="2" s="1"/>
  <c r="O243" i="2"/>
  <c r="R243" i="2" s="1"/>
  <c r="P243" i="2"/>
  <c r="N244" i="2"/>
  <c r="Q244" i="2" s="1"/>
  <c r="O244" i="2"/>
  <c r="R244" i="2" s="1"/>
  <c r="P244" i="2"/>
  <c r="N245" i="2"/>
  <c r="Q245" i="2" s="1"/>
  <c r="O245" i="2"/>
  <c r="R245" i="2" s="1"/>
  <c r="P245" i="2"/>
  <c r="O246" i="2"/>
  <c r="R246" i="2" s="1"/>
  <c r="N246" i="2"/>
  <c r="Q246" i="2" s="1"/>
  <c r="N247" i="2"/>
  <c r="Q247" i="2" s="1"/>
  <c r="O247" i="2"/>
  <c r="R247" i="2" s="1"/>
  <c r="P247" i="2"/>
  <c r="N248" i="2"/>
  <c r="Q248" i="2" s="1"/>
  <c r="O248" i="2"/>
  <c r="R248" i="2" s="1"/>
  <c r="P248" i="2"/>
  <c r="N249" i="2"/>
  <c r="Q249" i="2" s="1"/>
  <c r="O249" i="2"/>
  <c r="R249" i="2" s="1"/>
  <c r="P249" i="2"/>
  <c r="O250" i="2"/>
  <c r="R250" i="2" s="1"/>
  <c r="N250" i="2"/>
  <c r="Q250" i="2" s="1"/>
  <c r="N251" i="2"/>
  <c r="O251" i="2"/>
  <c r="R251" i="2" s="1"/>
  <c r="P251" i="2"/>
  <c r="Q251" i="2"/>
  <c r="N252" i="2"/>
  <c r="Q252" i="2" s="1"/>
  <c r="O252" i="2"/>
  <c r="R252" i="2" s="1"/>
  <c r="P252" i="2"/>
  <c r="N253" i="2"/>
  <c r="Q253" i="2" s="1"/>
  <c r="O253" i="2"/>
  <c r="R253" i="2" s="1"/>
  <c r="P253" i="2"/>
  <c r="O254" i="2"/>
  <c r="R254" i="2" s="1"/>
  <c r="N254" i="2"/>
  <c r="Q254" i="2" s="1"/>
  <c r="N255" i="2"/>
  <c r="Q255" i="2" s="1"/>
  <c r="O255" i="2"/>
  <c r="R255" i="2" s="1"/>
  <c r="P255" i="2"/>
  <c r="N256" i="2"/>
  <c r="Q256" i="2" s="1"/>
  <c r="O256" i="2"/>
  <c r="P256" i="2"/>
  <c r="R256" i="2"/>
  <c r="N257" i="2"/>
  <c r="Q257" i="2" s="1"/>
  <c r="O257" i="2"/>
  <c r="R257" i="2" s="1"/>
  <c r="P257" i="2"/>
  <c r="O258" i="2"/>
  <c r="R258" i="2" s="1"/>
  <c r="N258" i="2"/>
  <c r="Q258" i="2" s="1"/>
  <c r="N259" i="2"/>
  <c r="Q259" i="2" s="1"/>
  <c r="O259" i="2"/>
  <c r="R259" i="2" s="1"/>
  <c r="P259" i="2"/>
  <c r="N260" i="2"/>
  <c r="Q260" i="2" s="1"/>
  <c r="O260" i="2"/>
  <c r="R260" i="2" s="1"/>
  <c r="P260" i="2"/>
  <c r="N261" i="2"/>
  <c r="Q261" i="2" s="1"/>
  <c r="O261" i="2"/>
  <c r="R261" i="2" s="1"/>
  <c r="P261" i="2"/>
  <c r="O262" i="2"/>
  <c r="R262" i="2" s="1"/>
  <c r="N262" i="2"/>
  <c r="Q262" i="2" s="1"/>
  <c r="N263" i="2"/>
  <c r="Q263" i="2" s="1"/>
  <c r="O263" i="2"/>
  <c r="R263" i="2" s="1"/>
  <c r="P263" i="2"/>
  <c r="N264" i="2"/>
  <c r="Q264" i="2" s="1"/>
  <c r="O264" i="2"/>
  <c r="R264" i="2" s="1"/>
  <c r="P264" i="2"/>
  <c r="N265" i="2"/>
  <c r="Q265" i="2" s="1"/>
  <c r="O265" i="2"/>
  <c r="R265" i="2" s="1"/>
  <c r="P265" i="2"/>
  <c r="O266" i="2"/>
  <c r="R266" i="2" s="1"/>
  <c r="N266" i="2"/>
  <c r="Q266" i="2" s="1"/>
  <c r="N267" i="2"/>
  <c r="Q267" i="2" s="1"/>
  <c r="O267" i="2"/>
  <c r="R267" i="2" s="1"/>
  <c r="P267" i="2"/>
  <c r="N268" i="2"/>
  <c r="Q268" i="2" s="1"/>
  <c r="O268" i="2"/>
  <c r="R268" i="2" s="1"/>
  <c r="P268" i="2"/>
  <c r="N269" i="2"/>
  <c r="Q269" i="2" s="1"/>
  <c r="O269" i="2"/>
  <c r="R269" i="2" s="1"/>
  <c r="P269" i="2"/>
  <c r="O270" i="2"/>
  <c r="R270" i="2" s="1"/>
  <c r="N270" i="2"/>
  <c r="Q270" i="2" s="1"/>
  <c r="N271" i="2"/>
  <c r="Q271" i="2" s="1"/>
  <c r="O271" i="2"/>
  <c r="R271" i="2" s="1"/>
  <c r="P271" i="2"/>
  <c r="N272" i="2"/>
  <c r="Q272" i="2" s="1"/>
  <c r="O272" i="2"/>
  <c r="R272" i="2" s="1"/>
  <c r="P272" i="2"/>
  <c r="N273" i="2"/>
  <c r="Q273" i="2" s="1"/>
  <c r="O273" i="2"/>
  <c r="R273" i="2" s="1"/>
  <c r="P273" i="2"/>
  <c r="O274" i="2"/>
  <c r="R274" i="2" s="1"/>
  <c r="N274" i="2"/>
  <c r="Q274" i="2" s="1"/>
  <c r="N275" i="2"/>
  <c r="Q275" i="2" s="1"/>
  <c r="O275" i="2"/>
  <c r="R275" i="2" s="1"/>
  <c r="P275" i="2"/>
  <c r="N276" i="2"/>
  <c r="Q276" i="2" s="1"/>
  <c r="O276" i="2"/>
  <c r="R276" i="2" s="1"/>
  <c r="P276" i="2"/>
  <c r="N277" i="2"/>
  <c r="Q277" i="2" s="1"/>
  <c r="O277" i="2"/>
  <c r="R277" i="2" s="1"/>
  <c r="P277" i="2"/>
  <c r="O278" i="2"/>
  <c r="R278" i="2" s="1"/>
  <c r="N278" i="2"/>
  <c r="Q278" i="2" s="1"/>
  <c r="N279" i="2"/>
  <c r="Q279" i="2" s="1"/>
  <c r="O279" i="2"/>
  <c r="R279" i="2" s="1"/>
  <c r="P279" i="2"/>
  <c r="N280" i="2"/>
  <c r="Q280" i="2" s="1"/>
  <c r="O280" i="2"/>
  <c r="R280" i="2" s="1"/>
  <c r="P280" i="2"/>
  <c r="N281" i="2"/>
  <c r="Q281" i="2" s="1"/>
  <c r="O281" i="2"/>
  <c r="R281" i="2" s="1"/>
  <c r="P281" i="2"/>
  <c r="O282" i="2"/>
  <c r="R282" i="2" s="1"/>
  <c r="N282" i="2"/>
  <c r="Q282" i="2" s="1"/>
  <c r="N283" i="2"/>
  <c r="Q283" i="2" s="1"/>
  <c r="O283" i="2"/>
  <c r="R283" i="2" s="1"/>
  <c r="P283" i="2"/>
  <c r="N284" i="2"/>
  <c r="Q284" i="2" s="1"/>
  <c r="O284" i="2"/>
  <c r="R284" i="2" s="1"/>
  <c r="P284" i="2"/>
  <c r="N285" i="2"/>
  <c r="Q285" i="2" s="1"/>
  <c r="O285" i="2"/>
  <c r="R285" i="2" s="1"/>
  <c r="P285" i="2"/>
  <c r="O286" i="2"/>
  <c r="R286" i="2" s="1"/>
  <c r="N286" i="2"/>
  <c r="Q286" i="2" s="1"/>
  <c r="N287" i="2"/>
  <c r="Q287" i="2" s="1"/>
  <c r="O287" i="2"/>
  <c r="R287" i="2" s="1"/>
  <c r="P287" i="2"/>
  <c r="N288" i="2"/>
  <c r="Q288" i="2" s="1"/>
  <c r="O288" i="2"/>
  <c r="R288" i="2" s="1"/>
  <c r="P288" i="2"/>
  <c r="N289" i="2"/>
  <c r="Q289" i="2" s="1"/>
  <c r="O289" i="2"/>
  <c r="R289" i="2" s="1"/>
  <c r="P289" i="2"/>
  <c r="O290" i="2"/>
  <c r="R290" i="2" s="1"/>
  <c r="N290" i="2"/>
  <c r="Q290" i="2" s="1"/>
  <c r="N291" i="2"/>
  <c r="Q291" i="2" s="1"/>
  <c r="O291" i="2"/>
  <c r="R291" i="2" s="1"/>
  <c r="P291" i="2"/>
  <c r="N292" i="2"/>
  <c r="Q292" i="2" s="1"/>
  <c r="O292" i="2"/>
  <c r="R292" i="2" s="1"/>
  <c r="P292" i="2"/>
  <c r="N293" i="2"/>
  <c r="Q293" i="2" s="1"/>
  <c r="O293" i="2"/>
  <c r="R293" i="2" s="1"/>
  <c r="P293" i="2"/>
  <c r="O294" i="2"/>
  <c r="R294" i="2" s="1"/>
  <c r="N294" i="2"/>
  <c r="Q294" i="2" s="1"/>
  <c r="N295" i="2"/>
  <c r="Q295" i="2" s="1"/>
  <c r="O295" i="2"/>
  <c r="R295" i="2" s="1"/>
  <c r="P295" i="2"/>
  <c r="N296" i="2"/>
  <c r="O296" i="2"/>
  <c r="R296" i="2" s="1"/>
  <c r="P296" i="2"/>
  <c r="Q296" i="2"/>
  <c r="N297" i="2"/>
  <c r="Q297" i="2" s="1"/>
  <c r="O297" i="2"/>
  <c r="R297" i="2" s="1"/>
  <c r="P297" i="2"/>
  <c r="N298" i="2"/>
  <c r="Q298" i="2" s="1"/>
  <c r="N299" i="2"/>
  <c r="Q299" i="2" s="1"/>
  <c r="O299" i="2"/>
  <c r="P299" i="2"/>
  <c r="R299" i="2"/>
  <c r="N300" i="2"/>
  <c r="Q300" i="2" s="1"/>
  <c r="O300" i="2"/>
  <c r="R300" i="2" s="1"/>
  <c r="P300" i="2"/>
  <c r="N301" i="2"/>
  <c r="Q301" i="2" s="1"/>
  <c r="O301" i="2"/>
  <c r="R301" i="2" s="1"/>
  <c r="P301" i="2"/>
  <c r="N302" i="2"/>
  <c r="Q302" i="2" s="1"/>
  <c r="N303" i="2"/>
  <c r="Q303" i="2" s="1"/>
  <c r="O303" i="2"/>
  <c r="R303" i="2" s="1"/>
  <c r="P303" i="2"/>
  <c r="N304" i="2"/>
  <c r="Q304" i="2" s="1"/>
  <c r="O304" i="2"/>
  <c r="R304" i="2" s="1"/>
  <c r="P304" i="2"/>
  <c r="N305" i="2"/>
  <c r="Q305" i="2" s="1"/>
  <c r="O305" i="2"/>
  <c r="R305" i="2" s="1"/>
  <c r="P305" i="2"/>
  <c r="N307" i="2"/>
  <c r="Q307" i="2" s="1"/>
  <c r="O307" i="2"/>
  <c r="R307" i="2" s="1"/>
  <c r="P307" i="2"/>
  <c r="N308" i="2"/>
  <c r="Q308" i="2" s="1"/>
  <c r="O308" i="2"/>
  <c r="P308" i="2"/>
  <c r="R308" i="2"/>
  <c r="N309" i="2"/>
  <c r="Q309" i="2" s="1"/>
  <c r="O309" i="2"/>
  <c r="R309" i="2" s="1"/>
  <c r="P309" i="2"/>
  <c r="N310" i="2"/>
  <c r="Q310" i="2" s="1"/>
  <c r="N311" i="2"/>
  <c r="Q311" i="2" s="1"/>
  <c r="O311" i="2"/>
  <c r="R311" i="2" s="1"/>
  <c r="P311" i="2"/>
  <c r="N312" i="2"/>
  <c r="Q312" i="2" s="1"/>
  <c r="O312" i="2"/>
  <c r="R312" i="2" s="1"/>
  <c r="P312" i="2"/>
  <c r="N313" i="2"/>
  <c r="Q313" i="2" s="1"/>
  <c r="O313" i="2"/>
  <c r="R313" i="2" s="1"/>
  <c r="P313" i="2"/>
  <c r="N314" i="2"/>
  <c r="Q314" i="2" s="1"/>
  <c r="N315" i="2"/>
  <c r="Q315" i="2" s="1"/>
  <c r="O315" i="2"/>
  <c r="R315" i="2" s="1"/>
  <c r="P315" i="2"/>
  <c r="N316" i="2"/>
  <c r="Q316" i="2" s="1"/>
  <c r="O316" i="2"/>
  <c r="R316" i="2" s="1"/>
  <c r="P316" i="2"/>
  <c r="N317" i="2"/>
  <c r="Q317" i="2" s="1"/>
  <c r="O317" i="2"/>
  <c r="R317" i="2" s="1"/>
  <c r="P317" i="2"/>
  <c r="N318" i="2"/>
  <c r="Q318" i="2" s="1"/>
  <c r="N319" i="2"/>
  <c r="Q319" i="2" s="1"/>
  <c r="O319" i="2"/>
  <c r="R319" i="2" s="1"/>
  <c r="P319" i="2"/>
  <c r="N320" i="2"/>
  <c r="Q320" i="2" s="1"/>
  <c r="O320" i="2"/>
  <c r="R320" i="2" s="1"/>
  <c r="P320" i="2"/>
  <c r="P321" i="2"/>
  <c r="N321" i="2"/>
  <c r="Q321" i="2" s="1"/>
  <c r="O321" i="2"/>
  <c r="R321" i="2" s="1"/>
  <c r="N322" i="2"/>
  <c r="Q322" i="2" s="1"/>
  <c r="N323" i="2"/>
  <c r="Q323" i="2" s="1"/>
  <c r="O323" i="2"/>
  <c r="R323" i="2" s="1"/>
  <c r="P323" i="2"/>
  <c r="N324" i="2"/>
  <c r="Q324" i="2" s="1"/>
  <c r="O324" i="2"/>
  <c r="R324" i="2" s="1"/>
  <c r="P324" i="2"/>
  <c r="N325" i="2"/>
  <c r="Q325" i="2" s="1"/>
  <c r="O325" i="2"/>
  <c r="R325" i="2" s="1"/>
  <c r="P325" i="2"/>
  <c r="N326" i="2"/>
  <c r="Q326" i="2" s="1"/>
  <c r="N327" i="2"/>
  <c r="Q327" i="2" s="1"/>
  <c r="O327" i="2"/>
  <c r="R327" i="2" s="1"/>
  <c r="P327" i="2"/>
  <c r="N328" i="2"/>
  <c r="Q328" i="2" s="1"/>
  <c r="O328" i="2"/>
  <c r="R328" i="2" s="1"/>
  <c r="P328" i="2"/>
  <c r="N330" i="2"/>
  <c r="Q330" i="2" s="1"/>
  <c r="N331" i="2"/>
  <c r="O331" i="2"/>
  <c r="P331" i="2"/>
  <c r="Q331" i="2"/>
  <c r="R331" i="2"/>
  <c r="N332" i="2"/>
  <c r="Q332" i="2" s="1"/>
  <c r="O332" i="2"/>
  <c r="R332" i="2" s="1"/>
  <c r="P332" i="2"/>
  <c r="N333" i="2"/>
  <c r="Q333" i="2" s="1"/>
  <c r="P333" i="2"/>
  <c r="N334" i="2"/>
  <c r="Q334" i="2" s="1"/>
  <c r="N335" i="2"/>
  <c r="Q335" i="2" s="1"/>
  <c r="O335" i="2"/>
  <c r="R335" i="2" s="1"/>
  <c r="P335" i="2"/>
  <c r="N336" i="2"/>
  <c r="Q336" i="2" s="1"/>
  <c r="O336" i="2"/>
  <c r="R336" i="2" s="1"/>
  <c r="P336" i="2"/>
  <c r="N337" i="2"/>
  <c r="Q337" i="2" s="1"/>
  <c r="O337" i="2"/>
  <c r="R337" i="2" s="1"/>
  <c r="P337" i="2"/>
  <c r="N338" i="2"/>
  <c r="Q338" i="2" s="1"/>
  <c r="N339" i="2"/>
  <c r="O339" i="2"/>
  <c r="R339" i="2" s="1"/>
  <c r="P339" i="2"/>
  <c r="Q339" i="2"/>
  <c r="N340" i="2"/>
  <c r="Q340" i="2" s="1"/>
  <c r="O340" i="2"/>
  <c r="R340" i="2" s="1"/>
  <c r="P340" i="2"/>
  <c r="O341" i="2"/>
  <c r="R341" i="2" s="1"/>
  <c r="N341" i="2"/>
  <c r="Q341" i="2" s="1"/>
  <c r="N342" i="2"/>
  <c r="Q342" i="2" s="1"/>
  <c r="N343" i="2"/>
  <c r="Q343" i="2" s="1"/>
  <c r="O343" i="2"/>
  <c r="R343" i="2" s="1"/>
  <c r="P343" i="2"/>
  <c r="N344" i="2"/>
  <c r="Q344" i="2" s="1"/>
  <c r="O344" i="2"/>
  <c r="R344" i="2" s="1"/>
  <c r="P344" i="2"/>
  <c r="O345" i="2"/>
  <c r="R345" i="2" s="1"/>
  <c r="N345" i="2"/>
  <c r="Q345" i="2" s="1"/>
  <c r="N346" i="2"/>
  <c r="Q346" i="2" s="1"/>
  <c r="N347" i="2"/>
  <c r="O347" i="2"/>
  <c r="R347" i="2" s="1"/>
  <c r="P347" i="2"/>
  <c r="Q347" i="2"/>
  <c r="N348" i="2"/>
  <c r="Q348" i="2" s="1"/>
  <c r="O348" i="2"/>
  <c r="R348" i="2" s="1"/>
  <c r="P348" i="2"/>
  <c r="N349" i="2"/>
  <c r="Q349" i="2" s="1"/>
  <c r="O349" i="2"/>
  <c r="R349" i="2" s="1"/>
  <c r="P349" i="2"/>
  <c r="N351" i="2"/>
  <c r="Q351" i="2" s="1"/>
  <c r="O351" i="2"/>
  <c r="R351" i="2" s="1"/>
  <c r="P351" i="2"/>
  <c r="N352" i="2"/>
  <c r="Q352" i="2" s="1"/>
  <c r="O352" i="2"/>
  <c r="R352" i="2" s="1"/>
  <c r="P352" i="2"/>
  <c r="P353" i="2"/>
  <c r="N353" i="2"/>
  <c r="Q353" i="2" s="1"/>
  <c r="O353" i="2"/>
  <c r="R353" i="2" s="1"/>
  <c r="O354" i="2"/>
  <c r="R354" i="2" s="1"/>
  <c r="N354" i="2"/>
  <c r="Q354" i="2" s="1"/>
  <c r="P354" i="2"/>
  <c r="O355" i="2"/>
  <c r="R355" i="2" s="1"/>
  <c r="N355" i="2"/>
  <c r="Q355" i="2" s="1"/>
  <c r="P355" i="2"/>
  <c r="N356" i="2"/>
  <c r="Q356" i="2" s="1"/>
  <c r="O356" i="2"/>
  <c r="R356" i="2" s="1"/>
  <c r="P356" i="2"/>
  <c r="P357" i="2"/>
  <c r="N357" i="2"/>
  <c r="Q357" i="2" s="1"/>
  <c r="O357" i="2"/>
  <c r="R357" i="2" s="1"/>
  <c r="O358" i="2"/>
  <c r="R358" i="2" s="1"/>
  <c r="N358" i="2"/>
  <c r="Q358" i="2" s="1"/>
  <c r="P358" i="2"/>
  <c r="O359" i="2"/>
  <c r="R359" i="2" s="1"/>
  <c r="N359" i="2"/>
  <c r="Q359" i="2" s="1"/>
  <c r="P359" i="2"/>
  <c r="N360" i="2"/>
  <c r="Q360" i="2" s="1"/>
  <c r="O360" i="2"/>
  <c r="R360" i="2" s="1"/>
  <c r="P360" i="2"/>
  <c r="N361" i="2"/>
  <c r="Q361" i="2" s="1"/>
  <c r="N362" i="2"/>
  <c r="Q362" i="2" s="1"/>
  <c r="O362" i="2"/>
  <c r="R362" i="2" s="1"/>
  <c r="P362" i="2"/>
  <c r="O363" i="2"/>
  <c r="R363" i="2" s="1"/>
  <c r="N363" i="2"/>
  <c r="Q363" i="2" s="1"/>
  <c r="N364" i="2"/>
  <c r="Q364" i="2" s="1"/>
  <c r="O364" i="2"/>
  <c r="R364" i="2" s="1"/>
  <c r="P364" i="2"/>
  <c r="N366" i="2"/>
  <c r="Q366" i="2" s="1"/>
  <c r="O366" i="2"/>
  <c r="R366" i="2" s="1"/>
  <c r="P366" i="2"/>
  <c r="O367" i="2"/>
  <c r="R367" i="2" s="1"/>
  <c r="N367" i="2"/>
  <c r="Q367" i="2" s="1"/>
  <c r="N368" i="2"/>
  <c r="Q368" i="2" s="1"/>
  <c r="O368" i="2"/>
  <c r="R368" i="2" s="1"/>
  <c r="P368" i="2"/>
  <c r="N369" i="2"/>
  <c r="Q369" i="2" s="1"/>
  <c r="N370" i="2"/>
  <c r="Q370" i="2" s="1"/>
  <c r="O370" i="2"/>
  <c r="R370" i="2" s="1"/>
  <c r="P370" i="2"/>
  <c r="O371" i="2"/>
  <c r="R371" i="2" s="1"/>
  <c r="N371" i="2"/>
  <c r="Q371" i="2" s="1"/>
  <c r="N372" i="2"/>
  <c r="Q372" i="2" s="1"/>
  <c r="O372" i="2"/>
  <c r="R372" i="2" s="1"/>
  <c r="P372" i="2"/>
  <c r="N373" i="2"/>
  <c r="Q373" i="2" s="1"/>
  <c r="N374" i="2"/>
  <c r="Q374" i="2" s="1"/>
  <c r="O374" i="2"/>
  <c r="R374" i="2" s="1"/>
  <c r="P374" i="2"/>
  <c r="O375" i="2"/>
  <c r="R375" i="2" s="1"/>
  <c r="N375" i="2"/>
  <c r="Q375" i="2" s="1"/>
  <c r="N376" i="2"/>
  <c r="Q376" i="2" s="1"/>
  <c r="O376" i="2"/>
  <c r="R376" i="2" s="1"/>
  <c r="P376" i="2"/>
  <c r="N377" i="2"/>
  <c r="Q377" i="2" s="1"/>
  <c r="N378" i="2"/>
  <c r="Q378" i="2" s="1"/>
  <c r="O378" i="2"/>
  <c r="R378" i="2" s="1"/>
  <c r="P378" i="2"/>
  <c r="O379" i="2"/>
  <c r="R379" i="2" s="1"/>
  <c r="N379" i="2"/>
  <c r="Q379" i="2" s="1"/>
  <c r="N380" i="2"/>
  <c r="Q380" i="2" s="1"/>
  <c r="O380" i="2"/>
  <c r="R380" i="2" s="1"/>
  <c r="P380" i="2"/>
  <c r="N381" i="2"/>
  <c r="Q381" i="2" s="1"/>
  <c r="N382" i="2"/>
  <c r="Q382" i="2" s="1"/>
  <c r="O382" i="2"/>
  <c r="R382" i="2" s="1"/>
  <c r="P382" i="2"/>
  <c r="O383" i="2"/>
  <c r="R383" i="2" s="1"/>
  <c r="N383" i="2"/>
  <c r="Q383" i="2" s="1"/>
  <c r="N384" i="2"/>
  <c r="Q384" i="2" s="1"/>
  <c r="O384" i="2"/>
  <c r="R384" i="2" s="1"/>
  <c r="P384" i="2"/>
  <c r="N385" i="2"/>
  <c r="Q385" i="2" s="1"/>
  <c r="N386" i="2"/>
  <c r="Q386" i="2" s="1"/>
  <c r="O386" i="2"/>
  <c r="R386" i="2" s="1"/>
  <c r="P386" i="2"/>
  <c r="O387" i="2"/>
  <c r="R387" i="2" s="1"/>
  <c r="N387" i="2"/>
  <c r="Q387" i="2" s="1"/>
  <c r="N388" i="2"/>
  <c r="Q388" i="2" s="1"/>
  <c r="O388" i="2"/>
  <c r="R388" i="2" s="1"/>
  <c r="P388" i="2"/>
  <c r="N390" i="2"/>
  <c r="Q390" i="2" s="1"/>
  <c r="O390" i="2"/>
  <c r="R390" i="2" s="1"/>
  <c r="P390" i="2"/>
  <c r="O391" i="2"/>
  <c r="R391" i="2" s="1"/>
  <c r="N391" i="2"/>
  <c r="Q391" i="2" s="1"/>
  <c r="N392" i="2"/>
  <c r="Q392" i="2" s="1"/>
  <c r="O392" i="2"/>
  <c r="R392" i="2" s="1"/>
  <c r="P392" i="2"/>
  <c r="N393" i="2"/>
  <c r="Q393" i="2" s="1"/>
  <c r="N394" i="2"/>
  <c r="Q394" i="2" s="1"/>
  <c r="O394" i="2"/>
  <c r="R394" i="2" s="1"/>
  <c r="P394" i="2"/>
  <c r="N395" i="2"/>
  <c r="Q395" i="2" s="1"/>
  <c r="N396" i="2"/>
  <c r="Q396" i="2" s="1"/>
  <c r="O396" i="2"/>
  <c r="R396" i="2" s="1"/>
  <c r="P396" i="2"/>
  <c r="N397" i="2"/>
  <c r="Q397" i="2" s="1"/>
  <c r="N398" i="2"/>
  <c r="Q398" i="2" s="1"/>
  <c r="O398" i="2"/>
  <c r="R398" i="2" s="1"/>
  <c r="P398" i="2"/>
  <c r="N399" i="2"/>
  <c r="Q399" i="2" s="1"/>
  <c r="N400" i="2"/>
  <c r="Q400" i="2" s="1"/>
  <c r="O400" i="2"/>
  <c r="R400" i="2" s="1"/>
  <c r="P400" i="2"/>
  <c r="N401" i="2"/>
  <c r="Q401" i="2" s="1"/>
  <c r="N402" i="2"/>
  <c r="Q402" i="2" s="1"/>
  <c r="O402" i="2"/>
  <c r="R402" i="2" s="1"/>
  <c r="P402" i="2"/>
  <c r="N403" i="2"/>
  <c r="Q403" i="2" s="1"/>
  <c r="N404" i="2"/>
  <c r="Q404" i="2" s="1"/>
  <c r="O404" i="2"/>
  <c r="R404" i="2" s="1"/>
  <c r="P404" i="2"/>
  <c r="N405" i="2"/>
  <c r="Q405" i="2" s="1"/>
  <c r="N406" i="2"/>
  <c r="Q406" i="2" s="1"/>
  <c r="O406" i="2"/>
  <c r="R406" i="2" s="1"/>
  <c r="P406" i="2"/>
  <c r="N408" i="2"/>
  <c r="Q408" i="2" s="1"/>
  <c r="O408" i="2"/>
  <c r="R408" i="2" s="1"/>
  <c r="P408" i="2"/>
  <c r="N409" i="2"/>
  <c r="Q409" i="2" s="1"/>
  <c r="N410" i="2"/>
  <c r="Q410" i="2" s="1"/>
  <c r="O410" i="2"/>
  <c r="R410" i="2" s="1"/>
  <c r="P410" i="2"/>
  <c r="N411" i="2"/>
  <c r="Q411" i="2" s="1"/>
  <c r="N412" i="2"/>
  <c r="Q412" i="2" s="1"/>
  <c r="O412" i="2"/>
  <c r="R412" i="2" s="1"/>
  <c r="P412" i="2"/>
  <c r="N413" i="2"/>
  <c r="Q413" i="2" s="1"/>
  <c r="N414" i="2"/>
  <c r="Q414" i="2" s="1"/>
  <c r="O414" i="2"/>
  <c r="R414" i="2" s="1"/>
  <c r="P414" i="2"/>
  <c r="N415" i="2"/>
  <c r="Q415" i="2" s="1"/>
  <c r="N416" i="2"/>
  <c r="Q416" i="2" s="1"/>
  <c r="O416" i="2"/>
  <c r="R416" i="2" s="1"/>
  <c r="P416" i="2"/>
  <c r="N418" i="2"/>
  <c r="Q418" i="2" s="1"/>
  <c r="O418" i="2"/>
  <c r="R418" i="2" s="1"/>
  <c r="P418" i="2"/>
  <c r="N419" i="2"/>
  <c r="Q419" i="2" s="1"/>
  <c r="N420" i="2"/>
  <c r="Q420" i="2" s="1"/>
  <c r="O420" i="2"/>
  <c r="R420" i="2" s="1"/>
  <c r="P420" i="2"/>
  <c r="N421" i="2"/>
  <c r="Q421" i="2" s="1"/>
  <c r="N422" i="2"/>
  <c r="Q422" i="2" s="1"/>
  <c r="O422" i="2"/>
  <c r="R422" i="2" s="1"/>
  <c r="P422" i="2"/>
  <c r="N423" i="2"/>
  <c r="Q423" i="2" s="1"/>
  <c r="O423" i="2"/>
  <c r="R423" i="2" s="1"/>
  <c r="P423" i="2"/>
  <c r="N424" i="2"/>
  <c r="Q424" i="2" s="1"/>
  <c r="O424" i="2"/>
  <c r="R424" i="2" s="1"/>
  <c r="P424" i="2"/>
  <c r="N425" i="2"/>
  <c r="Q425" i="2" s="1"/>
  <c r="N426" i="2"/>
  <c r="Q426" i="2" s="1"/>
  <c r="O426" i="2"/>
  <c r="R426" i="2" s="1"/>
  <c r="P426" i="2"/>
  <c r="N427" i="2"/>
  <c r="O427" i="2"/>
  <c r="R427" i="2" s="1"/>
  <c r="P427" i="2"/>
  <c r="Q427" i="2"/>
  <c r="N428" i="2"/>
  <c r="Q428" i="2" s="1"/>
  <c r="O428" i="2"/>
  <c r="R428" i="2" s="1"/>
  <c r="P428" i="2"/>
  <c r="N429" i="2"/>
  <c r="Q429" i="2" s="1"/>
  <c r="N430" i="2"/>
  <c r="Q430" i="2" s="1"/>
  <c r="O430" i="2"/>
  <c r="R430" i="2" s="1"/>
  <c r="P430" i="2"/>
  <c r="N431" i="2"/>
  <c r="Q431" i="2" s="1"/>
  <c r="O431" i="2"/>
  <c r="R431" i="2" s="1"/>
  <c r="P431" i="2"/>
  <c r="N432" i="2"/>
  <c r="Q432" i="2" s="1"/>
  <c r="O432" i="2"/>
  <c r="R432" i="2" s="1"/>
  <c r="P432" i="2"/>
  <c r="P433" i="2"/>
  <c r="N433" i="2"/>
  <c r="Q433" i="2" s="1"/>
  <c r="P434" i="2"/>
  <c r="O435" i="2"/>
  <c r="R435" i="2" s="1"/>
  <c r="O436" i="2"/>
  <c r="R436" i="2" s="1"/>
  <c r="N436" i="2"/>
  <c r="Q436" i="2" s="1"/>
  <c r="N438" i="2"/>
  <c r="Q438" i="2" s="1"/>
  <c r="N439" i="2"/>
  <c r="Q439" i="2" s="1"/>
  <c r="P439" i="2"/>
  <c r="N440" i="2"/>
  <c r="Q440" i="2" s="1"/>
  <c r="O440" i="2"/>
  <c r="R440" i="2" s="1"/>
  <c r="P440" i="2"/>
  <c r="P441" i="2"/>
  <c r="N441" i="2"/>
  <c r="Q441" i="2" s="1"/>
  <c r="O441" i="2"/>
  <c r="R441" i="2" s="1"/>
  <c r="N442" i="2"/>
  <c r="Q442" i="2" s="1"/>
  <c r="O442" i="2"/>
  <c r="R442" i="2" s="1"/>
  <c r="P442" i="2"/>
  <c r="P443" i="2"/>
  <c r="N443" i="2"/>
  <c r="Q443" i="2" s="1"/>
  <c r="O443" i="2"/>
  <c r="R443" i="2" s="1"/>
  <c r="O444" i="2"/>
  <c r="R444" i="2" s="1"/>
  <c r="N444" i="2"/>
  <c r="Q444" i="2" s="1"/>
  <c r="P444" i="2"/>
  <c r="O445" i="2"/>
  <c r="R445" i="2" s="1"/>
  <c r="O446" i="2"/>
  <c r="R446" i="2" s="1"/>
  <c r="N446" i="2"/>
  <c r="Q446" i="2" s="1"/>
  <c r="N447" i="2"/>
  <c r="Q447" i="2" s="1"/>
  <c r="P447" i="2"/>
  <c r="N448" i="2"/>
  <c r="Q448" i="2" s="1"/>
  <c r="O448" i="2"/>
  <c r="R448" i="2" s="1"/>
  <c r="P448" i="2"/>
  <c r="O449" i="2"/>
  <c r="R449" i="2" s="1"/>
  <c r="N449" i="2"/>
  <c r="Q449" i="2" s="1"/>
  <c r="P449" i="2"/>
  <c r="O450" i="2"/>
  <c r="R450" i="2" s="1"/>
  <c r="N450" i="2"/>
  <c r="Q450" i="2" s="1"/>
  <c r="N451" i="2"/>
  <c r="Q451" i="2" s="1"/>
  <c r="P451" i="2"/>
  <c r="N452" i="2"/>
  <c r="Q452" i="2" s="1"/>
  <c r="O452" i="2"/>
  <c r="R452" i="2" s="1"/>
  <c r="P452" i="2"/>
  <c r="O453" i="2"/>
  <c r="R453" i="2" s="1"/>
  <c r="N453" i="2"/>
  <c r="Q453" i="2" s="1"/>
  <c r="P453" i="2"/>
  <c r="O454" i="2"/>
  <c r="R454" i="2" s="1"/>
  <c r="N454" i="2"/>
  <c r="Q454" i="2" s="1"/>
  <c r="N455" i="2"/>
  <c r="Q455" i="2" s="1"/>
  <c r="P455" i="2"/>
  <c r="N456" i="2"/>
  <c r="Q456" i="2" s="1"/>
  <c r="O456" i="2"/>
  <c r="R456" i="2" s="1"/>
  <c r="P456" i="2"/>
  <c r="O457" i="2"/>
  <c r="R457" i="2" s="1"/>
  <c r="N457" i="2"/>
  <c r="Q457" i="2" s="1"/>
  <c r="P457" i="2"/>
  <c r="O458" i="2"/>
  <c r="R458" i="2" s="1"/>
  <c r="N458" i="2"/>
  <c r="Q458" i="2" s="1"/>
  <c r="N459" i="2"/>
  <c r="Q459" i="2" s="1"/>
  <c r="P459" i="2"/>
  <c r="N460" i="2"/>
  <c r="Q460" i="2" s="1"/>
  <c r="O460" i="2"/>
  <c r="R460" i="2" s="1"/>
  <c r="P460" i="2"/>
  <c r="O461" i="2"/>
  <c r="R461" i="2" s="1"/>
  <c r="N461" i="2"/>
  <c r="Q461" i="2" s="1"/>
  <c r="P461" i="2"/>
  <c r="O462" i="2"/>
  <c r="R462" i="2" s="1"/>
  <c r="N462" i="2"/>
  <c r="Q462" i="2" s="1"/>
  <c r="N463" i="2"/>
  <c r="Q463" i="2" s="1"/>
  <c r="P463" i="2"/>
  <c r="N464" i="2"/>
  <c r="Q464" i="2" s="1"/>
  <c r="O464" i="2"/>
  <c r="R464" i="2" s="1"/>
  <c r="P464" i="2"/>
  <c r="O465" i="2"/>
  <c r="R465" i="2" s="1"/>
  <c r="N465" i="2"/>
  <c r="Q465" i="2" s="1"/>
  <c r="P465" i="2"/>
  <c r="O466" i="2"/>
  <c r="R466" i="2" s="1"/>
  <c r="N466" i="2"/>
  <c r="Q466" i="2" s="1"/>
  <c r="N467" i="2"/>
  <c r="Q467" i="2" s="1"/>
  <c r="P467" i="2"/>
  <c r="N468" i="2"/>
  <c r="Q468" i="2" s="1"/>
  <c r="O468" i="2"/>
  <c r="R468" i="2" s="1"/>
  <c r="P468" i="2"/>
  <c r="O469" i="2"/>
  <c r="R469" i="2" s="1"/>
  <c r="N469" i="2"/>
  <c r="Q469" i="2" s="1"/>
  <c r="P469" i="2"/>
  <c r="O470" i="2"/>
  <c r="R470" i="2" s="1"/>
  <c r="N470" i="2"/>
  <c r="Q470" i="2" s="1"/>
  <c r="N471" i="2"/>
  <c r="Q471" i="2" s="1"/>
  <c r="P471" i="2"/>
  <c r="N472" i="2"/>
  <c r="Q472" i="2" s="1"/>
  <c r="O472" i="2"/>
  <c r="R472" i="2" s="1"/>
  <c r="P472" i="2"/>
  <c r="O473" i="2"/>
  <c r="R473" i="2" s="1"/>
  <c r="N473" i="2"/>
  <c r="Q473" i="2" s="1"/>
  <c r="P473" i="2"/>
  <c r="O474" i="2"/>
  <c r="R474" i="2" s="1"/>
  <c r="N474" i="2"/>
  <c r="Q474" i="2" s="1"/>
  <c r="N475" i="2"/>
  <c r="Q475" i="2" s="1"/>
  <c r="P475" i="2"/>
  <c r="N476" i="2"/>
  <c r="Q476" i="2" s="1"/>
  <c r="O476" i="2"/>
  <c r="R476" i="2" s="1"/>
  <c r="P476" i="2"/>
  <c r="O477" i="2"/>
  <c r="R477" i="2" s="1"/>
  <c r="N477" i="2"/>
  <c r="Q477" i="2" s="1"/>
  <c r="P477" i="2"/>
  <c r="O478" i="2"/>
  <c r="R478" i="2" s="1"/>
  <c r="N478" i="2"/>
  <c r="Q478" i="2" s="1"/>
  <c r="N479" i="2"/>
  <c r="Q479" i="2" s="1"/>
  <c r="P479" i="2"/>
  <c r="N480" i="2"/>
  <c r="Q480" i="2" s="1"/>
  <c r="O480" i="2"/>
  <c r="R480" i="2" s="1"/>
  <c r="P480" i="2"/>
  <c r="O481" i="2"/>
  <c r="R481" i="2" s="1"/>
  <c r="N481" i="2"/>
  <c r="Q481" i="2" s="1"/>
  <c r="O482" i="2"/>
  <c r="R482" i="2" s="1"/>
  <c r="N482" i="2"/>
  <c r="Q482" i="2" s="1"/>
  <c r="N483" i="2"/>
  <c r="Q483" i="2" s="1"/>
  <c r="P483" i="2"/>
  <c r="N484" i="2"/>
  <c r="Q484" i="2" s="1"/>
  <c r="O484" i="2"/>
  <c r="R484" i="2" s="1"/>
  <c r="P484" i="2"/>
  <c r="O485" i="2"/>
  <c r="R485" i="2" s="1"/>
  <c r="N485" i="2"/>
  <c r="Q485" i="2" s="1"/>
  <c r="P485" i="2"/>
  <c r="O486" i="2"/>
  <c r="R486" i="2" s="1"/>
  <c r="N486" i="2"/>
  <c r="Q486" i="2" s="1"/>
  <c r="N487" i="2"/>
  <c r="Q487" i="2" s="1"/>
  <c r="P487" i="2"/>
  <c r="N488" i="2"/>
  <c r="Q488" i="2" s="1"/>
  <c r="O488" i="2"/>
  <c r="R488" i="2" s="1"/>
  <c r="P488" i="2"/>
  <c r="O489" i="2"/>
  <c r="R489" i="2" s="1"/>
  <c r="N489" i="2"/>
  <c r="Q489" i="2" s="1"/>
  <c r="O490" i="2"/>
  <c r="R490" i="2" s="1"/>
  <c r="N490" i="2"/>
  <c r="Q490" i="2" s="1"/>
  <c r="N491" i="2"/>
  <c r="Q491" i="2" s="1"/>
  <c r="P491" i="2"/>
  <c r="N492" i="2"/>
  <c r="Q492" i="2" s="1"/>
  <c r="O492" i="2"/>
  <c r="R492" i="2" s="1"/>
  <c r="P492" i="2"/>
  <c r="O493" i="2"/>
  <c r="R493" i="2" s="1"/>
  <c r="P493" i="2"/>
  <c r="O494" i="2"/>
  <c r="R494" i="2" s="1"/>
  <c r="N494" i="2"/>
  <c r="Q494" i="2" s="1"/>
  <c r="N495" i="2"/>
  <c r="Q495" i="2" s="1"/>
  <c r="O495" i="2"/>
  <c r="P495" i="2"/>
  <c r="R495" i="2"/>
  <c r="N496" i="2"/>
  <c r="Q496" i="2" s="1"/>
  <c r="O496" i="2"/>
  <c r="R496" i="2" s="1"/>
  <c r="P496" i="2"/>
  <c r="O497" i="2"/>
  <c r="R497" i="2" s="1"/>
  <c r="P497" i="2"/>
  <c r="O498" i="2"/>
  <c r="R498" i="2" s="1"/>
  <c r="N498" i="2"/>
  <c r="Q498" i="2" s="1"/>
  <c r="N499" i="2"/>
  <c r="Q499" i="2" s="1"/>
  <c r="O499" i="2"/>
  <c r="P499" i="2"/>
  <c r="R499" i="2"/>
  <c r="N500" i="2"/>
  <c r="Q500" i="2" s="1"/>
  <c r="O500" i="2"/>
  <c r="R500" i="2" s="1"/>
  <c r="P500" i="2"/>
  <c r="N501" i="2"/>
  <c r="Q501" i="2" s="1"/>
  <c r="P501" i="2"/>
  <c r="N502" i="2"/>
  <c r="Q502" i="2" s="1"/>
  <c r="N503" i="2"/>
  <c r="Q503" i="2" s="1"/>
  <c r="O503" i="2"/>
  <c r="R503" i="2" s="1"/>
  <c r="P503" i="2"/>
  <c r="N504" i="2"/>
  <c r="Q504" i="2" s="1"/>
  <c r="O504" i="2"/>
  <c r="R504" i="2" s="1"/>
  <c r="P504" i="2"/>
  <c r="N506" i="2"/>
  <c r="Q506" i="2" s="1"/>
  <c r="N507" i="2"/>
  <c r="Q507" i="2" s="1"/>
  <c r="O507" i="2"/>
  <c r="R507" i="2" s="1"/>
  <c r="P507" i="2"/>
  <c r="N508" i="2"/>
  <c r="Q508" i="2" s="1"/>
  <c r="O508" i="2"/>
  <c r="R508" i="2" s="1"/>
  <c r="P508" i="2"/>
  <c r="N509" i="2"/>
  <c r="Q509" i="2" s="1"/>
  <c r="N510" i="2"/>
  <c r="Q510" i="2" s="1"/>
  <c r="N511" i="2"/>
  <c r="O511" i="2"/>
  <c r="R511" i="2" s="1"/>
  <c r="P511" i="2"/>
  <c r="Q511" i="2"/>
  <c r="N512" i="2"/>
  <c r="Q512" i="2" s="1"/>
  <c r="N513" i="2"/>
  <c r="Q513" i="2" s="1"/>
  <c r="N515" i="2"/>
  <c r="Q515" i="2" s="1"/>
  <c r="O515" i="2"/>
  <c r="R515" i="2" s="1"/>
  <c r="P515" i="2"/>
  <c r="O516" i="2"/>
  <c r="R516" i="2" s="1"/>
  <c r="N516" i="2"/>
  <c r="Q516" i="2" s="1"/>
  <c r="P516" i="2"/>
  <c r="O517" i="2"/>
  <c r="R517" i="2" s="1"/>
  <c r="N517" i="2"/>
  <c r="Q517" i="2" s="1"/>
  <c r="P517" i="2"/>
  <c r="P518" i="2"/>
  <c r="N519" i="2"/>
  <c r="O519" i="2"/>
  <c r="R519" i="2" s="1"/>
  <c r="P519" i="2"/>
  <c r="Q519" i="2"/>
  <c r="N520" i="2"/>
  <c r="Q520" i="2" s="1"/>
  <c r="O520" i="2"/>
  <c r="R520" i="2" s="1"/>
  <c r="P520" i="2"/>
  <c r="N521" i="2"/>
  <c r="Q521" i="2" s="1"/>
  <c r="P522" i="2"/>
  <c r="N522" i="2"/>
  <c r="Q522" i="2" s="1"/>
  <c r="O522" i="2"/>
  <c r="R522" i="2" s="1"/>
  <c r="N523" i="2"/>
  <c r="Q523" i="2" s="1"/>
  <c r="P523" i="2"/>
  <c r="N524" i="2"/>
  <c r="Q524" i="2" s="1"/>
  <c r="O524" i="2"/>
  <c r="R524" i="2" s="1"/>
  <c r="O525" i="2"/>
  <c r="R525" i="2" s="1"/>
  <c r="N525" i="2"/>
  <c r="Q525" i="2" s="1"/>
  <c r="P525" i="2"/>
  <c r="N527" i="2"/>
  <c r="Q527" i="2" s="1"/>
  <c r="O527" i="2"/>
  <c r="R527" i="2" s="1"/>
  <c r="O528" i="2"/>
  <c r="R528" i="2" s="1"/>
  <c r="N528" i="2"/>
  <c r="Q528" i="2" s="1"/>
  <c r="P528" i="2"/>
  <c r="N529" i="2"/>
  <c r="Q529" i="2" s="1"/>
  <c r="P530" i="2"/>
  <c r="N530" i="2"/>
  <c r="Q530" i="2" s="1"/>
  <c r="O530" i="2"/>
  <c r="R530" i="2" s="1"/>
  <c r="N531" i="2"/>
  <c r="Q531" i="2" s="1"/>
  <c r="P531" i="2"/>
  <c r="N532" i="2"/>
  <c r="Q532" i="2" s="1"/>
  <c r="N533" i="2"/>
  <c r="Q533" i="2" s="1"/>
  <c r="O533" i="2"/>
  <c r="R533" i="2" s="1"/>
  <c r="P533" i="2"/>
  <c r="P534" i="2"/>
  <c r="O534" i="2"/>
  <c r="R534" i="2" s="1"/>
  <c r="N535" i="2"/>
  <c r="Q535" i="2" s="1"/>
  <c r="O535" i="2"/>
  <c r="R535" i="2" s="1"/>
  <c r="O536" i="2"/>
  <c r="R536" i="2" s="1"/>
  <c r="N536" i="2"/>
  <c r="Q536" i="2" s="1"/>
  <c r="P536" i="2"/>
  <c r="P538" i="2"/>
  <c r="N538" i="2"/>
  <c r="Q538" i="2" s="1"/>
  <c r="N539" i="2"/>
  <c r="Q539" i="2" s="1"/>
  <c r="N540" i="2"/>
  <c r="Q540" i="2" s="1"/>
  <c r="N541" i="2"/>
  <c r="Q541" i="2" s="1"/>
  <c r="O541" i="2"/>
  <c r="R541" i="2" s="1"/>
  <c r="N543" i="2"/>
  <c r="Q543" i="2" s="1"/>
  <c r="N544" i="2"/>
  <c r="Q544" i="2" s="1"/>
  <c r="N545" i="2"/>
  <c r="Q545" i="2" s="1"/>
  <c r="O545" i="2"/>
  <c r="R545" i="2" s="1"/>
  <c r="N547" i="2"/>
  <c r="Q547" i="2" s="1"/>
  <c r="N548" i="2"/>
  <c r="Q548" i="2" s="1"/>
  <c r="N549" i="2"/>
  <c r="Q549" i="2" s="1"/>
  <c r="O549" i="2"/>
  <c r="R549" i="2" s="1"/>
  <c r="N551" i="2"/>
  <c r="Q551" i="2" s="1"/>
  <c r="N552" i="2"/>
  <c r="Q552" i="2" s="1"/>
  <c r="N553" i="2"/>
  <c r="Q553" i="2" s="1"/>
  <c r="O553" i="2"/>
  <c r="R553" i="2" s="1"/>
  <c r="N555" i="2"/>
  <c r="Q555" i="2" s="1"/>
  <c r="N556" i="2"/>
  <c r="Q556" i="2" s="1"/>
  <c r="N557" i="2"/>
  <c r="Q557" i="2" s="1"/>
  <c r="O557" i="2"/>
  <c r="R557" i="2" s="1"/>
  <c r="O558" i="2"/>
  <c r="R558" i="2" s="1"/>
  <c r="O559" i="2"/>
  <c r="R559" i="2" s="1"/>
  <c r="O560" i="2"/>
  <c r="R560" i="2" s="1"/>
  <c r="O562" i="2"/>
  <c r="R562" i="2" s="1"/>
  <c r="O563" i="2"/>
  <c r="R563" i="2" s="1"/>
  <c r="O564" i="2"/>
  <c r="R564" i="2" s="1"/>
  <c r="O565" i="2"/>
  <c r="R565" i="2" s="1"/>
  <c r="O566" i="2"/>
  <c r="R566" i="2" s="1"/>
  <c r="O567" i="2"/>
  <c r="R567" i="2" s="1"/>
  <c r="O568" i="2"/>
  <c r="R568" i="2" s="1"/>
  <c r="O570" i="2"/>
  <c r="R570" i="2" s="1"/>
  <c r="O571" i="2"/>
  <c r="R571" i="2" s="1"/>
  <c r="O572" i="2"/>
  <c r="R572" i="2" s="1"/>
  <c r="O573" i="2"/>
  <c r="R573" i="2" s="1"/>
  <c r="O574" i="2"/>
  <c r="R574" i="2" s="1"/>
  <c r="O575" i="2"/>
  <c r="R575" i="2" s="1"/>
  <c r="O576" i="2"/>
  <c r="R576" i="2" s="1"/>
  <c r="O578" i="2"/>
  <c r="R578" i="2" s="1"/>
  <c r="O579" i="2"/>
  <c r="R579" i="2" s="1"/>
  <c r="O580" i="2"/>
  <c r="R580" i="2" s="1"/>
  <c r="O581" i="2"/>
  <c r="R581" i="2" s="1"/>
  <c r="O582" i="2"/>
  <c r="R582" i="2" s="1"/>
  <c r="O583" i="2"/>
  <c r="R583" i="2" s="1"/>
  <c r="N584" i="2"/>
  <c r="O584" i="2"/>
  <c r="R584" i="2" s="1"/>
  <c r="P584" i="2"/>
  <c r="Q584" i="2"/>
  <c r="P585" i="2"/>
  <c r="N585" i="2"/>
  <c r="Q585" i="2" s="1"/>
  <c r="O585" i="2"/>
  <c r="R585" i="2" s="1"/>
  <c r="O587" i="2"/>
  <c r="R587" i="2" s="1"/>
  <c r="N588" i="2"/>
  <c r="Q588" i="2" s="1"/>
  <c r="P589" i="2"/>
  <c r="O589" i="2"/>
  <c r="R589" i="2" s="1"/>
  <c r="O590" i="2"/>
  <c r="R590" i="2" s="1"/>
  <c r="O591" i="2"/>
  <c r="R591" i="2" s="1"/>
  <c r="N592" i="2"/>
  <c r="Q592" i="2" s="1"/>
  <c r="P593" i="2"/>
  <c r="N593" i="2"/>
  <c r="Q593" i="2" s="1"/>
  <c r="O593" i="2"/>
  <c r="R593" i="2" s="1"/>
  <c r="O594" i="2"/>
  <c r="R594" i="2" s="1"/>
  <c r="N596" i="2"/>
  <c r="Q596" i="2" s="1"/>
  <c r="P596" i="2"/>
  <c r="P597" i="2"/>
  <c r="O598" i="2"/>
  <c r="R598" i="2" s="1"/>
  <c r="O599" i="2"/>
  <c r="R599" i="2" s="1"/>
  <c r="N600" i="2"/>
  <c r="Q600" i="2" s="1"/>
  <c r="O600" i="2"/>
  <c r="R600" i="2" s="1"/>
  <c r="P601" i="2"/>
  <c r="O602" i="2"/>
  <c r="R602" i="2" s="1"/>
  <c r="O603" i="2"/>
  <c r="R603" i="2" s="1"/>
  <c r="P605" i="2"/>
  <c r="O605" i="2"/>
  <c r="R605" i="2" s="1"/>
  <c r="O606" i="2"/>
  <c r="R606" i="2" s="1"/>
  <c r="O607" i="2"/>
  <c r="R607" i="2" s="1"/>
  <c r="N608" i="2"/>
  <c r="Q608" i="2" s="1"/>
  <c r="O608" i="2"/>
  <c r="R608" i="2" s="1"/>
  <c r="P608" i="2"/>
  <c r="P609" i="2"/>
  <c r="N609" i="2"/>
  <c r="Q609" i="2" s="1"/>
  <c r="O610" i="2"/>
  <c r="R610" i="2" s="1"/>
  <c r="O611" i="2"/>
  <c r="R611" i="2" s="1"/>
  <c r="N612" i="2"/>
  <c r="Q612" i="2" s="1"/>
  <c r="P612" i="2"/>
  <c r="O614" i="2"/>
  <c r="R614" i="2" s="1"/>
  <c r="O615" i="2"/>
  <c r="R615" i="2" s="1"/>
  <c r="N616" i="2"/>
  <c r="Q616" i="2" s="1"/>
  <c r="O616" i="2"/>
  <c r="R616" i="2" s="1"/>
  <c r="P616" i="2"/>
  <c r="P617" i="2"/>
  <c r="N617" i="2"/>
  <c r="Q617" i="2" s="1"/>
  <c r="O617" i="2"/>
  <c r="R617" i="2" s="1"/>
  <c r="O619" i="2"/>
  <c r="R619" i="2" s="1"/>
  <c r="N620" i="2"/>
  <c r="Q620" i="2" s="1"/>
  <c r="P621" i="2"/>
  <c r="O621" i="2"/>
  <c r="R621" i="2" s="1"/>
  <c r="O622" i="2"/>
  <c r="R622" i="2" s="1"/>
  <c r="O623" i="2"/>
  <c r="R623" i="2" s="1"/>
  <c r="N624" i="2"/>
  <c r="Q624" i="2" s="1"/>
  <c r="N625" i="2"/>
  <c r="Q625" i="2" s="1"/>
  <c r="P626" i="2"/>
  <c r="O626" i="2"/>
  <c r="R626" i="2" s="1"/>
  <c r="N628" i="2"/>
  <c r="Q628" i="2" s="1"/>
  <c r="O628" i="2"/>
  <c r="R628" i="2" s="1"/>
  <c r="N629" i="2"/>
  <c r="Q629" i="2" s="1"/>
  <c r="P630" i="2"/>
  <c r="O630" i="2"/>
  <c r="R630" i="2" s="1"/>
  <c r="N632" i="2"/>
  <c r="Q632" i="2" s="1"/>
  <c r="O632" i="2"/>
  <c r="R632" i="2" s="1"/>
  <c r="P634" i="2"/>
  <c r="O634" i="2"/>
  <c r="R634" i="2" s="1"/>
  <c r="N636" i="2"/>
  <c r="Q636" i="2" s="1"/>
  <c r="O636" i="2"/>
  <c r="R636" i="2" s="1"/>
  <c r="P638" i="2"/>
  <c r="O638" i="2"/>
  <c r="R638" i="2" s="1"/>
  <c r="N640" i="2"/>
  <c r="Q640" i="2" s="1"/>
  <c r="O640" i="2"/>
  <c r="R640" i="2" s="1"/>
  <c r="P642" i="2"/>
  <c r="O642" i="2"/>
  <c r="R642" i="2" s="1"/>
  <c r="N644" i="2"/>
  <c r="Q644" i="2" s="1"/>
  <c r="O644" i="2"/>
  <c r="R644" i="2" s="1"/>
  <c r="P646" i="2"/>
  <c r="O646" i="2"/>
  <c r="R646" i="2" s="1"/>
  <c r="N648" i="2"/>
  <c r="Q648" i="2" s="1"/>
  <c r="O648" i="2"/>
  <c r="R648" i="2" s="1"/>
  <c r="P650" i="2"/>
  <c r="O650" i="2"/>
  <c r="R650" i="2" s="1"/>
  <c r="N652" i="2"/>
  <c r="Q652" i="2" s="1"/>
  <c r="O652" i="2"/>
  <c r="R652" i="2" s="1"/>
  <c r="P654" i="2"/>
  <c r="O654" i="2"/>
  <c r="R654" i="2" s="1"/>
  <c r="N656" i="2"/>
  <c r="Q656" i="2" s="1"/>
  <c r="O656" i="2"/>
  <c r="R656" i="2" s="1"/>
  <c r="P658" i="2"/>
  <c r="O658" i="2"/>
  <c r="R658" i="2" s="1"/>
  <c r="O659" i="2"/>
  <c r="R659" i="2" s="1"/>
  <c r="O660" i="2"/>
  <c r="R660" i="2" s="1"/>
  <c r="P662" i="2"/>
  <c r="O662" i="2"/>
  <c r="R662" i="2" s="1"/>
  <c r="O663" i="2"/>
  <c r="R663" i="2" s="1"/>
  <c r="O664" i="2"/>
  <c r="R664" i="2" s="1"/>
  <c r="P666" i="2"/>
  <c r="O666" i="2"/>
  <c r="R666" i="2" s="1"/>
  <c r="O667" i="2"/>
  <c r="R667" i="2" s="1"/>
  <c r="O668" i="2"/>
  <c r="R668" i="2" s="1"/>
  <c r="P670" i="2"/>
  <c r="O670" i="2"/>
  <c r="R670" i="2" s="1"/>
  <c r="O671" i="2"/>
  <c r="R671" i="2" s="1"/>
  <c r="O672" i="2"/>
  <c r="R672" i="2" s="1"/>
  <c r="O673" i="2"/>
  <c r="R673" i="2" s="1"/>
  <c r="O674" i="2"/>
  <c r="R674" i="2" s="1"/>
  <c r="O675" i="2"/>
  <c r="R675" i="2" s="1"/>
  <c r="P677" i="2"/>
  <c r="O677" i="2"/>
  <c r="R677" i="2" s="1"/>
  <c r="O678" i="2"/>
  <c r="R678" i="2" s="1"/>
  <c r="O679" i="2"/>
  <c r="R679" i="2" s="1"/>
  <c r="N680" i="2"/>
  <c r="Q680" i="2" s="1"/>
  <c r="P681" i="2"/>
  <c r="N681" i="2"/>
  <c r="Q681" i="2" s="1"/>
  <c r="O682" i="2"/>
  <c r="R682" i="2" s="1"/>
  <c r="O683" i="2"/>
  <c r="R683" i="2" s="1"/>
  <c r="N684" i="2"/>
  <c r="Q684" i="2" s="1"/>
  <c r="O684" i="2"/>
  <c r="R684" i="2" s="1"/>
  <c r="P684" i="2"/>
  <c r="O686" i="2"/>
  <c r="R686" i="2" s="1"/>
  <c r="O687" i="2"/>
  <c r="R687" i="2" s="1"/>
  <c r="N688" i="2"/>
  <c r="Q688" i="2" s="1"/>
  <c r="O688" i="2"/>
  <c r="R688" i="2" s="1"/>
  <c r="P688" i="2"/>
  <c r="P689" i="2"/>
  <c r="O689" i="2"/>
  <c r="R689" i="2" s="1"/>
  <c r="O691" i="2"/>
  <c r="R691" i="2" s="1"/>
  <c r="N692" i="2"/>
  <c r="Q692" i="2" s="1"/>
  <c r="O692" i="2"/>
  <c r="R692" i="2" s="1"/>
  <c r="P692" i="2"/>
  <c r="P693" i="2"/>
  <c r="N693" i="2"/>
  <c r="Q693" i="2" s="1"/>
  <c r="O693" i="2"/>
  <c r="R693" i="2" s="1"/>
  <c r="O694" i="2"/>
  <c r="R694" i="2" s="1"/>
  <c r="O695" i="2"/>
  <c r="R695" i="2" s="1"/>
  <c r="N696" i="2"/>
  <c r="Q696" i="2" s="1"/>
  <c r="O696" i="2"/>
  <c r="R696" i="2" s="1"/>
  <c r="P697" i="2"/>
  <c r="N697" i="2"/>
  <c r="Q697" i="2" s="1"/>
  <c r="O697" i="2"/>
  <c r="R697" i="2" s="1"/>
  <c r="O698" i="2"/>
  <c r="R698" i="2" s="1"/>
  <c r="N700" i="2"/>
  <c r="Q700" i="2" s="1"/>
  <c r="P700" i="2"/>
  <c r="P701" i="2"/>
  <c r="N701" i="2"/>
  <c r="Q701" i="2" s="1"/>
  <c r="O701" i="2"/>
  <c r="R701" i="2" s="1"/>
  <c r="O702" i="2"/>
  <c r="R702" i="2" s="1"/>
  <c r="O703" i="2"/>
  <c r="R703" i="2" s="1"/>
  <c r="N704" i="2"/>
  <c r="Q704" i="2" s="1"/>
  <c r="O704" i="2"/>
  <c r="R704" i="2" s="1"/>
  <c r="P705" i="2"/>
  <c r="N705" i="2"/>
  <c r="Q705" i="2" s="1"/>
  <c r="O706" i="2"/>
  <c r="R706" i="2" s="1"/>
  <c r="O707" i="2"/>
  <c r="R707" i="2" s="1"/>
  <c r="O709" i="2"/>
  <c r="R709" i="2" s="1"/>
  <c r="O710" i="2"/>
  <c r="R710" i="2" s="1"/>
  <c r="O711" i="2"/>
  <c r="R711" i="2" s="1"/>
  <c r="N712" i="2"/>
  <c r="Q712" i="2" s="1"/>
  <c r="P712" i="2"/>
  <c r="P713" i="2"/>
  <c r="N713" i="2"/>
  <c r="Q713" i="2" s="1"/>
  <c r="O715" i="2"/>
  <c r="R715" i="2" s="1"/>
  <c r="N716" i="2"/>
  <c r="Q716" i="2" s="1"/>
  <c r="O716" i="2"/>
  <c r="R716" i="2" s="1"/>
  <c r="P716" i="2"/>
  <c r="P717" i="2"/>
  <c r="N717" i="2"/>
  <c r="Q717" i="2" s="1"/>
  <c r="O717" i="2"/>
  <c r="R717" i="2" s="1"/>
  <c r="N720" i="2"/>
  <c r="Q720" i="2" s="1"/>
  <c r="O720" i="2"/>
  <c r="R720" i="2" s="1"/>
  <c r="P720" i="2"/>
  <c r="P721" i="2"/>
  <c r="N721" i="2"/>
  <c r="Q721" i="2" s="1"/>
  <c r="O721" i="2"/>
  <c r="R721" i="2" s="1"/>
  <c r="N724" i="2"/>
  <c r="Q724" i="2" s="1"/>
  <c r="O724" i="2"/>
  <c r="R724" i="2" s="1"/>
  <c r="P724" i="2"/>
  <c r="P725" i="2"/>
  <c r="N725" i="2"/>
  <c r="Q725" i="2" s="1"/>
  <c r="O725" i="2"/>
  <c r="R725" i="2" s="1"/>
  <c r="N728" i="2"/>
  <c r="Q728" i="2" s="1"/>
  <c r="O728" i="2"/>
  <c r="R728" i="2" s="1"/>
  <c r="P728" i="2"/>
  <c r="P729" i="2"/>
  <c r="N729" i="2"/>
  <c r="Q729" i="2" s="1"/>
  <c r="O729" i="2"/>
  <c r="R729" i="2" s="1"/>
  <c r="N732" i="2"/>
  <c r="Q732" i="2" s="1"/>
  <c r="O732" i="2"/>
  <c r="R732" i="2" s="1"/>
  <c r="P732" i="2"/>
  <c r="P733" i="2"/>
  <c r="N733" i="2"/>
  <c r="Q733" i="2" s="1"/>
  <c r="O733" i="2"/>
  <c r="R733" i="2" s="1"/>
  <c r="N736" i="2"/>
  <c r="Q736" i="2" s="1"/>
  <c r="O736" i="2"/>
  <c r="R736" i="2" s="1"/>
  <c r="P736" i="2"/>
  <c r="P737" i="2"/>
  <c r="N737" i="2"/>
  <c r="Q737" i="2" s="1"/>
  <c r="O737" i="2"/>
  <c r="R737" i="2" s="1"/>
  <c r="N740" i="2"/>
  <c r="Q740" i="2" s="1"/>
  <c r="O740" i="2"/>
  <c r="R740" i="2" s="1"/>
  <c r="P740" i="2"/>
  <c r="P741" i="2"/>
  <c r="N741" i="2"/>
  <c r="Q741" i="2" s="1"/>
  <c r="O741" i="2"/>
  <c r="R741" i="2" s="1"/>
  <c r="N744" i="2"/>
  <c r="Q744" i="2" s="1"/>
  <c r="O744" i="2"/>
  <c r="R744" i="2" s="1"/>
  <c r="P744" i="2"/>
  <c r="P745" i="2"/>
  <c r="N745" i="2"/>
  <c r="Q745" i="2" s="1"/>
  <c r="O745" i="2"/>
  <c r="R745" i="2" s="1"/>
  <c r="O746" i="2"/>
  <c r="R746" i="2" s="1"/>
  <c r="N748" i="2"/>
  <c r="Q748" i="2" s="1"/>
  <c r="O748" i="2"/>
  <c r="R748" i="2" s="1"/>
  <c r="P748" i="2"/>
  <c r="P749" i="2"/>
  <c r="N749" i="2"/>
  <c r="Q749" i="2" s="1"/>
  <c r="O749" i="2"/>
  <c r="R749" i="2" s="1"/>
  <c r="O750" i="2"/>
  <c r="R750" i="2" s="1"/>
  <c r="N752" i="2"/>
  <c r="Q752" i="2" s="1"/>
  <c r="O752" i="2"/>
  <c r="R752" i="2" s="1"/>
  <c r="P752" i="2"/>
  <c r="P753" i="2"/>
  <c r="N753" i="2"/>
  <c r="Q753" i="2" s="1"/>
  <c r="O753" i="2"/>
  <c r="R753" i="2" s="1"/>
  <c r="O754" i="2"/>
  <c r="R754" i="2" s="1"/>
  <c r="N756" i="2"/>
  <c r="Q756" i="2" s="1"/>
  <c r="O756" i="2"/>
  <c r="R756" i="2" s="1"/>
  <c r="P756" i="2"/>
  <c r="P757" i="2"/>
  <c r="N757" i="2"/>
  <c r="Q757" i="2" s="1"/>
  <c r="O757" i="2"/>
  <c r="R757" i="2" s="1"/>
  <c r="O758" i="2"/>
  <c r="R758" i="2" s="1"/>
  <c r="N760" i="2"/>
  <c r="Q760" i="2" s="1"/>
  <c r="O760" i="2"/>
  <c r="R760" i="2" s="1"/>
  <c r="P760" i="2"/>
  <c r="O762" i="2"/>
  <c r="R762" i="2" s="1"/>
  <c r="N764" i="2"/>
  <c r="Q764" i="2" s="1"/>
  <c r="O764" i="2"/>
  <c r="R764" i="2" s="1"/>
  <c r="P764" i="2"/>
  <c r="P765" i="2"/>
  <c r="O765" i="2"/>
  <c r="R765" i="2" s="1"/>
  <c r="O766" i="2"/>
  <c r="R766" i="2" s="1"/>
  <c r="N768" i="2"/>
  <c r="Q768" i="2" s="1"/>
  <c r="O768" i="2"/>
  <c r="R768" i="2" s="1"/>
  <c r="P768" i="2"/>
  <c r="P769" i="2"/>
  <c r="N769" i="2"/>
  <c r="Q769" i="2" s="1"/>
  <c r="O769" i="2"/>
  <c r="R769" i="2" s="1"/>
  <c r="O770" i="2"/>
  <c r="R770" i="2" s="1"/>
  <c r="N772" i="2"/>
  <c r="Q772" i="2" s="1"/>
  <c r="O772" i="2"/>
  <c r="R772" i="2" s="1"/>
  <c r="P772" i="2"/>
  <c r="P773" i="2"/>
  <c r="N773" i="2"/>
  <c r="Q773" i="2" s="1"/>
  <c r="O773" i="2"/>
  <c r="R773" i="2" s="1"/>
  <c r="O774" i="2"/>
  <c r="R774" i="2" s="1"/>
  <c r="N776" i="2"/>
  <c r="Q776" i="2" s="1"/>
  <c r="O776" i="2"/>
  <c r="R776" i="2" s="1"/>
  <c r="P776" i="2"/>
  <c r="P777" i="2"/>
  <c r="O777" i="2"/>
  <c r="R777" i="2" s="1"/>
  <c r="O778" i="2"/>
  <c r="R778" i="2" s="1"/>
  <c r="N780" i="2"/>
  <c r="Q780" i="2" s="1"/>
  <c r="O780" i="2"/>
  <c r="R780" i="2" s="1"/>
  <c r="P780" i="2"/>
  <c r="P781" i="2"/>
  <c r="N781" i="2"/>
  <c r="Q781" i="2" s="1"/>
  <c r="O781" i="2"/>
  <c r="R781" i="2" s="1"/>
  <c r="O782" i="2"/>
  <c r="R782" i="2" s="1"/>
  <c r="N784" i="2"/>
  <c r="Q784" i="2" s="1"/>
  <c r="O784" i="2"/>
  <c r="R784" i="2" s="1"/>
  <c r="P784" i="2"/>
  <c r="O786" i="2"/>
  <c r="R786" i="2" s="1"/>
  <c r="N788" i="2"/>
  <c r="Q788" i="2" s="1"/>
  <c r="O788" i="2"/>
  <c r="R788" i="2" s="1"/>
  <c r="P788" i="2"/>
  <c r="P789" i="2"/>
  <c r="O790" i="2"/>
  <c r="R790" i="2" s="1"/>
  <c r="N792" i="2"/>
  <c r="Q792" i="2" s="1"/>
  <c r="O792" i="2"/>
  <c r="R792" i="2" s="1"/>
  <c r="P792" i="2"/>
  <c r="P793" i="2"/>
  <c r="N793" i="2"/>
  <c r="Q793" i="2" s="1"/>
  <c r="O793" i="2"/>
  <c r="R793" i="2" s="1"/>
  <c r="O794" i="2"/>
  <c r="R794" i="2" s="1"/>
  <c r="N796" i="2"/>
  <c r="Q796" i="2" s="1"/>
  <c r="P796" i="2"/>
  <c r="P797" i="2"/>
  <c r="N797" i="2"/>
  <c r="Q797" i="2" s="1"/>
  <c r="O797" i="2"/>
  <c r="R797" i="2" s="1"/>
  <c r="O798" i="2"/>
  <c r="R798" i="2" s="1"/>
  <c r="O799" i="2"/>
  <c r="R799" i="2"/>
  <c r="N800" i="2"/>
  <c r="Q800" i="2" s="1"/>
  <c r="O800" i="2"/>
  <c r="R800" i="2" s="1"/>
  <c r="P801" i="2"/>
  <c r="O802" i="2"/>
  <c r="R802" i="2" s="1"/>
  <c r="O803" i="2"/>
  <c r="R803" i="2" s="1"/>
  <c r="P805" i="2"/>
  <c r="O805" i="2"/>
  <c r="R805" i="2" s="1"/>
  <c r="O806" i="2"/>
  <c r="R806" i="2" s="1"/>
  <c r="N807" i="2"/>
  <c r="Q807" i="2" s="1"/>
  <c r="P808" i="2"/>
  <c r="N808" i="2"/>
  <c r="Q808" i="2" s="1"/>
  <c r="O808" i="2"/>
  <c r="R808" i="2" s="1"/>
  <c r="P809" i="2"/>
  <c r="N809" i="2"/>
  <c r="Q809" i="2" s="1"/>
  <c r="O809" i="2"/>
  <c r="R809" i="2" s="1"/>
  <c r="O810" i="2"/>
  <c r="R810" i="2" s="1"/>
  <c r="N811" i="2"/>
  <c r="Q811" i="2" s="1"/>
  <c r="O811" i="2"/>
  <c r="R811" i="2" s="1"/>
  <c r="P811" i="2"/>
  <c r="N812" i="2"/>
  <c r="Q812" i="2" s="1"/>
  <c r="O812" i="2"/>
  <c r="R812" i="2" s="1"/>
  <c r="P812" i="2"/>
  <c r="N813" i="2"/>
  <c r="Q813" i="2" s="1"/>
  <c r="P813" i="2"/>
  <c r="O814" i="2"/>
  <c r="R814" i="2" s="1"/>
  <c r="N814" i="2"/>
  <c r="Q814" i="2" s="1"/>
  <c r="N815" i="2"/>
  <c r="Q815" i="2" s="1"/>
  <c r="O815" i="2"/>
  <c r="R815" i="2" s="1"/>
  <c r="P815" i="2"/>
  <c r="N816" i="2"/>
  <c r="Q816" i="2" s="1"/>
  <c r="O816" i="2"/>
  <c r="R816" i="2" s="1"/>
  <c r="P816" i="2"/>
  <c r="N817" i="2"/>
  <c r="Q817" i="2" s="1"/>
  <c r="P817" i="2"/>
  <c r="O818" i="2"/>
  <c r="R818" i="2" s="1"/>
  <c r="N818" i="2"/>
  <c r="Q818" i="2" s="1"/>
  <c r="N819" i="2"/>
  <c r="Q819" i="2" s="1"/>
  <c r="O819" i="2"/>
  <c r="R819" i="2" s="1"/>
  <c r="P819" i="2"/>
  <c r="N820" i="2"/>
  <c r="Q820" i="2" s="1"/>
  <c r="O820" i="2"/>
  <c r="R820" i="2" s="1"/>
  <c r="P820" i="2"/>
  <c r="N821" i="2"/>
  <c r="Q821" i="2" s="1"/>
  <c r="P821" i="2"/>
  <c r="O822" i="2"/>
  <c r="R822" i="2" s="1"/>
  <c r="N822" i="2"/>
  <c r="Q822" i="2" s="1"/>
  <c r="N823" i="2"/>
  <c r="Q823" i="2" s="1"/>
  <c r="O823" i="2"/>
  <c r="R823" i="2" s="1"/>
  <c r="P823" i="2"/>
  <c r="N824" i="2"/>
  <c r="Q824" i="2" s="1"/>
  <c r="O824" i="2"/>
  <c r="R824" i="2" s="1"/>
  <c r="P824" i="2"/>
  <c r="N825" i="2"/>
  <c r="Q825" i="2" s="1"/>
  <c r="P825" i="2"/>
  <c r="O826" i="2"/>
  <c r="R826" i="2" s="1"/>
  <c r="N826" i="2"/>
  <c r="Q826" i="2" s="1"/>
  <c r="N827" i="2"/>
  <c r="Q827" i="2" s="1"/>
  <c r="O827" i="2"/>
  <c r="R827" i="2" s="1"/>
  <c r="P827" i="2"/>
  <c r="N828" i="2"/>
  <c r="Q828" i="2" s="1"/>
  <c r="O828" i="2"/>
  <c r="R828" i="2" s="1"/>
  <c r="P828" i="2"/>
  <c r="N829" i="2"/>
  <c r="Q829" i="2" s="1"/>
  <c r="P829" i="2"/>
  <c r="O830" i="2"/>
  <c r="R830" i="2" s="1"/>
  <c r="N830" i="2"/>
  <c r="Q830" i="2" s="1"/>
  <c r="N831" i="2"/>
  <c r="Q831" i="2" s="1"/>
  <c r="O831" i="2"/>
  <c r="R831" i="2" s="1"/>
  <c r="P831" i="2"/>
  <c r="N832" i="2"/>
  <c r="Q832" i="2" s="1"/>
  <c r="O832" i="2"/>
  <c r="R832" i="2" s="1"/>
  <c r="P832" i="2"/>
  <c r="O833" i="2"/>
  <c r="R833" i="2" s="1"/>
  <c r="N833" i="2"/>
  <c r="Q833" i="2" s="1"/>
  <c r="P833" i="2"/>
  <c r="O834" i="2"/>
  <c r="R834" i="2" s="1"/>
  <c r="N834" i="2"/>
  <c r="Q834" i="2" s="1"/>
  <c r="N835" i="2"/>
  <c r="Q835" i="2" s="1"/>
  <c r="O835" i="2"/>
  <c r="R835" i="2" s="1"/>
  <c r="P835" i="2"/>
  <c r="N836" i="2"/>
  <c r="Q836" i="2" s="1"/>
  <c r="O836" i="2"/>
  <c r="R836" i="2" s="1"/>
  <c r="P836" i="2"/>
  <c r="O837" i="2"/>
  <c r="R837" i="2" s="1"/>
  <c r="N837" i="2"/>
  <c r="Q837" i="2" s="1"/>
  <c r="P837" i="2"/>
  <c r="O838" i="2"/>
  <c r="R838" i="2" s="1"/>
  <c r="N838" i="2"/>
  <c r="Q838" i="2" s="1"/>
  <c r="N839" i="2"/>
  <c r="O839" i="2"/>
  <c r="R839" i="2" s="1"/>
  <c r="P839" i="2"/>
  <c r="Q839" i="2"/>
  <c r="N840" i="2"/>
  <c r="Q840" i="2" s="1"/>
  <c r="O840" i="2"/>
  <c r="R840" i="2" s="1"/>
  <c r="P840" i="2"/>
  <c r="O841" i="2"/>
  <c r="R841" i="2" s="1"/>
  <c r="N841" i="2"/>
  <c r="Q841" i="2" s="1"/>
  <c r="P841" i="2"/>
  <c r="O842" i="2"/>
  <c r="R842" i="2" s="1"/>
  <c r="N842" i="2"/>
  <c r="Q842" i="2" s="1"/>
  <c r="N843" i="2"/>
  <c r="Q843" i="2" s="1"/>
  <c r="O843" i="2"/>
  <c r="R843" i="2" s="1"/>
  <c r="P843" i="2"/>
  <c r="N844" i="2"/>
  <c r="Q844" i="2" s="1"/>
  <c r="O844" i="2"/>
  <c r="R844" i="2" s="1"/>
  <c r="P844" i="2"/>
  <c r="O845" i="2"/>
  <c r="R845" i="2" s="1"/>
  <c r="N845" i="2"/>
  <c r="Q845" i="2" s="1"/>
  <c r="P845" i="2"/>
  <c r="O846" i="2"/>
  <c r="R846" i="2" s="1"/>
  <c r="N846" i="2"/>
  <c r="Q846" i="2" s="1"/>
  <c r="N847" i="2"/>
  <c r="Q847" i="2" s="1"/>
  <c r="O847" i="2"/>
  <c r="R847" i="2" s="1"/>
  <c r="P847" i="2"/>
  <c r="N848" i="2"/>
  <c r="Q848" i="2" s="1"/>
  <c r="O848" i="2"/>
  <c r="R848" i="2" s="1"/>
  <c r="P848" i="2"/>
  <c r="O849" i="2"/>
  <c r="R849" i="2" s="1"/>
  <c r="N849" i="2"/>
  <c r="Q849" i="2" s="1"/>
  <c r="P849" i="2"/>
  <c r="O850" i="2"/>
  <c r="R850" i="2" s="1"/>
  <c r="N850" i="2"/>
  <c r="Q850" i="2" s="1"/>
  <c r="N851" i="2"/>
  <c r="Q851" i="2" s="1"/>
  <c r="O851" i="2"/>
  <c r="R851" i="2" s="1"/>
  <c r="P851" i="2"/>
  <c r="N852" i="2"/>
  <c r="Q852" i="2" s="1"/>
  <c r="O852" i="2"/>
  <c r="P852" i="2"/>
  <c r="R852" i="2"/>
  <c r="O853" i="2"/>
  <c r="R853" i="2" s="1"/>
  <c r="N853" i="2"/>
  <c r="Q853" i="2" s="1"/>
  <c r="P853" i="2"/>
  <c r="O854" i="2"/>
  <c r="R854" i="2" s="1"/>
  <c r="N854" i="2"/>
  <c r="Q854" i="2" s="1"/>
  <c r="N855" i="2"/>
  <c r="Q855" i="2" s="1"/>
  <c r="O855" i="2"/>
  <c r="R855" i="2" s="1"/>
  <c r="P855" i="2"/>
  <c r="N856" i="2"/>
  <c r="Q856" i="2" s="1"/>
  <c r="O856" i="2"/>
  <c r="R856" i="2" s="1"/>
  <c r="P856" i="2"/>
  <c r="O857" i="2"/>
  <c r="R857" i="2" s="1"/>
  <c r="N857" i="2"/>
  <c r="Q857" i="2" s="1"/>
  <c r="P857" i="2"/>
  <c r="O858" i="2"/>
  <c r="R858" i="2" s="1"/>
  <c r="N858" i="2"/>
  <c r="Q858" i="2" s="1"/>
  <c r="N859" i="2"/>
  <c r="Q859" i="2" s="1"/>
  <c r="O859" i="2"/>
  <c r="R859" i="2" s="1"/>
  <c r="P859" i="2"/>
  <c r="N860" i="2"/>
  <c r="Q860" i="2" s="1"/>
  <c r="O860" i="2"/>
  <c r="R860" i="2" s="1"/>
  <c r="P860" i="2"/>
  <c r="O861" i="2"/>
  <c r="R861" i="2" s="1"/>
  <c r="N861" i="2"/>
  <c r="Q861" i="2" s="1"/>
  <c r="P861" i="2"/>
  <c r="O862" i="2"/>
  <c r="R862" i="2" s="1"/>
  <c r="N862" i="2"/>
  <c r="Q862" i="2" s="1"/>
  <c r="N863" i="2"/>
  <c r="Q863" i="2" s="1"/>
  <c r="O863" i="2"/>
  <c r="R863" i="2" s="1"/>
  <c r="P863" i="2"/>
  <c r="N864" i="2"/>
  <c r="Q864" i="2" s="1"/>
  <c r="O864" i="2"/>
  <c r="R864" i="2" s="1"/>
  <c r="P864" i="2"/>
  <c r="O865" i="2"/>
  <c r="R865" i="2" s="1"/>
  <c r="N865" i="2"/>
  <c r="Q865" i="2" s="1"/>
  <c r="P865" i="2"/>
  <c r="O866" i="2"/>
  <c r="R866" i="2" s="1"/>
  <c r="N866" i="2"/>
  <c r="Q866" i="2" s="1"/>
  <c r="N867" i="2"/>
  <c r="Q867" i="2" s="1"/>
  <c r="O867" i="2"/>
  <c r="R867" i="2" s="1"/>
  <c r="P867" i="2"/>
  <c r="N868" i="2"/>
  <c r="Q868" i="2" s="1"/>
  <c r="O868" i="2"/>
  <c r="R868" i="2" s="1"/>
  <c r="P868" i="2"/>
  <c r="O869" i="2"/>
  <c r="R869" i="2" s="1"/>
  <c r="N869" i="2"/>
  <c r="Q869" i="2" s="1"/>
  <c r="P869" i="2"/>
  <c r="O870" i="2"/>
  <c r="R870" i="2" s="1"/>
  <c r="N870" i="2"/>
  <c r="Q870" i="2" s="1"/>
  <c r="N871" i="2"/>
  <c r="Q871" i="2" s="1"/>
  <c r="O871" i="2"/>
  <c r="R871" i="2" s="1"/>
  <c r="P871" i="2"/>
  <c r="N872" i="2"/>
  <c r="Q872" i="2" s="1"/>
  <c r="O872" i="2"/>
  <c r="R872" i="2" s="1"/>
  <c r="P872" i="2"/>
  <c r="O873" i="2"/>
  <c r="R873" i="2" s="1"/>
  <c r="N873" i="2"/>
  <c r="Q873" i="2" s="1"/>
  <c r="P873" i="2"/>
  <c r="O874" i="2"/>
  <c r="R874" i="2" s="1"/>
  <c r="N874" i="2"/>
  <c r="Q874" i="2" s="1"/>
  <c r="N875" i="2"/>
  <c r="O875" i="2"/>
  <c r="R875" i="2" s="1"/>
  <c r="P875" i="2"/>
  <c r="Q875" i="2"/>
  <c r="N876" i="2"/>
  <c r="Q876" i="2" s="1"/>
  <c r="O876" i="2"/>
  <c r="R876" i="2" s="1"/>
  <c r="P876" i="2"/>
  <c r="O877" i="2"/>
  <c r="R877" i="2" s="1"/>
  <c r="N877" i="2"/>
  <c r="Q877" i="2" s="1"/>
  <c r="P877" i="2"/>
  <c r="O878" i="2"/>
  <c r="R878" i="2" s="1"/>
  <c r="N878" i="2"/>
  <c r="Q878" i="2" s="1"/>
  <c r="N879" i="2"/>
  <c r="Q879" i="2" s="1"/>
  <c r="O879" i="2"/>
  <c r="R879" i="2" s="1"/>
  <c r="P879" i="2"/>
  <c r="N880" i="2"/>
  <c r="Q880" i="2" s="1"/>
  <c r="O880" i="2"/>
  <c r="R880" i="2" s="1"/>
  <c r="P880" i="2"/>
  <c r="O881" i="2"/>
  <c r="R881" i="2" s="1"/>
  <c r="N881" i="2"/>
  <c r="Q881" i="2" s="1"/>
  <c r="P881" i="2"/>
  <c r="O882" i="2"/>
  <c r="R882" i="2" s="1"/>
  <c r="N882" i="2"/>
  <c r="Q882" i="2" s="1"/>
  <c r="N883" i="2"/>
  <c r="Q883" i="2" s="1"/>
  <c r="O883" i="2"/>
  <c r="R883" i="2" s="1"/>
  <c r="P883" i="2"/>
  <c r="N884" i="2"/>
  <c r="Q884" i="2" s="1"/>
  <c r="O884" i="2"/>
  <c r="R884" i="2" s="1"/>
  <c r="P884" i="2"/>
  <c r="O885" i="2"/>
  <c r="R885" i="2" s="1"/>
  <c r="N885" i="2"/>
  <c r="Q885" i="2" s="1"/>
  <c r="P885" i="2"/>
  <c r="O886" i="2"/>
  <c r="R886" i="2" s="1"/>
  <c r="N886" i="2"/>
  <c r="Q886" i="2" s="1"/>
  <c r="N887" i="2"/>
  <c r="Q887" i="2" s="1"/>
  <c r="O887" i="2"/>
  <c r="R887" i="2" s="1"/>
  <c r="P887" i="2"/>
  <c r="N888" i="2"/>
  <c r="Q888" i="2" s="1"/>
  <c r="O888" i="2"/>
  <c r="P888" i="2"/>
  <c r="R888" i="2"/>
  <c r="O889" i="2"/>
  <c r="R889" i="2" s="1"/>
  <c r="N889" i="2"/>
  <c r="Q889" i="2" s="1"/>
  <c r="P889" i="2"/>
  <c r="O890" i="2"/>
  <c r="R890" i="2" s="1"/>
  <c r="N890" i="2"/>
  <c r="Q890" i="2" s="1"/>
  <c r="N891" i="2"/>
  <c r="O891" i="2"/>
  <c r="P891" i="2"/>
  <c r="Q891" i="2"/>
  <c r="R891" i="2"/>
  <c r="N892" i="2"/>
  <c r="Q892" i="2" s="1"/>
  <c r="O892" i="2"/>
  <c r="R892" i="2" s="1"/>
  <c r="P892" i="2"/>
  <c r="O893" i="2"/>
  <c r="R893" i="2" s="1"/>
  <c r="N893" i="2"/>
  <c r="Q893" i="2" s="1"/>
  <c r="P893" i="2"/>
  <c r="O894" i="2"/>
  <c r="R894" i="2" s="1"/>
  <c r="N894" i="2"/>
  <c r="Q894" i="2" s="1"/>
  <c r="N895" i="2"/>
  <c r="Q895" i="2" s="1"/>
  <c r="O895" i="2"/>
  <c r="R895" i="2" s="1"/>
  <c r="P895" i="2"/>
  <c r="N896" i="2"/>
  <c r="Q896" i="2" s="1"/>
  <c r="O896" i="2"/>
  <c r="R896" i="2" s="1"/>
  <c r="P896" i="2"/>
  <c r="O897" i="2"/>
  <c r="R897" i="2" s="1"/>
  <c r="N897" i="2"/>
  <c r="Q897" i="2" s="1"/>
  <c r="P897" i="2"/>
  <c r="O898" i="2"/>
  <c r="R898" i="2" s="1"/>
  <c r="N898" i="2"/>
  <c r="Q898" i="2" s="1"/>
  <c r="N899" i="2"/>
  <c r="O899" i="2"/>
  <c r="R899" i="2" s="1"/>
  <c r="P899" i="2"/>
  <c r="Q899" i="2"/>
  <c r="N900" i="2"/>
  <c r="Q900" i="2" s="1"/>
  <c r="O900" i="2"/>
  <c r="R900" i="2" s="1"/>
  <c r="P900" i="2"/>
  <c r="O901" i="2"/>
  <c r="R901" i="2" s="1"/>
  <c r="N901" i="2"/>
  <c r="Q901" i="2" s="1"/>
  <c r="P901" i="2"/>
  <c r="O902" i="2"/>
  <c r="R902" i="2" s="1"/>
  <c r="N902" i="2"/>
  <c r="Q902" i="2" s="1"/>
  <c r="N903" i="2"/>
  <c r="Q903" i="2" s="1"/>
  <c r="O903" i="2"/>
  <c r="R903" i="2" s="1"/>
  <c r="P903" i="2"/>
  <c r="N904" i="2"/>
  <c r="Q904" i="2" s="1"/>
  <c r="O904" i="2"/>
  <c r="R904" i="2" s="1"/>
  <c r="P904" i="2"/>
  <c r="O905" i="2"/>
  <c r="R905" i="2" s="1"/>
  <c r="N905" i="2"/>
  <c r="Q905" i="2" s="1"/>
  <c r="P905" i="2"/>
  <c r="O906" i="2"/>
  <c r="R906" i="2" s="1"/>
  <c r="N906" i="2"/>
  <c r="Q906" i="2" s="1"/>
  <c r="N907" i="2"/>
  <c r="O907" i="2"/>
  <c r="R907" i="2" s="1"/>
  <c r="P907" i="2"/>
  <c r="Q907" i="2"/>
  <c r="N908" i="2"/>
  <c r="Q908" i="2" s="1"/>
  <c r="O908" i="2"/>
  <c r="R908" i="2" s="1"/>
  <c r="P908" i="2"/>
  <c r="O909" i="2"/>
  <c r="R909" i="2" s="1"/>
  <c r="N909" i="2"/>
  <c r="Q909" i="2" s="1"/>
  <c r="P909" i="2"/>
  <c r="O910" i="2"/>
  <c r="R910" i="2" s="1"/>
  <c r="N910" i="2"/>
  <c r="Q910" i="2" s="1"/>
  <c r="N911" i="2"/>
  <c r="Q911" i="2" s="1"/>
  <c r="O911" i="2"/>
  <c r="R911" i="2" s="1"/>
  <c r="P911" i="2"/>
  <c r="N912" i="2"/>
  <c r="Q912" i="2" s="1"/>
  <c r="O912" i="2"/>
  <c r="R912" i="2" s="1"/>
  <c r="P912" i="2"/>
  <c r="O913" i="2"/>
  <c r="R913" i="2" s="1"/>
  <c r="N913" i="2"/>
  <c r="Q913" i="2" s="1"/>
  <c r="P913" i="2"/>
  <c r="O914" i="2"/>
  <c r="R914" i="2" s="1"/>
  <c r="N914" i="2"/>
  <c r="Q914" i="2" s="1"/>
  <c r="N915" i="2"/>
  <c r="Q915" i="2" s="1"/>
  <c r="O915" i="2"/>
  <c r="R915" i="2" s="1"/>
  <c r="P915" i="2"/>
  <c r="N916" i="2"/>
  <c r="Q916" i="2" s="1"/>
  <c r="O916" i="2"/>
  <c r="R916" i="2" s="1"/>
  <c r="P916" i="2"/>
  <c r="O917" i="2"/>
  <c r="R917" i="2" s="1"/>
  <c r="N917" i="2"/>
  <c r="Q917" i="2" s="1"/>
  <c r="P917" i="2"/>
  <c r="O918" i="2"/>
  <c r="R918" i="2" s="1"/>
  <c r="N918" i="2"/>
  <c r="Q918" i="2" s="1"/>
  <c r="N919" i="2"/>
  <c r="Q919" i="2" s="1"/>
  <c r="O919" i="2"/>
  <c r="R919" i="2" s="1"/>
  <c r="P919" i="2"/>
  <c r="N920" i="2"/>
  <c r="Q920" i="2" s="1"/>
  <c r="O920" i="2"/>
  <c r="R920" i="2" s="1"/>
  <c r="P920" i="2"/>
  <c r="O921" i="2"/>
  <c r="R921" i="2" s="1"/>
  <c r="N921" i="2"/>
  <c r="Q921" i="2" s="1"/>
  <c r="P921" i="2"/>
  <c r="O922" i="2"/>
  <c r="R922" i="2" s="1"/>
  <c r="N922" i="2"/>
  <c r="Q922" i="2" s="1"/>
  <c r="N923" i="2"/>
  <c r="Q923" i="2" s="1"/>
  <c r="O923" i="2"/>
  <c r="R923" i="2" s="1"/>
  <c r="P923" i="2"/>
  <c r="N924" i="2"/>
  <c r="Q924" i="2" s="1"/>
  <c r="O924" i="2"/>
  <c r="R924" i="2" s="1"/>
  <c r="P924" i="2"/>
  <c r="O925" i="2"/>
  <c r="R925" i="2" s="1"/>
  <c r="N925" i="2"/>
  <c r="Q925" i="2" s="1"/>
  <c r="P925" i="2"/>
  <c r="O926" i="2"/>
  <c r="R926" i="2" s="1"/>
  <c r="N926" i="2"/>
  <c r="Q926" i="2" s="1"/>
  <c r="N927" i="2"/>
  <c r="Q927" i="2" s="1"/>
  <c r="O927" i="2"/>
  <c r="R927" i="2" s="1"/>
  <c r="P927" i="2"/>
  <c r="N928" i="2"/>
  <c r="Q928" i="2" s="1"/>
  <c r="O928" i="2"/>
  <c r="R928" i="2" s="1"/>
  <c r="P928" i="2"/>
  <c r="O929" i="2"/>
  <c r="R929" i="2" s="1"/>
  <c r="N929" i="2"/>
  <c r="Q929" i="2" s="1"/>
  <c r="P929" i="2"/>
  <c r="O930" i="2"/>
  <c r="R930" i="2" s="1"/>
  <c r="N930" i="2"/>
  <c r="Q930" i="2" s="1"/>
  <c r="N931" i="2"/>
  <c r="Q931" i="2" s="1"/>
  <c r="O931" i="2"/>
  <c r="R931" i="2" s="1"/>
  <c r="P931" i="2"/>
  <c r="N932" i="2"/>
  <c r="Q932" i="2" s="1"/>
  <c r="O932" i="2"/>
  <c r="P932" i="2"/>
  <c r="R932" i="2"/>
  <c r="O933" i="2"/>
  <c r="R933" i="2" s="1"/>
  <c r="N933" i="2"/>
  <c r="Q933" i="2" s="1"/>
  <c r="P933" i="2"/>
  <c r="O934" i="2"/>
  <c r="R934" i="2" s="1"/>
  <c r="N934" i="2"/>
  <c r="Q934" i="2" s="1"/>
  <c r="N935" i="2"/>
  <c r="O935" i="2"/>
  <c r="R935" i="2" s="1"/>
  <c r="P935" i="2"/>
  <c r="Q935" i="2"/>
  <c r="N936" i="2"/>
  <c r="Q936" i="2" s="1"/>
  <c r="O936" i="2"/>
  <c r="R936" i="2" s="1"/>
  <c r="P936" i="2"/>
  <c r="O937" i="2"/>
  <c r="R937" i="2" s="1"/>
  <c r="N937" i="2"/>
  <c r="Q937" i="2" s="1"/>
  <c r="P937" i="2"/>
  <c r="O938" i="2"/>
  <c r="R938" i="2" s="1"/>
  <c r="N938" i="2"/>
  <c r="Q938" i="2" s="1"/>
  <c r="N939" i="2"/>
  <c r="Q939" i="2" s="1"/>
  <c r="O939" i="2"/>
  <c r="P939" i="2"/>
  <c r="R939" i="2"/>
  <c r="N940" i="2"/>
  <c r="Q940" i="2" s="1"/>
  <c r="O940" i="2"/>
  <c r="R940" i="2" s="1"/>
  <c r="P940" i="2"/>
  <c r="O941" i="2"/>
  <c r="R941" i="2" s="1"/>
  <c r="N941" i="2"/>
  <c r="Q941" i="2" s="1"/>
  <c r="P941" i="2"/>
  <c r="O942" i="2"/>
  <c r="R942" i="2" s="1"/>
  <c r="N942" i="2"/>
  <c r="Q942" i="2" s="1"/>
  <c r="N943" i="2"/>
  <c r="O943" i="2"/>
  <c r="R943" i="2" s="1"/>
  <c r="P943" i="2"/>
  <c r="Q943" i="2"/>
  <c r="N944" i="2"/>
  <c r="Q944" i="2" s="1"/>
  <c r="O944" i="2"/>
  <c r="R944" i="2" s="1"/>
  <c r="P944" i="2"/>
  <c r="O945" i="2"/>
  <c r="R945" i="2" s="1"/>
  <c r="N945" i="2"/>
  <c r="Q945" i="2" s="1"/>
  <c r="P945" i="2"/>
  <c r="O946" i="2"/>
  <c r="R946" i="2" s="1"/>
  <c r="N946" i="2"/>
  <c r="Q946" i="2" s="1"/>
  <c r="N947" i="2"/>
  <c r="Q947" i="2" s="1"/>
  <c r="O947" i="2"/>
  <c r="R947" i="2" s="1"/>
  <c r="P947" i="2"/>
  <c r="N948" i="2"/>
  <c r="Q948" i="2" s="1"/>
  <c r="O948" i="2"/>
  <c r="R948" i="2" s="1"/>
  <c r="P948" i="2"/>
  <c r="O949" i="2"/>
  <c r="R949" i="2" s="1"/>
  <c r="O950" i="2"/>
  <c r="R950" i="2" s="1"/>
  <c r="N950" i="2"/>
  <c r="Q950" i="2" s="1"/>
  <c r="N951" i="2"/>
  <c r="Q951" i="2" s="1"/>
  <c r="O951" i="2"/>
  <c r="P951" i="2"/>
  <c r="R951" i="2"/>
  <c r="N952" i="2"/>
  <c r="Q952" i="2" s="1"/>
  <c r="O952" i="2"/>
  <c r="R952" i="2" s="1"/>
  <c r="P952" i="2"/>
  <c r="O953" i="2"/>
  <c r="R953" i="2" s="1"/>
  <c r="O954" i="2"/>
  <c r="R954" i="2" s="1"/>
  <c r="N954" i="2"/>
  <c r="Q954" i="2" s="1"/>
  <c r="N955" i="2"/>
  <c r="Q955" i="2" s="1"/>
  <c r="O955" i="2"/>
  <c r="R955" i="2" s="1"/>
  <c r="P955" i="2"/>
  <c r="N956" i="2"/>
  <c r="Q956" i="2" s="1"/>
  <c r="O956" i="2"/>
  <c r="R956" i="2" s="1"/>
  <c r="P956" i="2"/>
  <c r="O957" i="2"/>
  <c r="R957" i="2" s="1"/>
  <c r="P957" i="2"/>
  <c r="O958" i="2"/>
  <c r="R958" i="2" s="1"/>
  <c r="N958" i="2"/>
  <c r="Q958" i="2" s="1"/>
  <c r="N959" i="2"/>
  <c r="Q959" i="2" s="1"/>
  <c r="O959" i="2"/>
  <c r="R959" i="2" s="1"/>
  <c r="P959" i="2"/>
  <c r="N960" i="2"/>
  <c r="Q960" i="2" s="1"/>
  <c r="O960" i="2"/>
  <c r="R960" i="2" s="1"/>
  <c r="P960" i="2"/>
  <c r="O961" i="2"/>
  <c r="R961" i="2" s="1"/>
  <c r="N961" i="2"/>
  <c r="Q961" i="2" s="1"/>
  <c r="P961" i="2"/>
  <c r="O962" i="2"/>
  <c r="R962" i="2" s="1"/>
  <c r="N962" i="2"/>
  <c r="Q962" i="2" s="1"/>
  <c r="N963" i="2"/>
  <c r="Q963" i="2" s="1"/>
  <c r="O963" i="2"/>
  <c r="R963" i="2" s="1"/>
  <c r="P963" i="2"/>
  <c r="N964" i="2"/>
  <c r="Q964" i="2" s="1"/>
  <c r="O964" i="2"/>
  <c r="R964" i="2" s="1"/>
  <c r="P964" i="2"/>
  <c r="O965" i="2"/>
  <c r="R965" i="2" s="1"/>
  <c r="O966" i="2"/>
  <c r="R966" i="2" s="1"/>
  <c r="N966" i="2"/>
  <c r="Q966" i="2" s="1"/>
  <c r="N967" i="2"/>
  <c r="Q967" i="2" s="1"/>
  <c r="O967" i="2"/>
  <c r="R967" i="2" s="1"/>
  <c r="P967" i="2"/>
  <c r="N968" i="2"/>
  <c r="Q968" i="2" s="1"/>
  <c r="O968" i="2"/>
  <c r="R968" i="2" s="1"/>
  <c r="P968" i="2"/>
  <c r="O969" i="2"/>
  <c r="R969" i="2" s="1"/>
  <c r="O970" i="2"/>
  <c r="R970" i="2" s="1"/>
  <c r="N970" i="2"/>
  <c r="Q970" i="2" s="1"/>
  <c r="N971" i="2"/>
  <c r="Q971" i="2" s="1"/>
  <c r="O971" i="2"/>
  <c r="R971" i="2" s="1"/>
  <c r="P971" i="2"/>
  <c r="N972" i="2"/>
  <c r="Q972" i="2" s="1"/>
  <c r="O972" i="2"/>
  <c r="R972" i="2" s="1"/>
  <c r="P972" i="2"/>
  <c r="O973" i="2"/>
  <c r="R973" i="2" s="1"/>
  <c r="N973" i="2"/>
  <c r="Q973" i="2" s="1"/>
  <c r="O974" i="2"/>
  <c r="N974" i="2"/>
  <c r="Q974" i="2" s="1"/>
  <c r="R974" i="2"/>
  <c r="N975" i="2"/>
  <c r="Q975" i="2" s="1"/>
  <c r="O975" i="2"/>
  <c r="R975" i="2" s="1"/>
  <c r="P975" i="2"/>
  <c r="N976" i="2"/>
  <c r="Q976" i="2" s="1"/>
  <c r="O976" i="2"/>
  <c r="P976" i="2"/>
  <c r="R976" i="2"/>
  <c r="O977" i="2"/>
  <c r="R977" i="2" s="1"/>
  <c r="O978" i="2"/>
  <c r="R978" i="2" s="1"/>
  <c r="N978" i="2"/>
  <c r="Q978" i="2" s="1"/>
  <c r="N979" i="2"/>
  <c r="Q979" i="2" s="1"/>
  <c r="O979" i="2"/>
  <c r="P979" i="2"/>
  <c r="R979" i="2"/>
  <c r="N980" i="2"/>
  <c r="Q980" i="2" s="1"/>
  <c r="O980" i="2"/>
  <c r="R980" i="2" s="1"/>
  <c r="P980" i="2"/>
  <c r="O981" i="2"/>
  <c r="R981" i="2" s="1"/>
  <c r="N981" i="2"/>
  <c r="Q981" i="2" s="1"/>
  <c r="P981" i="2"/>
  <c r="O982" i="2"/>
  <c r="R982" i="2" s="1"/>
  <c r="N982" i="2"/>
  <c r="Q982" i="2" s="1"/>
  <c r="N983" i="2"/>
  <c r="Q983" i="2" s="1"/>
  <c r="O983" i="2"/>
  <c r="R983" i="2" s="1"/>
  <c r="P983" i="2"/>
  <c r="N984" i="2"/>
  <c r="Q984" i="2" s="1"/>
  <c r="O984" i="2"/>
  <c r="R984" i="2" s="1"/>
  <c r="P984" i="2"/>
  <c r="O985" i="2"/>
  <c r="R985" i="2" s="1"/>
  <c r="O986" i="2"/>
  <c r="R986" i="2" s="1"/>
  <c r="N986" i="2"/>
  <c r="Q986" i="2" s="1"/>
  <c r="N987" i="2"/>
  <c r="Q987" i="2" s="1"/>
  <c r="O987" i="2"/>
  <c r="R987" i="2" s="1"/>
  <c r="P987" i="2"/>
  <c r="N988" i="2"/>
  <c r="Q988" i="2" s="1"/>
  <c r="O988" i="2"/>
  <c r="R988" i="2" s="1"/>
  <c r="P988" i="2"/>
  <c r="O989" i="2"/>
  <c r="R989" i="2" s="1"/>
  <c r="P989" i="2"/>
  <c r="O990" i="2"/>
  <c r="R990" i="2" s="1"/>
  <c r="N990" i="2"/>
  <c r="Q990" i="2" s="1"/>
  <c r="N991" i="2"/>
  <c r="Q991" i="2" s="1"/>
  <c r="O991" i="2"/>
  <c r="R991" i="2" s="1"/>
  <c r="P991" i="2"/>
  <c r="N992" i="2"/>
  <c r="Q992" i="2" s="1"/>
  <c r="O992" i="2"/>
  <c r="R992" i="2" s="1"/>
  <c r="P992" i="2"/>
  <c r="O993" i="2"/>
  <c r="R993" i="2" s="1"/>
  <c r="N993" i="2"/>
  <c r="Q993" i="2" s="1"/>
  <c r="P993" i="2"/>
  <c r="O994" i="2"/>
  <c r="R994" i="2" s="1"/>
  <c r="N994" i="2"/>
  <c r="Q994" i="2" s="1"/>
  <c r="N995" i="2"/>
  <c r="Q995" i="2" s="1"/>
  <c r="O995" i="2"/>
  <c r="R995" i="2" s="1"/>
  <c r="P995" i="2"/>
  <c r="N996" i="2"/>
  <c r="Q996" i="2" s="1"/>
  <c r="O996" i="2"/>
  <c r="P996" i="2"/>
  <c r="R996" i="2"/>
  <c r="O997" i="2"/>
  <c r="R997" i="2" s="1"/>
  <c r="N997" i="2"/>
  <c r="Q997" i="2" s="1"/>
  <c r="P997" i="2"/>
  <c r="O998" i="2"/>
  <c r="R998" i="2" s="1"/>
  <c r="N998" i="2"/>
  <c r="Q998" i="2" s="1"/>
  <c r="N999" i="2"/>
  <c r="Q999" i="2" s="1"/>
  <c r="O999" i="2"/>
  <c r="R999" i="2" s="1"/>
  <c r="P999" i="2"/>
  <c r="N1000" i="2"/>
  <c r="Q1000" i="2" s="1"/>
  <c r="O1000" i="2"/>
  <c r="R1000" i="2" s="1"/>
  <c r="P1000" i="2"/>
  <c r="O1001" i="2"/>
  <c r="R1001" i="2" s="1"/>
  <c r="P1001" i="2"/>
  <c r="O1002" i="2"/>
  <c r="R1002" i="2" s="1"/>
  <c r="N1002" i="2"/>
  <c r="Q1002" i="2" s="1"/>
  <c r="N1003" i="2"/>
  <c r="Q1003" i="2" s="1"/>
  <c r="O1003" i="2"/>
  <c r="R1003" i="2" s="1"/>
  <c r="P1003" i="2"/>
  <c r="N1004" i="2"/>
  <c r="Q1004" i="2" s="1"/>
  <c r="O1004" i="2"/>
  <c r="R1004" i="2" s="1"/>
  <c r="P1004" i="2"/>
  <c r="O1005" i="2"/>
  <c r="R1005" i="2" s="1"/>
  <c r="N1005" i="2"/>
  <c r="Q1005" i="2" s="1"/>
  <c r="O1006" i="2"/>
  <c r="R1006" i="2" s="1"/>
  <c r="N1006" i="2"/>
  <c r="Q1006" i="2" s="1"/>
  <c r="N1007" i="2"/>
  <c r="Q1007" i="2" s="1"/>
  <c r="O1007" i="2"/>
  <c r="R1007" i="2" s="1"/>
  <c r="P1007" i="2"/>
  <c r="N1008" i="2"/>
  <c r="Q1008" i="2" s="1"/>
  <c r="O1008" i="2"/>
  <c r="R1008" i="2" s="1"/>
  <c r="P1008" i="2"/>
  <c r="O1009" i="2"/>
  <c r="R1009" i="2" s="1"/>
  <c r="O1010" i="2"/>
  <c r="R1010" i="2" s="1"/>
  <c r="N1010" i="2"/>
  <c r="Q1010" i="2" s="1"/>
  <c r="N1011" i="2"/>
  <c r="Q1011" i="2" s="1"/>
  <c r="O1011" i="2"/>
  <c r="R1011" i="2" s="1"/>
  <c r="P1011" i="2"/>
  <c r="N1012" i="2"/>
  <c r="Q1012" i="2" s="1"/>
  <c r="O1012" i="2"/>
  <c r="R1012" i="2" s="1"/>
  <c r="P1012" i="2"/>
  <c r="O1013" i="2"/>
  <c r="R1013" i="2" s="1"/>
  <c r="N1013" i="2"/>
  <c r="Q1013" i="2" s="1"/>
  <c r="P1013" i="2"/>
  <c r="O1014" i="2"/>
  <c r="R1014" i="2" s="1"/>
  <c r="N1014" i="2"/>
  <c r="Q1014" i="2" s="1"/>
  <c r="N1015" i="2"/>
  <c r="O1015" i="2"/>
  <c r="R1015" i="2" s="1"/>
  <c r="P1015" i="2"/>
  <c r="Q1015" i="2"/>
  <c r="N1016" i="2"/>
  <c r="Q1016" i="2" s="1"/>
  <c r="O1016" i="2"/>
  <c r="R1016" i="2" s="1"/>
  <c r="P1016" i="2"/>
  <c r="O1017" i="2"/>
  <c r="R1017" i="2" s="1"/>
  <c r="O1018" i="2"/>
  <c r="R1018" i="2" s="1"/>
  <c r="N1018" i="2"/>
  <c r="Q1018" i="2" s="1"/>
  <c r="N1019" i="2"/>
  <c r="Q1019" i="2" s="1"/>
  <c r="O1019" i="2"/>
  <c r="R1019" i="2" s="1"/>
  <c r="P1019" i="2"/>
  <c r="P1020" i="2"/>
  <c r="O1020" i="2"/>
  <c r="R1020" i="2" s="1"/>
  <c r="O1021" i="2"/>
  <c r="R1021" i="2" s="1"/>
  <c r="N1021" i="2"/>
  <c r="Q1021" i="2" s="1"/>
  <c r="O1022" i="2"/>
  <c r="R1022" i="2" s="1"/>
  <c r="N1023" i="2"/>
  <c r="Q1023" i="2" s="1"/>
  <c r="O1023" i="2"/>
  <c r="R1023" i="2" s="1"/>
  <c r="P1023" i="2"/>
  <c r="N1024" i="2"/>
  <c r="Q1024" i="2" s="1"/>
  <c r="N1025" i="2"/>
  <c r="Q1025" i="2" s="1"/>
  <c r="O1025" i="2"/>
  <c r="R1025" i="2" s="1"/>
  <c r="P1025" i="2"/>
  <c r="O1026" i="2"/>
  <c r="R1026" i="2" s="1"/>
  <c r="N1026" i="2"/>
  <c r="Q1026" i="2" s="1"/>
  <c r="P1026" i="2"/>
  <c r="N1027" i="2"/>
  <c r="Q1027" i="2" s="1"/>
  <c r="O1027" i="2"/>
  <c r="R1027" i="2" s="1"/>
  <c r="P1027" i="2"/>
  <c r="P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H4" i="2"/>
  <c r="D4" i="2"/>
  <c r="J50" i="2"/>
  <c r="J62" i="2"/>
  <c r="J126" i="2"/>
  <c r="J161" i="2"/>
  <c r="J178" i="2"/>
  <c r="J190" i="2"/>
  <c r="J241" i="2"/>
  <c r="J249" i="2"/>
  <c r="J274" i="2"/>
  <c r="J290" i="2"/>
  <c r="J299" i="2"/>
  <c r="J350" i="2"/>
  <c r="J379" i="2"/>
  <c r="J401" i="2"/>
  <c r="J430" i="2"/>
  <c r="J446" i="2"/>
  <c r="J481" i="2"/>
  <c r="J505" i="2"/>
  <c r="J530" i="2"/>
  <c r="J546" i="2"/>
  <c r="J555" i="2"/>
  <c r="J585" i="2"/>
  <c r="J601" i="2"/>
  <c r="J606" i="2"/>
  <c r="J635" i="2"/>
  <c r="J651" i="2"/>
  <c r="J684" i="2"/>
  <c r="J692" i="2"/>
  <c r="J694" i="2"/>
  <c r="J721" i="2"/>
  <c r="J734" i="2"/>
  <c r="J742" i="2"/>
  <c r="J747" i="2"/>
  <c r="J761" i="2"/>
  <c r="J769" i="2"/>
  <c r="J787" i="2"/>
  <c r="J795" i="2"/>
  <c r="J812" i="2"/>
  <c r="J820" i="2"/>
  <c r="J822" i="2"/>
  <c r="J837" i="2"/>
  <c r="J862" i="2"/>
  <c r="J870" i="2"/>
  <c r="J875" i="2"/>
  <c r="J889" i="2"/>
  <c r="J897" i="2"/>
  <c r="J900" i="2"/>
  <c r="J915" i="2"/>
  <c r="J945" i="2"/>
  <c r="J947" i="2"/>
  <c r="J958" i="2"/>
  <c r="J965" i="2"/>
  <c r="J979" i="2"/>
  <c r="J987" i="2"/>
  <c r="J1003" i="2"/>
  <c r="J1005" i="2"/>
  <c r="J1016" i="2"/>
  <c r="J1021" i="2"/>
  <c r="J1024" i="2"/>
  <c r="F26" i="2"/>
  <c r="F31" i="2"/>
  <c r="F33" i="2"/>
  <c r="F58" i="2"/>
  <c r="F63" i="2"/>
  <c r="F65" i="2"/>
  <c r="F74" i="2"/>
  <c r="F79" i="2"/>
  <c r="F111" i="2"/>
  <c r="F113" i="2"/>
  <c r="F122" i="2"/>
  <c r="F138" i="2"/>
  <c r="F143" i="2"/>
  <c r="F145" i="2"/>
  <c r="F154" i="2"/>
  <c r="F159" i="2"/>
  <c r="F161" i="2"/>
  <c r="F170" i="2"/>
  <c r="F175" i="2"/>
  <c r="F202" i="2"/>
  <c r="F207" i="2"/>
  <c r="F209" i="2"/>
  <c r="F218" i="2"/>
  <c r="F223" i="2"/>
  <c r="F225" i="2"/>
  <c r="F234" i="2"/>
  <c r="F239" i="2"/>
  <c r="F241" i="2"/>
  <c r="F250" i="2"/>
  <c r="F251" i="2"/>
  <c r="F253" i="2"/>
  <c r="F259" i="2"/>
  <c r="F260" i="2"/>
  <c r="F268" i="2"/>
  <c r="F270" i="2"/>
  <c r="F284" i="2"/>
  <c r="F286" i="2"/>
  <c r="F291" i="2"/>
  <c r="F292" i="2"/>
  <c r="F308" i="2"/>
  <c r="F310" i="2"/>
  <c r="F315" i="2"/>
  <c r="F316" i="2"/>
  <c r="F318" i="2"/>
  <c r="F323" i="2"/>
  <c r="F324" i="2"/>
  <c r="F326" i="2"/>
  <c r="F331" i="2"/>
  <c r="F332" i="2"/>
  <c r="F334" i="2"/>
  <c r="F339" i="2"/>
  <c r="F340" i="2"/>
  <c r="F342" i="2"/>
  <c r="F347" i="2"/>
  <c r="F348" i="2"/>
  <c r="F350" i="2"/>
  <c r="F355" i="2"/>
  <c r="F356" i="2"/>
  <c r="F358" i="2"/>
  <c r="F363" i="2"/>
  <c r="F364" i="2"/>
  <c r="F366" i="2"/>
  <c r="F374" i="2"/>
  <c r="F379" i="2"/>
  <c r="F395" i="2"/>
  <c r="F396" i="2"/>
  <c r="F398" i="2"/>
  <c r="F403" i="2"/>
  <c r="F404" i="2"/>
  <c r="F406" i="2"/>
  <c r="F411" i="2"/>
  <c r="F412" i="2"/>
  <c r="F414" i="2"/>
  <c r="F419" i="2"/>
  <c r="F420" i="2"/>
  <c r="F427" i="2"/>
  <c r="F428" i="2"/>
  <c r="F429" i="2"/>
  <c r="F430" i="2"/>
  <c r="F435" i="2"/>
  <c r="F436" i="2"/>
  <c r="F438" i="2"/>
  <c r="F454" i="2"/>
  <c r="F459" i="2"/>
  <c r="F460" i="2"/>
  <c r="F467" i="2"/>
  <c r="F468" i="2"/>
  <c r="F469" i="2"/>
  <c r="F470" i="2"/>
  <c r="F475" i="2"/>
  <c r="F476" i="2"/>
  <c r="F478" i="2"/>
  <c r="F484" i="2"/>
  <c r="F485" i="2"/>
  <c r="F486" i="2"/>
  <c r="F491" i="2"/>
  <c r="F492" i="2"/>
  <c r="F494" i="2"/>
  <c r="F499" i="2"/>
  <c r="F502" i="2"/>
  <c r="F507" i="2"/>
  <c r="F515" i="2"/>
  <c r="F516" i="2"/>
  <c r="F518" i="2"/>
  <c r="F523" i="2"/>
  <c r="F524" i="2"/>
  <c r="F525" i="2"/>
  <c r="F526" i="2"/>
  <c r="F531" i="2"/>
  <c r="F532" i="2"/>
  <c r="F534" i="2"/>
  <c r="F539" i="2"/>
  <c r="F547" i="2"/>
  <c r="F548" i="2"/>
  <c r="F549" i="2"/>
  <c r="F550" i="2"/>
  <c r="F555" i="2"/>
  <c r="F556" i="2"/>
  <c r="F574" i="2"/>
  <c r="F579" i="2"/>
  <c r="F580" i="2"/>
  <c r="F587" i="2"/>
  <c r="F588" i="2"/>
  <c r="F589" i="2"/>
  <c r="F590" i="2"/>
  <c r="F595" i="2"/>
  <c r="F596" i="2"/>
  <c r="F604" i="2"/>
  <c r="F605" i="2"/>
  <c r="F606" i="2"/>
  <c r="F611" i="2"/>
  <c r="F612" i="2"/>
  <c r="F614" i="2"/>
  <c r="F622" i="2"/>
  <c r="F627" i="2"/>
  <c r="F651" i="2"/>
  <c r="F652" i="2"/>
  <c r="F653" i="2"/>
  <c r="F654" i="2"/>
  <c r="F667" i="2"/>
  <c r="F668" i="2"/>
  <c r="F669" i="2"/>
  <c r="F670" i="2"/>
  <c r="F675" i="2"/>
  <c r="F676" i="2"/>
  <c r="F677" i="2"/>
  <c r="F678" i="2"/>
  <c r="F683" i="2"/>
  <c r="F684" i="2"/>
  <c r="F685" i="2"/>
  <c r="F686" i="2"/>
  <c r="F691" i="2"/>
  <c r="F692" i="2"/>
  <c r="F693" i="2"/>
  <c r="F694" i="2"/>
  <c r="F699" i="2"/>
  <c r="F700" i="2"/>
  <c r="F701" i="2"/>
  <c r="F702" i="2"/>
  <c r="F707" i="2"/>
  <c r="F715" i="2"/>
  <c r="F716" i="2"/>
  <c r="F717" i="2"/>
  <c r="F718" i="2"/>
  <c r="F723" i="2"/>
  <c r="F732" i="2"/>
  <c r="F733" i="2"/>
  <c r="F734" i="2"/>
  <c r="F748" i="2"/>
  <c r="F749" i="2"/>
  <c r="F750" i="2"/>
  <c r="F755" i="2"/>
  <c r="F756" i="2"/>
  <c r="F757" i="2"/>
  <c r="F758" i="2"/>
  <c r="F763" i="2"/>
  <c r="F764" i="2"/>
  <c r="F765" i="2"/>
  <c r="F766" i="2"/>
  <c r="F771" i="2"/>
  <c r="F772" i="2"/>
  <c r="F773" i="2"/>
  <c r="F774" i="2"/>
  <c r="F779" i="2"/>
  <c r="F780" i="2"/>
  <c r="F781" i="2"/>
  <c r="F782" i="2"/>
  <c r="F787" i="2"/>
  <c r="F795" i="2"/>
  <c r="F796" i="2"/>
  <c r="F797" i="2"/>
  <c r="F798" i="2"/>
  <c r="F812" i="2"/>
  <c r="F813" i="2"/>
  <c r="F814" i="2"/>
  <c r="F829" i="2"/>
  <c r="F830" i="2"/>
  <c r="F845" i="2"/>
  <c r="F846" i="2"/>
  <c r="F851" i="2"/>
  <c r="F852" i="2"/>
  <c r="F853" i="2"/>
  <c r="F854" i="2"/>
  <c r="F859" i="2"/>
  <c r="F860" i="2"/>
  <c r="F861" i="2"/>
  <c r="F862" i="2"/>
  <c r="F867" i="2"/>
  <c r="F868" i="2"/>
  <c r="F875" i="2"/>
  <c r="F876" i="2"/>
  <c r="F877" i="2"/>
  <c r="F878" i="2"/>
  <c r="F883" i="2"/>
  <c r="F884" i="2"/>
  <c r="F891" i="2"/>
  <c r="F892" i="2"/>
  <c r="F893" i="2"/>
  <c r="F894" i="2"/>
  <c r="F899" i="2"/>
  <c r="F900" i="2"/>
  <c r="F901" i="2"/>
  <c r="F902" i="2"/>
  <c r="F907" i="2"/>
  <c r="F908" i="2"/>
  <c r="F909" i="2"/>
  <c r="F910" i="2"/>
  <c r="F915" i="2"/>
  <c r="F916" i="2"/>
  <c r="F917" i="2"/>
  <c r="F918" i="2"/>
  <c r="F923" i="2"/>
  <c r="F924" i="2"/>
  <c r="F925" i="2"/>
  <c r="F926" i="2"/>
  <c r="F931" i="2"/>
  <c r="F939" i="2"/>
  <c r="F940" i="2"/>
  <c r="F941" i="2"/>
  <c r="F942" i="2"/>
  <c r="F947" i="2"/>
  <c r="F948" i="2"/>
  <c r="F949" i="2"/>
  <c r="F950" i="2"/>
  <c r="F955" i="2"/>
  <c r="F956" i="2"/>
  <c r="F957" i="2"/>
  <c r="F958" i="2"/>
  <c r="F963" i="2"/>
  <c r="F964" i="2"/>
  <c r="F965" i="2"/>
  <c r="F966" i="2"/>
  <c r="F971" i="2"/>
  <c r="F972" i="2"/>
  <c r="F973" i="2"/>
  <c r="F974" i="2"/>
  <c r="F979" i="2"/>
  <c r="F980" i="2"/>
  <c r="F987" i="2"/>
  <c r="F988" i="2"/>
  <c r="F989" i="2"/>
  <c r="F990" i="2"/>
  <c r="F1004" i="2"/>
  <c r="F1005" i="2"/>
  <c r="F1006" i="2"/>
  <c r="F1011" i="2"/>
  <c r="F1012" i="2"/>
  <c r="F1013" i="2"/>
  <c r="F1014" i="2"/>
  <c r="F1019" i="2"/>
  <c r="F1020" i="2"/>
  <c r="F1021" i="2"/>
  <c r="F1022" i="2"/>
  <c r="F1027" i="2"/>
  <c r="J4" i="2"/>
  <c r="R36" i="1"/>
  <c r="Q36" i="1"/>
  <c r="P36" i="1"/>
  <c r="J155" i="2" s="1"/>
  <c r="R35" i="1"/>
  <c r="Q35" i="1"/>
  <c r="P35" i="1"/>
  <c r="F620" i="2" s="1"/>
  <c r="R34" i="1"/>
  <c r="Q34" i="1"/>
  <c r="P34" i="1"/>
  <c r="R33" i="1"/>
  <c r="Q33" i="1"/>
  <c r="P33" i="1"/>
  <c r="F954" i="2" s="1"/>
  <c r="R32" i="1"/>
  <c r="Q32" i="1"/>
  <c r="P32" i="1"/>
  <c r="F933" i="2" s="1"/>
  <c r="R31" i="1"/>
  <c r="Q31" i="1"/>
  <c r="P31" i="1"/>
  <c r="F472" i="2" s="1"/>
  <c r="R30" i="1"/>
  <c r="Q30" i="1"/>
  <c r="P30" i="1"/>
  <c r="J821" i="2" s="1"/>
  <c r="R29" i="1"/>
  <c r="Q29" i="1"/>
  <c r="P29" i="1"/>
  <c r="F870" i="2" s="1"/>
  <c r="R28" i="1"/>
  <c r="Q28" i="1"/>
  <c r="P28" i="1"/>
  <c r="F457" i="2" s="1"/>
  <c r="R27" i="1"/>
  <c r="Q27" i="1"/>
  <c r="P27" i="1"/>
  <c r="F836" i="2" s="1"/>
  <c r="P25" i="1"/>
  <c r="F789" i="2" s="1"/>
  <c r="Q25" i="1"/>
  <c r="R25" i="1"/>
  <c r="P26" i="1"/>
  <c r="F446" i="2" s="1"/>
  <c r="Q26" i="1"/>
  <c r="R26" i="1"/>
  <c r="P24" i="1"/>
  <c r="J123" i="2" s="1"/>
  <c r="Q24" i="1"/>
  <c r="R24" i="1"/>
  <c r="R22" i="1"/>
  <c r="Q22" i="1"/>
  <c r="P22" i="1"/>
  <c r="F742" i="2" s="1"/>
  <c r="R23" i="1"/>
  <c r="Q23" i="1"/>
  <c r="P23" i="1"/>
  <c r="J654" i="2" s="1"/>
  <c r="R21" i="1"/>
  <c r="Q21" i="1"/>
  <c r="P21" i="1"/>
  <c r="F710" i="2" s="1"/>
  <c r="R20" i="1"/>
  <c r="Q20" i="1"/>
  <c r="P20" i="1"/>
  <c r="F409" i="2" s="1"/>
  <c r="P19" i="1"/>
  <c r="J158" i="2" s="1"/>
  <c r="Q19" i="1"/>
  <c r="R19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P11" i="1"/>
  <c r="P12" i="1"/>
  <c r="F300" i="2" s="1"/>
  <c r="P13" i="1"/>
  <c r="F248" i="2" s="1"/>
  <c r="P14" i="1"/>
  <c r="J529" i="2" s="1"/>
  <c r="P15" i="1"/>
  <c r="J242" i="2" s="1"/>
  <c r="P16" i="1"/>
  <c r="F382" i="2" s="1"/>
  <c r="Q5" i="1"/>
  <c r="R5" i="1"/>
  <c r="P5" i="1"/>
  <c r="P6" i="1"/>
  <c r="F15" i="2" s="1"/>
  <c r="P7" i="1"/>
  <c r="P8" i="1"/>
  <c r="J427" i="2" s="1"/>
  <c r="P9" i="1"/>
  <c r="J398" i="2" s="1"/>
  <c r="P10" i="1"/>
  <c r="J33" i="2" s="1"/>
  <c r="P18" i="1"/>
  <c r="F661" i="2" s="1"/>
  <c r="S6" i="2" a="1"/>
  <c r="S10" i="2" a="1"/>
  <c r="S14" i="2" a="1"/>
  <c r="S18" i="2" a="1"/>
  <c r="S22" i="2" a="1"/>
  <c r="S26" i="2" a="1"/>
  <c r="S30" i="2" a="1"/>
  <c r="S34" i="2" a="1"/>
  <c r="S38" i="2" a="1"/>
  <c r="S19" i="2" a="1"/>
  <c r="S31" i="2" a="1"/>
  <c r="S42" i="2" a="1"/>
  <c r="S11" i="2" a="1"/>
  <c r="S47" i="2" a="1"/>
  <c r="S23" i="2" a="1"/>
  <c r="S43" i="2" a="1"/>
  <c r="S54" i="2" a="1"/>
  <c r="S60" i="2" a="1"/>
  <c r="S15" i="2" a="1"/>
  <c r="S50" i="2" a="1"/>
  <c r="S59" i="2" a="1"/>
  <c r="S27" i="2" a="1"/>
  <c r="S35" i="2" a="1"/>
  <c r="S52" i="2" a="1"/>
  <c r="S58" i="2" a="1"/>
  <c r="S72" i="2" a="1"/>
  <c r="S76" i="2" a="1"/>
  <c r="S80" i="2" a="1"/>
  <c r="S84" i="2" a="1"/>
  <c r="S88" i="2" a="1"/>
  <c r="S92" i="2" a="1"/>
  <c r="S96" i="2" a="1"/>
  <c r="S100" i="2" a="1"/>
  <c r="S104" i="2" a="1"/>
  <c r="S46" i="2" a="1"/>
  <c r="S108" i="2" a="1"/>
  <c r="S74" i="2" a="1"/>
  <c r="S81" i="2" a="1"/>
  <c r="S90" i="2" a="1"/>
  <c r="S93" i="2" a="1"/>
  <c r="S121" i="2" a="1"/>
  <c r="S55" i="2" a="1"/>
  <c r="S66" i="2" a="1"/>
  <c r="S78" i="2" a="1"/>
  <c r="S85" i="2" a="1"/>
  <c r="S105" i="2" a="1"/>
  <c r="S110" i="2" a="1"/>
  <c r="S118" i="2" a="1"/>
  <c r="S70" i="2" a="1"/>
  <c r="S71" i="2" a="1"/>
  <c r="S101" i="2" a="1"/>
  <c r="S117" i="2" a="1"/>
  <c r="S120" i="2" a="1"/>
  <c r="S48" i="2" a="1"/>
  <c r="S56" i="2" a="1"/>
  <c r="S64" i="2" a="1"/>
  <c r="S67" i="2" a="1"/>
  <c r="S73" i="2" a="1"/>
  <c r="S82" i="2" a="1"/>
  <c r="S89" i="2" a="1"/>
  <c r="S97" i="2" a="1"/>
  <c r="S109" i="2" a="1"/>
  <c r="S128" i="2" a="1"/>
  <c r="S7" i="2" a="1"/>
  <c r="S68" i="2" a="1"/>
  <c r="S77" i="2" a="1"/>
  <c r="S129" i="2" a="1"/>
  <c r="S135" i="2" a="1"/>
  <c r="S150" i="2" a="1"/>
  <c r="S125" i="2" a="1"/>
  <c r="S131" i="2" a="1"/>
  <c r="S166" i="2" a="1"/>
  <c r="S113" i="2" a="1"/>
  <c r="S126" i="2" a="1"/>
  <c r="S149" i="2" a="1"/>
  <c r="S174" i="2" a="1"/>
  <c r="S178" i="2" a="1"/>
  <c r="S182" i="2" a="1"/>
  <c r="S186" i="2" a="1"/>
  <c r="S142" i="2" a="1"/>
  <c r="S155" i="2" a="1"/>
  <c r="S159" i="2" a="1"/>
  <c r="S94" i="2" a="1"/>
  <c r="S112" i="2" a="1"/>
  <c r="S138" i="2" a="1"/>
  <c r="S146" i="2" a="1"/>
  <c r="S151" i="2" a="1"/>
  <c r="S163" i="2" a="1"/>
  <c r="S165" i="2" a="1"/>
  <c r="S171" i="2" a="1"/>
  <c r="S173" i="2" a="1"/>
  <c r="S177" i="2" a="1"/>
  <c r="S86" i="2" a="1"/>
  <c r="S122" i="2" a="1"/>
  <c r="S124" i="2" a="1"/>
  <c r="S134" i="2" a="1"/>
  <c r="S141" i="2" a="1"/>
  <c r="S154" i="2" a="1"/>
  <c r="S158" i="2" a="1"/>
  <c r="S162" i="2" a="1"/>
  <c r="S170" i="2" a="1"/>
  <c r="S130" i="2" a="1"/>
  <c r="S137" i="2" a="1"/>
  <c r="S145" i="2" a="1"/>
  <c r="S194" i="2" a="1"/>
  <c r="S116" i="2" a="1"/>
  <c r="S139" i="2" a="1"/>
  <c r="S169" i="2" a="1"/>
  <c r="S198" i="2" a="1"/>
  <c r="S214" i="2" a="1"/>
  <c r="S202" i="2" a="1"/>
  <c r="S209" i="2" a="1"/>
  <c r="S167" i="2" a="1"/>
  <c r="S210" i="2" a="1"/>
  <c r="S133" i="2" a="1"/>
  <c r="S161" i="2" a="1"/>
  <c r="S191" i="2" a="1"/>
  <c r="S205" i="2" a="1"/>
  <c r="S221" i="2" a="1"/>
  <c r="S157" i="2" a="1"/>
  <c r="S185" i="2" a="1"/>
  <c r="S195" i="2" a="1"/>
  <c r="S206" i="2" a="1"/>
  <c r="S226" i="2" a="1"/>
  <c r="S228" i="2" a="1"/>
  <c r="S232" i="2" a="1"/>
  <c r="S143" i="2" a="1"/>
  <c r="S153" i="2" a="1"/>
  <c r="S181" i="2" a="1"/>
  <c r="S189" i="2" a="1"/>
  <c r="S199" i="2" a="1"/>
  <c r="S217" i="2" a="1"/>
  <c r="S222" i="2" a="1"/>
  <c r="S225" i="2" a="1"/>
  <c r="S233" i="2" a="1"/>
  <c r="S234" i="2" a="1"/>
  <c r="S239" i="2" a="1"/>
  <c r="S243" i="2" a="1"/>
  <c r="S247" i="2" a="1"/>
  <c r="S251" i="2" a="1"/>
  <c r="S255" i="2" a="1"/>
  <c r="S259" i="2" a="1"/>
  <c r="S263" i="2" a="1"/>
  <c r="S267" i="2" a="1"/>
  <c r="S271" i="2" a="1"/>
  <c r="S275" i="2" a="1"/>
  <c r="S279" i="2" a="1"/>
  <c r="S283" i="2" a="1"/>
  <c r="S287" i="2" a="1"/>
  <c r="S291" i="2" a="1"/>
  <c r="S190" i="2" a="1"/>
  <c r="S197" i="2" a="1"/>
  <c r="S213" i="2" a="1"/>
  <c r="S256" i="2" a="1"/>
  <c r="S261" i="2" a="1"/>
  <c r="S288" i="2" a="1"/>
  <c r="S293" i="2" a="1"/>
  <c r="S311" i="2" a="1"/>
  <c r="S332" i="2" a="1"/>
  <c r="S241" i="2" a="1"/>
  <c r="S268" i="2" a="1"/>
  <c r="S273" i="2" a="1"/>
  <c r="S301" i="2" a="1"/>
  <c r="S304" i="2" a="1"/>
  <c r="S307" i="2" a="1"/>
  <c r="S320" i="2" a="1"/>
  <c r="S352" i="2" a="1"/>
  <c r="S356" i="2" a="1"/>
  <c r="S360" i="2" a="1"/>
  <c r="S248" i="2" a="1"/>
  <c r="S253" i="2" a="1"/>
  <c r="S280" i="2" a="1"/>
  <c r="S285" i="2" a="1"/>
  <c r="S295" i="2" a="1"/>
  <c r="S315" i="2" a="1"/>
  <c r="S340" i="2" a="1"/>
  <c r="S260" i="2" a="1"/>
  <c r="S265" i="2" a="1"/>
  <c r="S292" i="2" a="1"/>
  <c r="S313" i="2" a="1"/>
  <c r="S328" i="2" a="1"/>
  <c r="S331" i="2" a="1"/>
  <c r="S349" i="2" a="1"/>
  <c r="S193" i="2" a="1"/>
  <c r="S201" i="2" a="1"/>
  <c r="S240" i="2" a="1"/>
  <c r="S245" i="2" a="1"/>
  <c r="S272" i="2" a="1"/>
  <c r="S277" i="2" a="1"/>
  <c r="S297" i="2" a="1"/>
  <c r="S300" i="2" a="1"/>
  <c r="S303" i="2" a="1"/>
  <c r="S309" i="2" a="1"/>
  <c r="S319" i="2" a="1"/>
  <c r="S337" i="2" a="1"/>
  <c r="S348" i="2" a="1"/>
  <c r="S351" i="2" a="1"/>
  <c r="S224" i="2" a="1"/>
  <c r="S252" i="2" a="1"/>
  <c r="S257" i="2" a="1"/>
  <c r="S284" i="2" a="1"/>
  <c r="S289" i="2" a="1"/>
  <c r="S312" i="2" a="1"/>
  <c r="S317" i="2" a="1"/>
  <c r="S325" i="2" a="1"/>
  <c r="S336" i="2" a="1"/>
  <c r="S339" i="2" a="1"/>
  <c r="S237" i="2" a="1"/>
  <c r="S264" i="2" a="1"/>
  <c r="S269" i="2" a="1"/>
  <c r="S305" i="2" a="1"/>
  <c r="S308" i="2" a="1"/>
  <c r="S324" i="2" a="1"/>
  <c r="S327" i="2" a="1"/>
  <c r="S333" i="2" a="1"/>
  <c r="S343" i="2" a="1"/>
  <c r="S353" i="2" a="1"/>
  <c r="S355" i="2" a="1"/>
  <c r="S380" i="2" a="1"/>
  <c r="S390" i="2" a="1"/>
  <c r="S249" i="2" a="1"/>
  <c r="S370" i="2" a="1"/>
  <c r="S392" i="2" a="1"/>
  <c r="S244" i="2" a="1"/>
  <c r="S299" i="2" a="1"/>
  <c r="S316" i="2" a="1"/>
  <c r="S358" i="2" a="1"/>
  <c r="S372" i="2" a="1"/>
  <c r="S382" i="2" a="1"/>
  <c r="S281" i="2" a="1"/>
  <c r="S296" i="2" a="1"/>
  <c r="S347" i="2" a="1"/>
  <c r="S362" i="2" a="1"/>
  <c r="S384" i="2" a="1"/>
  <c r="S394" i="2" a="1"/>
  <c r="S396" i="2" a="1"/>
  <c r="S398" i="2" a="1"/>
  <c r="S400" i="2" a="1"/>
  <c r="S402" i="2" a="1"/>
  <c r="S276" i="2" a="1"/>
  <c r="S364" i="2" a="1"/>
  <c r="S374" i="2" a="1"/>
  <c r="S420" i="2" a="1"/>
  <c r="S235" i="2" a="1"/>
  <c r="S344" i="2" a="1"/>
  <c r="S366" i="2" a="1"/>
  <c r="S388" i="2" a="1"/>
  <c r="S406" i="2" a="1"/>
  <c r="S423" i="2" a="1"/>
  <c r="S439" i="2" a="1"/>
  <c r="S376" i="2" a="1"/>
  <c r="S378" i="2" a="1"/>
  <c r="S414" i="2" a="1"/>
  <c r="S441" i="2" a="1"/>
  <c r="S457" i="2" a="1"/>
  <c r="S463" i="2" a="1"/>
  <c r="S472" i="2" a="1"/>
  <c r="S335" i="2" a="1"/>
  <c r="S354" i="2" a="1"/>
  <c r="S357" i="2" a="1"/>
  <c r="S359" i="2" a="1"/>
  <c r="S416" i="2" a="1"/>
  <c r="S428" i="2" a="1"/>
  <c r="S431" i="2" a="1"/>
  <c r="S433" i="2" a="1"/>
  <c r="S440" i="2" a="1"/>
  <c r="S461" i="2" a="1"/>
  <c r="S467" i="2" a="1"/>
  <c r="S476" i="2" a="1"/>
  <c r="S504" i="2" a="1"/>
  <c r="S516" i="2" a="1"/>
  <c r="S368" i="2" a="1"/>
  <c r="S412" i="2" a="1"/>
  <c r="S448" i="2" a="1"/>
  <c r="S465" i="2" a="1"/>
  <c r="S471" i="2" a="1"/>
  <c r="S480" i="2" a="1"/>
  <c r="S485" i="2" a="1"/>
  <c r="S488" i="2" a="1"/>
  <c r="S323" i="2" a="1"/>
  <c r="S404" i="2" a="1"/>
  <c r="S410" i="2" a="1"/>
  <c r="S427" i="2" a="1"/>
  <c r="S442" i="2" a="1"/>
  <c r="S444" i="2" a="1"/>
  <c r="S452" i="2" a="1"/>
  <c r="S469" i="2" a="1"/>
  <c r="S475" i="2" a="1"/>
  <c r="S487" i="2" a="1"/>
  <c r="S493" i="2" a="1"/>
  <c r="S497" i="2" a="1"/>
  <c r="S538" i="2" a="1"/>
  <c r="S321" i="2" a="1"/>
  <c r="S422" i="2" a="1"/>
  <c r="S447" i="2" a="1"/>
  <c r="S456" i="2" a="1"/>
  <c r="S473" i="2" a="1"/>
  <c r="S479" i="2" a="1"/>
  <c r="S501" i="2" a="1"/>
  <c r="S408" i="2" a="1"/>
  <c r="S424" i="2" a="1"/>
  <c r="S449" i="2" a="1"/>
  <c r="S455" i="2" a="1"/>
  <c r="S464" i="2" a="1"/>
  <c r="S484" i="2" a="1"/>
  <c r="S492" i="2" a="1"/>
  <c r="S496" i="2" a="1"/>
  <c r="S500" i="2" a="1"/>
  <c r="S386" i="2" a="1"/>
  <c r="S432" i="2" a="1"/>
  <c r="S453" i="2" a="1"/>
  <c r="S459" i="2" a="1"/>
  <c r="S468" i="2" a="1"/>
  <c r="S483" i="2" a="1"/>
  <c r="S491" i="2" a="1"/>
  <c r="S495" i="2" a="1"/>
  <c r="S499" i="2" a="1"/>
  <c r="S522" i="2" a="1"/>
  <c r="S418" i="2" a="1"/>
  <c r="S430" i="2" a="1"/>
  <c r="S434" i="2" a="1"/>
  <c r="S451" i="2" a="1"/>
  <c r="S520" i="2" a="1"/>
  <c r="S530" i="2" a="1"/>
  <c r="S523" i="2" a="1"/>
  <c r="S533" i="2" a="1"/>
  <c r="S536" i="2" a="1"/>
  <c r="S605" i="2" a="1"/>
  <c r="S507" i="2" a="1"/>
  <c r="S511" i="2" a="1"/>
  <c r="S531" i="2" a="1"/>
  <c r="S534" i="2" a="1"/>
  <c r="S426" i="2" a="1"/>
  <c r="S515" i="2" a="1"/>
  <c r="S477" i="2" a="1"/>
  <c r="S517" i="2" a="1"/>
  <c r="S519" i="2" a="1"/>
  <c r="S585" i="2" a="1"/>
  <c r="S608" i="2" a="1"/>
  <c r="S617" i="2" a="1"/>
  <c r="S460" i="2" a="1"/>
  <c r="S503" i="2" a="1"/>
  <c r="S518" i="2" a="1"/>
  <c r="S525" i="2" a="1"/>
  <c r="S593" i="2" a="1"/>
  <c r="S443" i="2" a="1"/>
  <c r="S589" i="2" a="1"/>
  <c r="S596" i="2" a="1"/>
  <c r="S621" i="2" a="1"/>
  <c r="S528" i="2" a="1"/>
  <c r="S597" i="2" a="1"/>
  <c r="S584" i="2" a="1"/>
  <c r="S601" i="2" a="1"/>
  <c r="S612" i="2" a="1"/>
  <c r="S626" i="2" a="1"/>
  <c r="S634" i="2" a="1"/>
  <c r="S642" i="2" a="1"/>
  <c r="S650" i="2" a="1"/>
  <c r="S689" i="2" a="1"/>
  <c r="S712" i="2" a="1"/>
  <c r="S609" i="2" a="1"/>
  <c r="S616" i="2" a="1"/>
  <c r="S684" i="2" a="1"/>
  <c r="S693" i="2" a="1"/>
  <c r="S508" i="2" a="1"/>
  <c r="S697" i="2" a="1"/>
  <c r="S638" i="2" a="1"/>
  <c r="S701" i="2" a="1"/>
  <c r="S773" i="2" a="1"/>
  <c r="S681" i="2" a="1"/>
  <c r="S753" i="2" a="1"/>
  <c r="S654" i="2" a="1"/>
  <c r="S716" i="2" a="1"/>
  <c r="S720" i="2" a="1"/>
  <c r="S724" i="2" a="1"/>
  <c r="S728" i="2" a="1"/>
  <c r="S732" i="2" a="1"/>
  <c r="S736" i="2" a="1"/>
  <c r="S740" i="2" a="1"/>
  <c r="S744" i="2" a="1"/>
  <c r="S768" i="2" a="1"/>
  <c r="S781" i="2" a="1"/>
  <c r="S630" i="2" a="1"/>
  <c r="S658" i="2" a="1"/>
  <c r="S662" i="2" a="1"/>
  <c r="S666" i="2" a="1"/>
  <c r="S670" i="2" a="1"/>
  <c r="S717" i="2" a="1"/>
  <c r="S721" i="2" a="1"/>
  <c r="S725" i="2" a="1"/>
  <c r="S729" i="2" a="1"/>
  <c r="S733" i="2" a="1"/>
  <c r="S737" i="2" a="1"/>
  <c r="S741" i="2" a="1"/>
  <c r="S745" i="2" a="1"/>
  <c r="S756" i="2" a="1"/>
  <c r="S769" i="2" a="1"/>
  <c r="S788" i="2" a="1"/>
  <c r="S688" i="2" a="1"/>
  <c r="S700" i="2" a="1"/>
  <c r="S757" i="2" a="1"/>
  <c r="S764" i="2" a="1"/>
  <c r="S776" i="2" a="1"/>
  <c r="S789" i="2" a="1"/>
  <c r="S646" i="2" a="1"/>
  <c r="S748" i="2" a="1"/>
  <c r="S765" i="2" a="1"/>
  <c r="S777" i="2" a="1"/>
  <c r="S677" i="2" a="1"/>
  <c r="S713" i="2" a="1"/>
  <c r="S749" i="2" a="1"/>
  <c r="S793" i="2" a="1"/>
  <c r="S705" i="2" a="1"/>
  <c r="S815" i="2" a="1"/>
  <c r="S820" i="2" a="1"/>
  <c r="S839" i="2" a="1"/>
  <c r="S855" i="2" a="1"/>
  <c r="S871" i="2" a="1"/>
  <c r="S887" i="2" a="1"/>
  <c r="S903" i="2" a="1"/>
  <c r="S915" i="2" a="1"/>
  <c r="S923" i="2" a="1"/>
  <c r="S931" i="2" a="1"/>
  <c r="S939" i="2" a="1"/>
  <c r="S947" i="2" a="1"/>
  <c r="S963" i="2" a="1"/>
  <c r="S987" i="2" a="1"/>
  <c r="S992" i="2" a="1"/>
  <c r="S1019" i="2" a="1"/>
  <c r="S833" i="2" a="1"/>
  <c r="S897" i="2" a="1"/>
  <c r="S916" i="2" a="1"/>
  <c r="S948" i="2" a="1"/>
  <c r="S1015" i="2" a="1"/>
  <c r="S796" i="2" a="1"/>
  <c r="S813" i="2" a="1"/>
  <c r="S819" i="2" a="1"/>
  <c r="S824" i="2" a="1"/>
  <c r="S837" i="2" a="1"/>
  <c r="S844" i="2" a="1"/>
  <c r="S853" i="2" a="1"/>
  <c r="S860" i="2" a="1"/>
  <c r="S869" i="2" a="1"/>
  <c r="S876" i="2" a="1"/>
  <c r="S885" i="2" a="1"/>
  <c r="S892" i="2" a="1"/>
  <c r="S901" i="2" a="1"/>
  <c r="S908" i="2" a="1"/>
  <c r="S960" i="2" a="1"/>
  <c r="S991" i="2" a="1"/>
  <c r="S996" i="2" a="1"/>
  <c r="S784" i="2" a="1"/>
  <c r="S809" i="2" a="1"/>
  <c r="S811" i="2" a="1"/>
  <c r="S817" i="2" a="1"/>
  <c r="S823" i="2" a="1"/>
  <c r="S828" i="2" a="1"/>
  <c r="S843" i="2" a="1"/>
  <c r="S859" i="2" a="1"/>
  <c r="S875" i="2" a="1"/>
  <c r="S891" i="2" a="1"/>
  <c r="S907" i="2" a="1"/>
  <c r="S959" i="2" a="1"/>
  <c r="S981" i="2" a="1"/>
  <c r="S995" i="2" a="1"/>
  <c r="S1000" i="2" a="1"/>
  <c r="S1013" i="2" a="1"/>
  <c r="S849" i="2" a="1"/>
  <c r="S913" i="2" a="1"/>
  <c r="S932" i="2" a="1"/>
  <c r="S692" i="2" a="1"/>
  <c r="S780" i="2" a="1"/>
  <c r="S808" i="2" a="1"/>
  <c r="S821" i="2" a="1"/>
  <c r="S827" i="2" a="1"/>
  <c r="S832" i="2" a="1"/>
  <c r="S841" i="2" a="1"/>
  <c r="S848" i="2" a="1"/>
  <c r="S857" i="2" a="1"/>
  <c r="S864" i="2" a="1"/>
  <c r="S873" i="2" a="1"/>
  <c r="S880" i="2" a="1"/>
  <c r="S889" i="2" a="1"/>
  <c r="S896" i="2" a="1"/>
  <c r="S905" i="2" a="1"/>
  <c r="S912" i="2" a="1"/>
  <c r="S917" i="2" a="1"/>
  <c r="S920" i="2" a="1"/>
  <c r="S925" i="2" a="1"/>
  <c r="S928" i="2" a="1"/>
  <c r="S933" i="2" a="1"/>
  <c r="S936" i="2" a="1"/>
  <c r="S941" i="2" a="1"/>
  <c r="S944" i="2" a="1"/>
  <c r="S956" i="2" a="1"/>
  <c r="S972" i="2" a="1"/>
  <c r="S999" i="2" a="1"/>
  <c r="S1004" i="2" a="1"/>
  <c r="S792" i="2" a="1"/>
  <c r="S872" i="2" a="1"/>
  <c r="S888" i="2" a="1"/>
  <c r="S904" i="2" a="1"/>
  <c r="S937" i="2" a="1"/>
  <c r="S825" i="2" a="1"/>
  <c r="S831" i="2" a="1"/>
  <c r="S847" i="2" a="1"/>
  <c r="S863" i="2" a="1"/>
  <c r="S879" i="2" a="1"/>
  <c r="S895" i="2" a="1"/>
  <c r="S911" i="2" a="1"/>
  <c r="S919" i="2" a="1"/>
  <c r="S927" i="2" a="1"/>
  <c r="S935" i="2" a="1"/>
  <c r="S943" i="2" a="1"/>
  <c r="S955" i="2" a="1"/>
  <c r="S971" i="2" a="1"/>
  <c r="S976" i="2" a="1"/>
  <c r="S989" i="2" a="1"/>
  <c r="S1003" i="2" a="1"/>
  <c r="S1008" i="2" a="1"/>
  <c r="S840" i="2" a="1"/>
  <c r="S856" i="2" a="1"/>
  <c r="S921" i="2" a="1"/>
  <c r="S929" i="2" a="1"/>
  <c r="S1025" i="2" a="1"/>
  <c r="S797" i="2" a="1"/>
  <c r="S805" i="2" a="1"/>
  <c r="S829" i="2" a="1"/>
  <c r="S836" i="2" a="1"/>
  <c r="S845" i="2" a="1"/>
  <c r="S852" i="2" a="1"/>
  <c r="S861" i="2" a="1"/>
  <c r="S868" i="2" a="1"/>
  <c r="S877" i="2" a="1"/>
  <c r="S884" i="2" a="1"/>
  <c r="S893" i="2" a="1"/>
  <c r="S900" i="2" a="1"/>
  <c r="S909" i="2" a="1"/>
  <c r="S952" i="2" a="1"/>
  <c r="S961" i="2" a="1"/>
  <c r="S968" i="2" a="1"/>
  <c r="S975" i="2" a="1"/>
  <c r="S980" i="2" a="1"/>
  <c r="S993" i="2" a="1"/>
  <c r="S1007" i="2" a="1"/>
  <c r="S1012" i="2" a="1"/>
  <c r="S816" i="2" a="1"/>
  <c r="S881" i="2" a="1"/>
  <c r="S924" i="2" a="1"/>
  <c r="S945" i="2" a="1"/>
  <c r="S957" i="2" a="1"/>
  <c r="S983" i="2" a="1"/>
  <c r="S752" i="2" a="1"/>
  <c r="S760" i="2" a="1"/>
  <c r="S772" i="2" a="1"/>
  <c r="S801" i="2" a="1"/>
  <c r="S812" i="2" a="1"/>
  <c r="S835" i="2" a="1"/>
  <c r="S851" i="2" a="1"/>
  <c r="S867" i="2" a="1"/>
  <c r="S883" i="2" a="1"/>
  <c r="S899" i="2" a="1"/>
  <c r="S951" i="2" a="1"/>
  <c r="S967" i="2" a="1"/>
  <c r="S979" i="2" a="1"/>
  <c r="S984" i="2" a="1"/>
  <c r="S997" i="2" a="1"/>
  <c r="S1011" i="2" a="1"/>
  <c r="S1016" i="2" a="1"/>
  <c r="S1023" i="2" a="1"/>
  <c r="S865" i="2" a="1"/>
  <c r="S940" i="2" a="1"/>
  <c r="S964" i="2" a="1"/>
  <c r="S988" i="2" a="1"/>
  <c r="S1001" i="2" a="1"/>
  <c r="S1020" i="2" a="1"/>
  <c r="S1027" i="2" a="1"/>
  <c r="S1026" i="2" a="1"/>
  <c r="S4" i="2" a="1"/>
  <c r="S33" i="1" a="1"/>
  <c r="S29" i="1" a="1"/>
  <c r="S36" i="1" a="1"/>
  <c r="S34" i="1" a="1"/>
  <c r="S30" i="1" a="1"/>
  <c r="S35" i="1" a="1"/>
  <c r="S31" i="1" a="1"/>
  <c r="S32" i="1" a="1"/>
  <c r="S28" i="1" a="1"/>
  <c r="S27" i="1" a="1"/>
  <c r="S26" i="1" a="1"/>
  <c r="S25" i="1" a="1"/>
  <c r="S24" i="1" a="1"/>
  <c r="S22" i="1" a="1"/>
  <c r="S23" i="1" a="1"/>
  <c r="S21" i="1" a="1"/>
  <c r="S20" i="1" a="1"/>
  <c r="S19" i="1" a="1"/>
  <c r="S12" i="1" a="1"/>
  <c r="S9" i="1" a="1"/>
  <c r="S17" i="1" a="1"/>
  <c r="S16" i="1" a="1"/>
  <c r="S13" i="1" a="1"/>
  <c r="S6" i="1" a="1"/>
  <c r="S14" i="1" a="1"/>
  <c r="S11" i="1" a="1"/>
  <c r="S8" i="1" a="1"/>
  <c r="S10" i="1" a="1"/>
  <c r="S18" i="1" a="1"/>
  <c r="S7" i="1" a="1"/>
  <c r="S15" i="1" a="1"/>
  <c r="S5" i="1" a="1"/>
  <c r="J97" i="2" l="1"/>
  <c r="J12" i="2"/>
  <c r="J36" i="2"/>
  <c r="J204" i="2"/>
  <c r="J228" i="2"/>
  <c r="J396" i="2"/>
  <c r="J420" i="2"/>
  <c r="J444" i="2"/>
  <c r="J468" i="2"/>
  <c r="J492" i="2"/>
  <c r="J24" i="2"/>
  <c r="J216" i="2"/>
  <c r="J408" i="2"/>
  <c r="J432" i="2"/>
  <c r="J456" i="2"/>
  <c r="J480" i="2"/>
  <c r="J504" i="2"/>
  <c r="J6" i="2"/>
  <c r="J198" i="2"/>
  <c r="J390" i="2"/>
  <c r="J438" i="2"/>
  <c r="J486" i="2"/>
  <c r="J426" i="2"/>
  <c r="J474" i="2"/>
  <c r="F19" i="2"/>
  <c r="F123" i="2"/>
  <c r="F131" i="2"/>
  <c r="J462" i="2"/>
  <c r="F20" i="2"/>
  <c r="F52" i="2"/>
  <c r="F116" i="2"/>
  <c r="F124" i="2"/>
  <c r="F132" i="2"/>
  <c r="J414" i="2"/>
  <c r="F21" i="2"/>
  <c r="F53" i="2"/>
  <c r="F117" i="2"/>
  <c r="F125" i="2"/>
  <c r="F133" i="2"/>
  <c r="F54" i="2"/>
  <c r="F118" i="2"/>
  <c r="F126" i="2"/>
  <c r="F134" i="2"/>
  <c r="J402" i="2"/>
  <c r="F18" i="2"/>
  <c r="F130" i="2"/>
  <c r="J18" i="2"/>
  <c r="J210" i="2"/>
  <c r="F55" i="2"/>
  <c r="F119" i="2"/>
  <c r="F135" i="2"/>
  <c r="F56" i="2"/>
  <c r="F120" i="2"/>
  <c r="J30" i="2"/>
  <c r="J222" i="2"/>
  <c r="F57" i="2"/>
  <c r="F121" i="2"/>
  <c r="J498" i="2"/>
  <c r="F16" i="2"/>
  <c r="F128" i="2"/>
  <c r="F844" i="2"/>
  <c r="F572" i="2"/>
  <c r="F193" i="2"/>
  <c r="F1003" i="2"/>
  <c r="F843" i="2"/>
  <c r="F811" i="2"/>
  <c r="F731" i="2"/>
  <c r="J997" i="2"/>
  <c r="J657" i="2"/>
  <c r="J395" i="2"/>
  <c r="J28" i="2"/>
  <c r="J196" i="2"/>
  <c r="J220" i="2"/>
  <c r="J388" i="2"/>
  <c r="J412" i="2"/>
  <c r="J436" i="2"/>
  <c r="J460" i="2"/>
  <c r="J484" i="2"/>
  <c r="J16" i="2"/>
  <c r="J208" i="2"/>
  <c r="J400" i="2"/>
  <c r="J424" i="2"/>
  <c r="J448" i="2"/>
  <c r="J472" i="2"/>
  <c r="J496" i="2"/>
  <c r="J22" i="2"/>
  <c r="J214" i="2"/>
  <c r="J406" i="2"/>
  <c r="J454" i="2"/>
  <c r="J502" i="2"/>
  <c r="J10" i="2"/>
  <c r="J202" i="2"/>
  <c r="J394" i="2"/>
  <c r="J442" i="2"/>
  <c r="J490" i="2"/>
  <c r="J34" i="2"/>
  <c r="J226" i="2"/>
  <c r="F43" i="2"/>
  <c r="F83" i="2"/>
  <c r="F91" i="2"/>
  <c r="F44" i="2"/>
  <c r="F76" i="2"/>
  <c r="F84" i="2"/>
  <c r="F92" i="2"/>
  <c r="F5" i="2"/>
  <c r="F45" i="2"/>
  <c r="F77" i="2"/>
  <c r="F85" i="2"/>
  <c r="F93" i="2"/>
  <c r="J466" i="2"/>
  <c r="F6" i="2"/>
  <c r="F78" i="2"/>
  <c r="F86" i="2"/>
  <c r="F94" i="2"/>
  <c r="F82" i="2"/>
  <c r="J418" i="2"/>
  <c r="F7" i="2"/>
  <c r="F87" i="2"/>
  <c r="F8" i="2"/>
  <c r="F40" i="2"/>
  <c r="F88" i="2"/>
  <c r="J478" i="2"/>
  <c r="F9" i="2"/>
  <c r="F41" i="2"/>
  <c r="F89" i="2"/>
  <c r="F80" i="2"/>
  <c r="J52" i="2"/>
  <c r="J244" i="2"/>
  <c r="J508" i="2"/>
  <c r="J532" i="2"/>
  <c r="J556" i="2"/>
  <c r="J580" i="2"/>
  <c r="J604" i="2"/>
  <c r="J40" i="2"/>
  <c r="J64" i="2"/>
  <c r="J232" i="2"/>
  <c r="J256" i="2"/>
  <c r="J520" i="2"/>
  <c r="J544" i="2"/>
  <c r="J568" i="2"/>
  <c r="J592" i="2"/>
  <c r="J616" i="2"/>
  <c r="J70" i="2"/>
  <c r="J262" i="2"/>
  <c r="J550" i="2"/>
  <c r="J598" i="2"/>
  <c r="J58" i="2"/>
  <c r="J250" i="2"/>
  <c r="J538" i="2"/>
  <c r="J586" i="2"/>
  <c r="J610" i="2"/>
  <c r="F235" i="2"/>
  <c r="J562" i="2"/>
  <c r="F196" i="2"/>
  <c r="F236" i="2"/>
  <c r="J46" i="2"/>
  <c r="J514" i="2"/>
  <c r="F197" i="2"/>
  <c r="F237" i="2"/>
  <c r="J238" i="2"/>
  <c r="J622" i="2"/>
  <c r="F198" i="2"/>
  <c r="F271" i="2"/>
  <c r="F279" i="2"/>
  <c r="F287" i="2"/>
  <c r="J574" i="2"/>
  <c r="F199" i="2"/>
  <c r="F272" i="2"/>
  <c r="F280" i="2"/>
  <c r="J526" i="2"/>
  <c r="F200" i="2"/>
  <c r="F232" i="2"/>
  <c r="F273" i="2"/>
  <c r="F281" i="2"/>
  <c r="F201" i="2"/>
  <c r="F233" i="2"/>
  <c r="F274" i="2"/>
  <c r="F282" i="2"/>
  <c r="F269" i="2"/>
  <c r="F277" i="2"/>
  <c r="F285" i="2"/>
  <c r="J93" i="2"/>
  <c r="J133" i="2"/>
  <c r="J173" i="2"/>
  <c r="J285" i="2"/>
  <c r="J325" i="2"/>
  <c r="J365" i="2"/>
  <c r="J645" i="2"/>
  <c r="J153" i="2"/>
  <c r="J305" i="2"/>
  <c r="J665" i="2"/>
  <c r="J685" i="2"/>
  <c r="J865" i="2"/>
  <c r="J385" i="2"/>
  <c r="J725" i="2"/>
  <c r="J905" i="2"/>
  <c r="J765" i="2"/>
  <c r="J113" i="2"/>
  <c r="J805" i="2"/>
  <c r="J193" i="2"/>
  <c r="J825" i="2"/>
  <c r="J1025" i="2"/>
  <c r="F495" i="2"/>
  <c r="F615" i="2"/>
  <c r="F975" i="2"/>
  <c r="F983" i="2"/>
  <c r="J705" i="2"/>
  <c r="F968" i="2"/>
  <c r="F976" i="2"/>
  <c r="F984" i="2"/>
  <c r="J885" i="2"/>
  <c r="F969" i="2"/>
  <c r="F977" i="2"/>
  <c r="F985" i="2"/>
  <c r="J785" i="2"/>
  <c r="F490" i="2"/>
  <c r="F610" i="2"/>
  <c r="F970" i="2"/>
  <c r="F978" i="2"/>
  <c r="F986" i="2"/>
  <c r="J745" i="2"/>
  <c r="F493" i="2"/>
  <c r="F613" i="2"/>
  <c r="F998" i="2"/>
  <c r="F982" i="2"/>
  <c r="F934" i="2"/>
  <c r="F886" i="2"/>
  <c r="F838" i="2"/>
  <c r="F822" i="2"/>
  <c r="F806" i="2"/>
  <c r="F790" i="2"/>
  <c r="F726" i="2"/>
  <c r="F662" i="2"/>
  <c r="F566" i="2"/>
  <c r="F451" i="2"/>
  <c r="F302" i="2"/>
  <c r="F283" i="2"/>
  <c r="F186" i="2"/>
  <c r="F97" i="2"/>
  <c r="J938" i="2"/>
  <c r="J797" i="2"/>
  <c r="F267" i="2"/>
  <c r="J114" i="2"/>
  <c r="J5" i="2"/>
  <c r="J29" i="2"/>
  <c r="J197" i="2"/>
  <c r="J221" i="2"/>
  <c r="J389" i="2"/>
  <c r="J413" i="2"/>
  <c r="J437" i="2"/>
  <c r="J461" i="2"/>
  <c r="J485" i="2"/>
  <c r="J23" i="2"/>
  <c r="J215" i="2"/>
  <c r="J407" i="2"/>
  <c r="J431" i="2"/>
  <c r="J455" i="2"/>
  <c r="J479" i="2"/>
  <c r="J503" i="2"/>
  <c r="J35" i="2"/>
  <c r="J227" i="2"/>
  <c r="J419" i="2"/>
  <c r="J467" i="2"/>
  <c r="F11" i="2"/>
  <c r="F51" i="2"/>
  <c r="F99" i="2"/>
  <c r="F107" i="2"/>
  <c r="F115" i="2"/>
  <c r="J11" i="2"/>
  <c r="J203" i="2"/>
  <c r="F12" i="2"/>
  <c r="F100" i="2"/>
  <c r="F108" i="2"/>
  <c r="J491" i="2"/>
  <c r="F13" i="2"/>
  <c r="F101" i="2"/>
  <c r="F109" i="2"/>
  <c r="J17" i="2"/>
  <c r="J209" i="2"/>
  <c r="J443" i="2"/>
  <c r="F14" i="2"/>
  <c r="F46" i="2"/>
  <c r="F102" i="2"/>
  <c r="F110" i="2"/>
  <c r="F50" i="2"/>
  <c r="F98" i="2"/>
  <c r="F114" i="2"/>
  <c r="J473" i="2"/>
  <c r="F103" i="2"/>
  <c r="J425" i="2"/>
  <c r="F104" i="2"/>
  <c r="F105" i="2"/>
  <c r="J449" i="2"/>
  <c r="F48" i="2"/>
  <c r="F96" i="2"/>
  <c r="F112" i="2"/>
  <c r="J101" i="2"/>
  <c r="J141" i="2"/>
  <c r="J181" i="2"/>
  <c r="J293" i="2"/>
  <c r="J333" i="2"/>
  <c r="J373" i="2"/>
  <c r="J653" i="2"/>
  <c r="J121" i="2"/>
  <c r="J813" i="2"/>
  <c r="J713" i="2"/>
  <c r="J853" i="2"/>
  <c r="J313" i="2"/>
  <c r="J753" i="2"/>
  <c r="J893" i="2"/>
  <c r="J953" i="2"/>
  <c r="J973" i="2"/>
  <c r="J81" i="2"/>
  <c r="J673" i="2"/>
  <c r="J793" i="2"/>
  <c r="J993" i="2"/>
  <c r="J353" i="2"/>
  <c r="J773" i="2"/>
  <c r="F423" i="2"/>
  <c r="F543" i="2"/>
  <c r="F735" i="2"/>
  <c r="F743" i="2"/>
  <c r="J833" i="2"/>
  <c r="J933" i="2"/>
  <c r="F728" i="2"/>
  <c r="F736" i="2"/>
  <c r="F744" i="2"/>
  <c r="J1013" i="2"/>
  <c r="F729" i="2"/>
  <c r="F737" i="2"/>
  <c r="F745" i="2"/>
  <c r="J273" i="2"/>
  <c r="J633" i="2"/>
  <c r="J733" i="2"/>
  <c r="J913" i="2"/>
  <c r="F418" i="2"/>
  <c r="F538" i="2"/>
  <c r="F730" i="2"/>
  <c r="F738" i="2"/>
  <c r="F746" i="2"/>
  <c r="J693" i="2"/>
  <c r="J873" i="2"/>
  <c r="F421" i="2"/>
  <c r="F541" i="2"/>
  <c r="F827" i="2"/>
  <c r="F571" i="2"/>
  <c r="F371" i="2"/>
  <c r="F307" i="2"/>
  <c r="F262" i="2"/>
  <c r="F191" i="2"/>
  <c r="F106" i="2"/>
  <c r="F17" i="2"/>
  <c r="J100" i="2"/>
  <c r="J140" i="2"/>
  <c r="J180" i="2"/>
  <c r="J292" i="2"/>
  <c r="J332" i="2"/>
  <c r="J372" i="2"/>
  <c r="J652" i="2"/>
  <c r="J80" i="2"/>
  <c r="J120" i="2"/>
  <c r="J160" i="2"/>
  <c r="J272" i="2"/>
  <c r="J312" i="2"/>
  <c r="J352" i="2"/>
  <c r="J632" i="2"/>
  <c r="J672" i="2"/>
  <c r="J712" i="2"/>
  <c r="J752" i="2"/>
  <c r="J792" i="2"/>
  <c r="J832" i="2"/>
  <c r="J872" i="2"/>
  <c r="J912" i="2"/>
  <c r="J952" i="2"/>
  <c r="J852" i="2"/>
  <c r="J892" i="2"/>
  <c r="J972" i="2"/>
  <c r="J992" i="2"/>
  <c r="J932" i="2"/>
  <c r="F415" i="2"/>
  <c r="F535" i="2"/>
  <c r="F711" i="2"/>
  <c r="F719" i="2"/>
  <c r="F727" i="2"/>
  <c r="J1012" i="2"/>
  <c r="F416" i="2"/>
  <c r="F536" i="2"/>
  <c r="F712" i="2"/>
  <c r="F720" i="2"/>
  <c r="J732" i="2"/>
  <c r="F417" i="2"/>
  <c r="F537" i="2"/>
  <c r="F713" i="2"/>
  <c r="F721" i="2"/>
  <c r="F714" i="2"/>
  <c r="F722" i="2"/>
  <c r="F413" i="2"/>
  <c r="F533" i="2"/>
  <c r="J108" i="2"/>
  <c r="J148" i="2"/>
  <c r="J188" i="2"/>
  <c r="J300" i="2"/>
  <c r="J340" i="2"/>
  <c r="J380" i="2"/>
  <c r="J660" i="2"/>
  <c r="J88" i="2"/>
  <c r="J128" i="2"/>
  <c r="J168" i="2"/>
  <c r="J280" i="2"/>
  <c r="J320" i="2"/>
  <c r="J360" i="2"/>
  <c r="J640" i="2"/>
  <c r="J680" i="2"/>
  <c r="J720" i="2"/>
  <c r="J760" i="2"/>
  <c r="J800" i="2"/>
  <c r="J840" i="2"/>
  <c r="J880" i="2"/>
  <c r="J920" i="2"/>
  <c r="J960" i="2"/>
  <c r="J980" i="2"/>
  <c r="J700" i="2"/>
  <c r="J940" i="2"/>
  <c r="J1000" i="2"/>
  <c r="J740" i="2"/>
  <c r="J780" i="2"/>
  <c r="J1020" i="2"/>
  <c r="F463" i="2"/>
  <c r="F583" i="2"/>
  <c r="F871" i="2"/>
  <c r="F879" i="2"/>
  <c r="F887" i="2"/>
  <c r="F464" i="2"/>
  <c r="F584" i="2"/>
  <c r="F872" i="2"/>
  <c r="F880" i="2"/>
  <c r="J860" i="2"/>
  <c r="F465" i="2"/>
  <c r="F585" i="2"/>
  <c r="F873" i="2"/>
  <c r="F881" i="2"/>
  <c r="F874" i="2"/>
  <c r="F882" i="2"/>
  <c r="F461" i="2"/>
  <c r="F581" i="2"/>
  <c r="F4" i="2"/>
  <c r="F997" i="2"/>
  <c r="F981" i="2"/>
  <c r="F885" i="2"/>
  <c r="F869" i="2"/>
  <c r="F837" i="2"/>
  <c r="F821" i="2"/>
  <c r="F805" i="2"/>
  <c r="F741" i="2"/>
  <c r="F725" i="2"/>
  <c r="F709" i="2"/>
  <c r="F564" i="2"/>
  <c r="F387" i="2"/>
  <c r="F278" i="2"/>
  <c r="F177" i="2"/>
  <c r="F95" i="2"/>
  <c r="F49" i="2"/>
  <c r="F10" i="2"/>
  <c r="J985" i="2"/>
  <c r="J925" i="2"/>
  <c r="J497" i="2"/>
  <c r="J225" i="2"/>
  <c r="F828" i="2"/>
  <c r="F372" i="2"/>
  <c r="J53" i="2"/>
  <c r="J245" i="2"/>
  <c r="J509" i="2"/>
  <c r="J533" i="2"/>
  <c r="J557" i="2"/>
  <c r="J581" i="2"/>
  <c r="J605" i="2"/>
  <c r="J47" i="2"/>
  <c r="J71" i="2"/>
  <c r="J239" i="2"/>
  <c r="J263" i="2"/>
  <c r="J527" i="2"/>
  <c r="J551" i="2"/>
  <c r="J575" i="2"/>
  <c r="J599" i="2"/>
  <c r="J623" i="2"/>
  <c r="J515" i="2"/>
  <c r="J563" i="2"/>
  <c r="J611" i="2"/>
  <c r="J41" i="2"/>
  <c r="J587" i="2"/>
  <c r="F203" i="2"/>
  <c r="F243" i="2"/>
  <c r="J233" i="2"/>
  <c r="J257" i="2"/>
  <c r="J539" i="2"/>
  <c r="J617" i="2"/>
  <c r="F204" i="2"/>
  <c r="J569" i="2"/>
  <c r="J593" i="2"/>
  <c r="F205" i="2"/>
  <c r="J521" i="2"/>
  <c r="J545" i="2"/>
  <c r="F206" i="2"/>
  <c r="F238" i="2"/>
  <c r="J65" i="2"/>
  <c r="J251" i="2"/>
  <c r="F242" i="2"/>
  <c r="F295" i="2"/>
  <c r="F303" i="2"/>
  <c r="F288" i="2"/>
  <c r="F296" i="2"/>
  <c r="F304" i="2"/>
  <c r="F289" i="2"/>
  <c r="F297" i="2"/>
  <c r="F305" i="2"/>
  <c r="F290" i="2"/>
  <c r="F298" i="2"/>
  <c r="F306" i="2"/>
  <c r="J59" i="2"/>
  <c r="F240" i="2"/>
  <c r="F293" i="2"/>
  <c r="F301" i="2"/>
  <c r="J85" i="2"/>
  <c r="J125" i="2"/>
  <c r="J165" i="2"/>
  <c r="J277" i="2"/>
  <c r="J317" i="2"/>
  <c r="J357" i="2"/>
  <c r="J637" i="2"/>
  <c r="J677" i="2"/>
  <c r="J105" i="2"/>
  <c r="J185" i="2"/>
  <c r="J737" i="2"/>
  <c r="J877" i="2"/>
  <c r="J1017" i="2"/>
  <c r="J777" i="2"/>
  <c r="J917" i="2"/>
  <c r="J337" i="2"/>
  <c r="J817" i="2"/>
  <c r="J145" i="2"/>
  <c r="J857" i="2"/>
  <c r="J697" i="2"/>
  <c r="F447" i="2"/>
  <c r="F567" i="2"/>
  <c r="F815" i="2"/>
  <c r="F823" i="2"/>
  <c r="F808" i="2"/>
  <c r="F816" i="2"/>
  <c r="F824" i="2"/>
  <c r="J757" i="2"/>
  <c r="J977" i="2"/>
  <c r="F809" i="2"/>
  <c r="F817" i="2"/>
  <c r="F825" i="2"/>
  <c r="J377" i="2"/>
  <c r="J937" i="2"/>
  <c r="J957" i="2"/>
  <c r="F442" i="2"/>
  <c r="F562" i="2"/>
  <c r="F810" i="2"/>
  <c r="F818" i="2"/>
  <c r="F826" i="2"/>
  <c r="J297" i="2"/>
  <c r="F445" i="2"/>
  <c r="F565" i="2"/>
  <c r="F747" i="2"/>
  <c r="F452" i="2"/>
  <c r="J77" i="2"/>
  <c r="J117" i="2"/>
  <c r="J157" i="2"/>
  <c r="J269" i="2"/>
  <c r="J309" i="2"/>
  <c r="J349" i="2"/>
  <c r="J629" i="2"/>
  <c r="J669" i="2"/>
  <c r="J137" i="2"/>
  <c r="J749" i="2"/>
  <c r="J929" i="2"/>
  <c r="J949" i="2"/>
  <c r="J989" i="2"/>
  <c r="J789" i="2"/>
  <c r="J1009" i="2"/>
  <c r="J689" i="2"/>
  <c r="J829" i="2"/>
  <c r="J177" i="2"/>
  <c r="J289" i="2"/>
  <c r="J649" i="2"/>
  <c r="J729" i="2"/>
  <c r="J869" i="2"/>
  <c r="F399" i="2"/>
  <c r="F519" i="2"/>
  <c r="F655" i="2"/>
  <c r="F663" i="2"/>
  <c r="J369" i="2"/>
  <c r="J909" i="2"/>
  <c r="F648" i="2"/>
  <c r="F656" i="2"/>
  <c r="F664" i="2"/>
  <c r="J809" i="2"/>
  <c r="F649" i="2"/>
  <c r="F657" i="2"/>
  <c r="F665" i="2"/>
  <c r="F394" i="2"/>
  <c r="F514" i="2"/>
  <c r="F650" i="2"/>
  <c r="F658" i="2"/>
  <c r="F666" i="2"/>
  <c r="F397" i="2"/>
  <c r="F517" i="2"/>
  <c r="J84" i="2"/>
  <c r="J124" i="2"/>
  <c r="J164" i="2"/>
  <c r="J276" i="2"/>
  <c r="J316" i="2"/>
  <c r="J356" i="2"/>
  <c r="J636" i="2"/>
  <c r="J676" i="2"/>
  <c r="J104" i="2"/>
  <c r="J144" i="2"/>
  <c r="J184" i="2"/>
  <c r="J296" i="2"/>
  <c r="J336" i="2"/>
  <c r="J376" i="2"/>
  <c r="J656" i="2"/>
  <c r="J696" i="2"/>
  <c r="J736" i="2"/>
  <c r="J776" i="2"/>
  <c r="J816" i="2"/>
  <c r="J856" i="2"/>
  <c r="J896" i="2"/>
  <c r="J936" i="2"/>
  <c r="J916" i="2"/>
  <c r="J716" i="2"/>
  <c r="J876" i="2"/>
  <c r="F439" i="2"/>
  <c r="F559" i="2"/>
  <c r="F791" i="2"/>
  <c r="F799" i="2"/>
  <c r="F807" i="2"/>
  <c r="J756" i="2"/>
  <c r="J976" i="2"/>
  <c r="F440" i="2"/>
  <c r="F560" i="2"/>
  <c r="F792" i="2"/>
  <c r="F800" i="2"/>
  <c r="J956" i="2"/>
  <c r="F441" i="2"/>
  <c r="F561" i="2"/>
  <c r="F793" i="2"/>
  <c r="F801" i="2"/>
  <c r="J836" i="2"/>
  <c r="J996" i="2"/>
  <c r="F794" i="2"/>
  <c r="F802" i="2"/>
  <c r="J796" i="2"/>
  <c r="F437" i="2"/>
  <c r="F557" i="2"/>
  <c r="J111" i="2"/>
  <c r="J151" i="2"/>
  <c r="J191" i="2"/>
  <c r="J303" i="2"/>
  <c r="J343" i="2"/>
  <c r="J383" i="2"/>
  <c r="J663" i="2"/>
  <c r="J131" i="2"/>
  <c r="J323" i="2"/>
  <c r="J643" i="2"/>
  <c r="J703" i="2"/>
  <c r="J743" i="2"/>
  <c r="J783" i="2"/>
  <c r="J823" i="2"/>
  <c r="J863" i="2"/>
  <c r="J903" i="2"/>
  <c r="J943" i="2"/>
  <c r="J983" i="2"/>
  <c r="J1023" i="2"/>
  <c r="J763" i="2"/>
  <c r="J171" i="2"/>
  <c r="J283" i="2"/>
  <c r="J803" i="2"/>
  <c r="J363" i="2"/>
  <c r="J843" i="2"/>
  <c r="J963" i="2"/>
  <c r="J883" i="2"/>
  <c r="J723" i="2"/>
  <c r="F479" i="2"/>
  <c r="F599" i="2"/>
  <c r="F935" i="2"/>
  <c r="F943" i="2"/>
  <c r="F480" i="2"/>
  <c r="F600" i="2"/>
  <c r="F928" i="2"/>
  <c r="F936" i="2"/>
  <c r="F944" i="2"/>
  <c r="J91" i="2"/>
  <c r="F481" i="2"/>
  <c r="F601" i="2"/>
  <c r="F929" i="2"/>
  <c r="F937" i="2"/>
  <c r="F945" i="2"/>
  <c r="J683" i="2"/>
  <c r="F482" i="2"/>
  <c r="F602" i="2"/>
  <c r="F930" i="2"/>
  <c r="F938" i="2"/>
  <c r="F946" i="2"/>
  <c r="F996" i="2"/>
  <c r="F932" i="2"/>
  <c r="F820" i="2"/>
  <c r="F804" i="2"/>
  <c r="F788" i="2"/>
  <c r="F740" i="2"/>
  <c r="F724" i="2"/>
  <c r="F708" i="2"/>
  <c r="F660" i="2"/>
  <c r="F603" i="2"/>
  <c r="F582" i="2"/>
  <c r="F563" i="2"/>
  <c r="F542" i="2"/>
  <c r="F444" i="2"/>
  <c r="F299" i="2"/>
  <c r="F276" i="2"/>
  <c r="F129" i="2"/>
  <c r="F90" i="2"/>
  <c r="F47" i="2"/>
  <c r="J923" i="2"/>
  <c r="J849" i="2"/>
  <c r="J717" i="2"/>
  <c r="J345" i="2"/>
  <c r="J21" i="2"/>
  <c r="J213" i="2"/>
  <c r="J405" i="2"/>
  <c r="J429" i="2"/>
  <c r="J453" i="2"/>
  <c r="J477" i="2"/>
  <c r="J501" i="2"/>
  <c r="J15" i="2"/>
  <c r="J39" i="2"/>
  <c r="J207" i="2"/>
  <c r="J231" i="2"/>
  <c r="J399" i="2"/>
  <c r="J423" i="2"/>
  <c r="J447" i="2"/>
  <c r="J471" i="2"/>
  <c r="J495" i="2"/>
  <c r="J435" i="2"/>
  <c r="J483" i="2"/>
  <c r="J9" i="2"/>
  <c r="J201" i="2"/>
  <c r="J459" i="2"/>
  <c r="F35" i="2"/>
  <c r="F75" i="2"/>
  <c r="F179" i="2"/>
  <c r="F187" i="2"/>
  <c r="F195" i="2"/>
  <c r="J411" i="2"/>
  <c r="J489" i="2"/>
  <c r="F36" i="2"/>
  <c r="F180" i="2"/>
  <c r="F188" i="2"/>
  <c r="J441" i="2"/>
  <c r="J465" i="2"/>
  <c r="F37" i="2"/>
  <c r="F181" i="2"/>
  <c r="F189" i="2"/>
  <c r="J393" i="2"/>
  <c r="J417" i="2"/>
  <c r="F38" i="2"/>
  <c r="F70" i="2"/>
  <c r="F182" i="2"/>
  <c r="F190" i="2"/>
  <c r="J507" i="2"/>
  <c r="F34" i="2"/>
  <c r="F178" i="2"/>
  <c r="F194" i="2"/>
  <c r="F39" i="2"/>
  <c r="F71" i="2"/>
  <c r="F183" i="2"/>
  <c r="J27" i="2"/>
  <c r="J219" i="2"/>
  <c r="F72" i="2"/>
  <c r="F184" i="2"/>
  <c r="F73" i="2"/>
  <c r="F185" i="2"/>
  <c r="F176" i="2"/>
  <c r="F192" i="2"/>
  <c r="J45" i="2"/>
  <c r="J69" i="2"/>
  <c r="J237" i="2"/>
  <c r="J261" i="2"/>
  <c r="J525" i="2"/>
  <c r="J549" i="2"/>
  <c r="J573" i="2"/>
  <c r="J597" i="2"/>
  <c r="J621" i="2"/>
  <c r="J63" i="2"/>
  <c r="J255" i="2"/>
  <c r="J519" i="2"/>
  <c r="J543" i="2"/>
  <c r="J567" i="2"/>
  <c r="J591" i="2"/>
  <c r="J615" i="2"/>
  <c r="J51" i="2"/>
  <c r="J243" i="2"/>
  <c r="J531" i="2"/>
  <c r="J579" i="2"/>
  <c r="J627" i="2"/>
  <c r="J57" i="2"/>
  <c r="J537" i="2"/>
  <c r="J561" i="2"/>
  <c r="F227" i="2"/>
  <c r="J75" i="2"/>
  <c r="J513" i="2"/>
  <c r="F228" i="2"/>
  <c r="F229" i="2"/>
  <c r="F230" i="2"/>
  <c r="J609" i="2"/>
  <c r="F226" i="2"/>
  <c r="F263" i="2"/>
  <c r="F375" i="2"/>
  <c r="F383" i="2"/>
  <c r="J267" i="2"/>
  <c r="F231" i="2"/>
  <c r="F264" i="2"/>
  <c r="F368" i="2"/>
  <c r="F376" i="2"/>
  <c r="F384" i="2"/>
  <c r="F265" i="2"/>
  <c r="F369" i="2"/>
  <c r="F377" i="2"/>
  <c r="F385" i="2"/>
  <c r="F266" i="2"/>
  <c r="F370" i="2"/>
  <c r="F378" i="2"/>
  <c r="F386" i="2"/>
  <c r="J603" i="2"/>
  <c r="F373" i="2"/>
  <c r="F381" i="2"/>
  <c r="J86" i="2"/>
  <c r="J166" i="2"/>
  <c r="J278" i="2"/>
  <c r="J358" i="2"/>
  <c r="J678" i="2"/>
  <c r="J106" i="2"/>
  <c r="J186" i="2"/>
  <c r="J298" i="2"/>
  <c r="J378" i="2"/>
  <c r="J698" i="2"/>
  <c r="J738" i="2"/>
  <c r="J778" i="2"/>
  <c r="J818" i="2"/>
  <c r="J858" i="2"/>
  <c r="J898" i="2"/>
  <c r="J638" i="2"/>
  <c r="J838" i="2"/>
  <c r="J998" i="2"/>
  <c r="J878" i="2"/>
  <c r="J1018" i="2"/>
  <c r="J918" i="2"/>
  <c r="J338" i="2"/>
  <c r="J658" i="2"/>
  <c r="J798" i="2"/>
  <c r="F831" i="2"/>
  <c r="F839" i="2"/>
  <c r="F847" i="2"/>
  <c r="J146" i="2"/>
  <c r="J318" i="2"/>
  <c r="F448" i="2"/>
  <c r="F568" i="2"/>
  <c r="F832" i="2"/>
  <c r="F840" i="2"/>
  <c r="F449" i="2"/>
  <c r="F569" i="2"/>
  <c r="F833" i="2"/>
  <c r="F841" i="2"/>
  <c r="J758" i="2"/>
  <c r="J978" i="2"/>
  <c r="F450" i="2"/>
  <c r="F570" i="2"/>
  <c r="F834" i="2"/>
  <c r="F842" i="2"/>
  <c r="J718" i="2"/>
  <c r="F453" i="2"/>
  <c r="F573" i="2"/>
  <c r="J134" i="2"/>
  <c r="J326" i="2"/>
  <c r="J646" i="2"/>
  <c r="J154" i="2"/>
  <c r="J346" i="2"/>
  <c r="J666" i="2"/>
  <c r="J706" i="2"/>
  <c r="J746" i="2"/>
  <c r="J786" i="2"/>
  <c r="J826" i="2"/>
  <c r="J866" i="2"/>
  <c r="J906" i="2"/>
  <c r="J194" i="2"/>
  <c r="J1026" i="2"/>
  <c r="J306" i="2"/>
  <c r="J686" i="2"/>
  <c r="J174" i="2"/>
  <c r="J286" i="2"/>
  <c r="J386" i="2"/>
  <c r="J726" i="2"/>
  <c r="J366" i="2"/>
  <c r="J766" i="2"/>
  <c r="J926" i="2"/>
  <c r="J1006" i="2"/>
  <c r="F991" i="2"/>
  <c r="F999" i="2"/>
  <c r="F1007" i="2"/>
  <c r="J806" i="2"/>
  <c r="F496" i="2"/>
  <c r="F616" i="2"/>
  <c r="F992" i="2"/>
  <c r="F1000" i="2"/>
  <c r="F497" i="2"/>
  <c r="F617" i="2"/>
  <c r="F993" i="2"/>
  <c r="F1001" i="2"/>
  <c r="J94" i="2"/>
  <c r="J886" i="2"/>
  <c r="F498" i="2"/>
  <c r="F618" i="2"/>
  <c r="F994" i="2"/>
  <c r="F1002" i="2"/>
  <c r="J846" i="2"/>
  <c r="J946" i="2"/>
  <c r="J966" i="2"/>
  <c r="J986" i="2"/>
  <c r="F501" i="2"/>
  <c r="F621" i="2"/>
  <c r="F995" i="2"/>
  <c r="F835" i="2"/>
  <c r="F819" i="2"/>
  <c r="F803" i="2"/>
  <c r="F739" i="2"/>
  <c r="F659" i="2"/>
  <c r="F619" i="2"/>
  <c r="F598" i="2"/>
  <c r="F558" i="2"/>
  <c r="F540" i="2"/>
  <c r="F500" i="2"/>
  <c r="F483" i="2"/>
  <c r="F462" i="2"/>
  <c r="F443" i="2"/>
  <c r="F422" i="2"/>
  <c r="F380" i="2"/>
  <c r="F294" i="2"/>
  <c r="F275" i="2"/>
  <c r="F127" i="2"/>
  <c r="F81" i="2"/>
  <c r="F42" i="2"/>
  <c r="J969" i="2"/>
  <c r="J845" i="2"/>
  <c r="J772" i="2"/>
  <c r="J709" i="2"/>
  <c r="J450" i="2"/>
  <c r="J329" i="2"/>
  <c r="F597" i="2"/>
  <c r="F477" i="2"/>
  <c r="F405" i="2"/>
  <c r="F365" i="2"/>
  <c r="F357" i="2"/>
  <c r="F349" i="2"/>
  <c r="F341" i="2"/>
  <c r="F333" i="2"/>
  <c r="F325" i="2"/>
  <c r="F317" i="2"/>
  <c r="F309" i="2"/>
  <c r="F261" i="2"/>
  <c r="F252" i="2"/>
  <c r="F224" i="2"/>
  <c r="F208" i="2"/>
  <c r="F160" i="2"/>
  <c r="F144" i="2"/>
  <c r="F64" i="2"/>
  <c r="F32" i="2"/>
  <c r="J1022" i="2"/>
  <c r="J1004" i="2"/>
  <c r="J924" i="2"/>
  <c r="J899" i="2"/>
  <c r="J771" i="2"/>
  <c r="J553" i="2"/>
  <c r="J347" i="2"/>
  <c r="J187" i="2"/>
  <c r="J20" i="2"/>
  <c r="J212" i="2"/>
  <c r="J404" i="2"/>
  <c r="J428" i="2"/>
  <c r="J452" i="2"/>
  <c r="J476" i="2"/>
  <c r="J500" i="2"/>
  <c r="J8" i="2"/>
  <c r="J32" i="2"/>
  <c r="J200" i="2"/>
  <c r="J224" i="2"/>
  <c r="J392" i="2"/>
  <c r="J416" i="2"/>
  <c r="J440" i="2"/>
  <c r="J464" i="2"/>
  <c r="J488" i="2"/>
  <c r="J38" i="2"/>
  <c r="J230" i="2"/>
  <c r="J422" i="2"/>
  <c r="J470" i="2"/>
  <c r="J26" i="2"/>
  <c r="J218" i="2"/>
  <c r="J410" i="2"/>
  <c r="J458" i="2"/>
  <c r="J506" i="2"/>
  <c r="J482" i="2"/>
  <c r="F67" i="2"/>
  <c r="F163" i="2"/>
  <c r="F171" i="2"/>
  <c r="J434" i="2"/>
  <c r="F28" i="2"/>
  <c r="F68" i="2"/>
  <c r="F156" i="2"/>
  <c r="F164" i="2"/>
  <c r="F172" i="2"/>
  <c r="J14" i="2"/>
  <c r="J206" i="2"/>
  <c r="F29" i="2"/>
  <c r="F69" i="2"/>
  <c r="F157" i="2"/>
  <c r="F165" i="2"/>
  <c r="F173" i="2"/>
  <c r="J494" i="2"/>
  <c r="F30" i="2"/>
  <c r="F158" i="2"/>
  <c r="F166" i="2"/>
  <c r="F174" i="2"/>
  <c r="J44" i="2"/>
  <c r="J68" i="2"/>
  <c r="J236" i="2"/>
  <c r="J260" i="2"/>
  <c r="J524" i="2"/>
  <c r="J548" i="2"/>
  <c r="J572" i="2"/>
  <c r="J596" i="2"/>
  <c r="J620" i="2"/>
  <c r="J56" i="2"/>
  <c r="J248" i="2"/>
  <c r="J512" i="2"/>
  <c r="J536" i="2"/>
  <c r="J560" i="2"/>
  <c r="J584" i="2"/>
  <c r="J608" i="2"/>
  <c r="J518" i="2"/>
  <c r="J566" i="2"/>
  <c r="J614" i="2"/>
  <c r="J74" i="2"/>
  <c r="J266" i="2"/>
  <c r="J554" i="2"/>
  <c r="J602" i="2"/>
  <c r="J254" i="2"/>
  <c r="J590" i="2"/>
  <c r="F220" i="2"/>
  <c r="J542" i="2"/>
  <c r="F221" i="2"/>
  <c r="F222" i="2"/>
  <c r="J102" i="2"/>
  <c r="J182" i="2"/>
  <c r="J294" i="2"/>
  <c r="J374" i="2"/>
  <c r="J122" i="2"/>
  <c r="J314" i="2"/>
  <c r="J634" i="2"/>
  <c r="J714" i="2"/>
  <c r="J754" i="2"/>
  <c r="J794" i="2"/>
  <c r="J834" i="2"/>
  <c r="J874" i="2"/>
  <c r="J914" i="2"/>
  <c r="J162" i="2"/>
  <c r="J354" i="2"/>
  <c r="J774" i="2"/>
  <c r="J334" i="2"/>
  <c r="J814" i="2"/>
  <c r="J142" i="2"/>
  <c r="J854" i="2"/>
  <c r="J894" i="2"/>
  <c r="J954" i="2"/>
  <c r="J974" i="2"/>
  <c r="J103" i="2"/>
  <c r="J143" i="2"/>
  <c r="J183" i="2"/>
  <c r="J295" i="2"/>
  <c r="J335" i="2"/>
  <c r="J375" i="2"/>
  <c r="J655" i="2"/>
  <c r="J83" i="2"/>
  <c r="J163" i="2"/>
  <c r="J275" i="2"/>
  <c r="J355" i="2"/>
  <c r="J675" i="2"/>
  <c r="J695" i="2"/>
  <c r="J735" i="2"/>
  <c r="J775" i="2"/>
  <c r="J815" i="2"/>
  <c r="J855" i="2"/>
  <c r="J895" i="2"/>
  <c r="J935" i="2"/>
  <c r="J975" i="2"/>
  <c r="J1015" i="2"/>
  <c r="J715" i="2"/>
  <c r="J315" i="2"/>
  <c r="J755" i="2"/>
  <c r="J109" i="2"/>
  <c r="J149" i="2"/>
  <c r="J189" i="2"/>
  <c r="J301" i="2"/>
  <c r="J341" i="2"/>
  <c r="J381" i="2"/>
  <c r="J661" i="2"/>
  <c r="J89" i="2"/>
  <c r="J169" i="2"/>
  <c r="J281" i="2"/>
  <c r="J801" i="2"/>
  <c r="J961" i="2"/>
  <c r="J361" i="2"/>
  <c r="J641" i="2"/>
  <c r="J841" i="2"/>
  <c r="J981" i="2"/>
  <c r="J701" i="2"/>
  <c r="J881" i="2"/>
  <c r="J941" i="2"/>
  <c r="J1001" i="2"/>
  <c r="J741" i="2"/>
  <c r="J921" i="2"/>
  <c r="F1026" i="2"/>
  <c r="F1018" i="2"/>
  <c r="F1010" i="2"/>
  <c r="F962" i="2"/>
  <c r="F922" i="2"/>
  <c r="F914" i="2"/>
  <c r="F906" i="2"/>
  <c r="F898" i="2"/>
  <c r="F890" i="2"/>
  <c r="F866" i="2"/>
  <c r="F858" i="2"/>
  <c r="F850" i="2"/>
  <c r="F786" i="2"/>
  <c r="F778" i="2"/>
  <c r="F770" i="2"/>
  <c r="F762" i="2"/>
  <c r="F754" i="2"/>
  <c r="F706" i="2"/>
  <c r="F698" i="2"/>
  <c r="F690" i="2"/>
  <c r="F682" i="2"/>
  <c r="F674" i="2"/>
  <c r="F626" i="2"/>
  <c r="F594" i="2"/>
  <c r="F586" i="2"/>
  <c r="F578" i="2"/>
  <c r="F554" i="2"/>
  <c r="F546" i="2"/>
  <c r="F530" i="2"/>
  <c r="F522" i="2"/>
  <c r="F506" i="2"/>
  <c r="F474" i="2"/>
  <c r="F466" i="2"/>
  <c r="F458" i="2"/>
  <c r="F434" i="2"/>
  <c r="F426" i="2"/>
  <c r="F410" i="2"/>
  <c r="F402" i="2"/>
  <c r="F362" i="2"/>
  <c r="F354" i="2"/>
  <c r="F346" i="2"/>
  <c r="F338" i="2"/>
  <c r="F330" i="2"/>
  <c r="F322" i="2"/>
  <c r="F314" i="2"/>
  <c r="F258" i="2"/>
  <c r="F249" i="2"/>
  <c r="F217" i="2"/>
  <c r="F169" i="2"/>
  <c r="F153" i="2"/>
  <c r="F137" i="2"/>
  <c r="F25" i="2"/>
  <c r="J1014" i="2"/>
  <c r="J861" i="2"/>
  <c r="J811" i="2"/>
  <c r="J578" i="2"/>
  <c r="J322" i="2"/>
  <c r="J13" i="2"/>
  <c r="J37" i="2"/>
  <c r="J205" i="2"/>
  <c r="J229" i="2"/>
  <c r="J397" i="2"/>
  <c r="J421" i="2"/>
  <c r="J445" i="2"/>
  <c r="J469" i="2"/>
  <c r="J493" i="2"/>
  <c r="J7" i="2"/>
  <c r="J31" i="2"/>
  <c r="J199" i="2"/>
  <c r="J223" i="2"/>
  <c r="J391" i="2"/>
  <c r="J415" i="2"/>
  <c r="J439" i="2"/>
  <c r="J463" i="2"/>
  <c r="J487" i="2"/>
  <c r="J19" i="2"/>
  <c r="J211" i="2"/>
  <c r="J403" i="2"/>
  <c r="J451" i="2"/>
  <c r="J499" i="2"/>
  <c r="J25" i="2"/>
  <c r="J217" i="2"/>
  <c r="J409" i="2"/>
  <c r="J433" i="2"/>
  <c r="F27" i="2"/>
  <c r="F59" i="2"/>
  <c r="F139" i="2"/>
  <c r="F147" i="2"/>
  <c r="F155" i="2"/>
  <c r="F60" i="2"/>
  <c r="F140" i="2"/>
  <c r="F148" i="2"/>
  <c r="F61" i="2"/>
  <c r="F141" i="2"/>
  <c r="F149" i="2"/>
  <c r="F22" i="2"/>
  <c r="F62" i="2"/>
  <c r="F142" i="2"/>
  <c r="F150" i="2"/>
  <c r="J61" i="2"/>
  <c r="J253" i="2"/>
  <c r="J517" i="2"/>
  <c r="J541" i="2"/>
  <c r="J565" i="2"/>
  <c r="J589" i="2"/>
  <c r="J613" i="2"/>
  <c r="J55" i="2"/>
  <c r="J247" i="2"/>
  <c r="J511" i="2"/>
  <c r="J535" i="2"/>
  <c r="J559" i="2"/>
  <c r="J583" i="2"/>
  <c r="J607" i="2"/>
  <c r="J67" i="2"/>
  <c r="J259" i="2"/>
  <c r="J547" i="2"/>
  <c r="J595" i="2"/>
  <c r="J73" i="2"/>
  <c r="F219" i="2"/>
  <c r="J43" i="2"/>
  <c r="J235" i="2"/>
  <c r="J619" i="2"/>
  <c r="J49" i="2"/>
  <c r="J265" i="2"/>
  <c r="J571" i="2"/>
  <c r="F214" i="2"/>
  <c r="F254" i="2"/>
  <c r="J118" i="2"/>
  <c r="J310" i="2"/>
  <c r="J630" i="2"/>
  <c r="J138" i="2"/>
  <c r="J330" i="2"/>
  <c r="J650" i="2"/>
  <c r="J690" i="2"/>
  <c r="J730" i="2"/>
  <c r="J770" i="2"/>
  <c r="J810" i="2"/>
  <c r="J850" i="2"/>
  <c r="J890" i="2"/>
  <c r="J98" i="2"/>
  <c r="J710" i="2"/>
  <c r="J750" i="2"/>
  <c r="J930" i="2"/>
  <c r="J950" i="2"/>
  <c r="J990" i="2"/>
  <c r="J78" i="2"/>
  <c r="J670" i="2"/>
  <c r="J790" i="2"/>
  <c r="J1010" i="2"/>
  <c r="J830" i="2"/>
  <c r="J92" i="2"/>
  <c r="J132" i="2"/>
  <c r="J172" i="2"/>
  <c r="J284" i="2"/>
  <c r="J324" i="2"/>
  <c r="J364" i="2"/>
  <c r="J644" i="2"/>
  <c r="J112" i="2"/>
  <c r="J152" i="2"/>
  <c r="J192" i="2"/>
  <c r="J304" i="2"/>
  <c r="J344" i="2"/>
  <c r="J384" i="2"/>
  <c r="J664" i="2"/>
  <c r="J704" i="2"/>
  <c r="J744" i="2"/>
  <c r="J784" i="2"/>
  <c r="J824" i="2"/>
  <c r="J864" i="2"/>
  <c r="J904" i="2"/>
  <c r="J944" i="2"/>
  <c r="J724" i="2"/>
  <c r="J764" i="2"/>
  <c r="J804" i="2"/>
  <c r="J844" i="2"/>
  <c r="J964" i="2"/>
  <c r="J984" i="2"/>
  <c r="F1025" i="2"/>
  <c r="F1017" i="2"/>
  <c r="F1009" i="2"/>
  <c r="F961" i="2"/>
  <c r="F953" i="2"/>
  <c r="F921" i="2"/>
  <c r="F913" i="2"/>
  <c r="F905" i="2"/>
  <c r="F897" i="2"/>
  <c r="F889" i="2"/>
  <c r="F865" i="2"/>
  <c r="F857" i="2"/>
  <c r="F849" i="2"/>
  <c r="F785" i="2"/>
  <c r="F777" i="2"/>
  <c r="F769" i="2"/>
  <c r="F761" i="2"/>
  <c r="F753" i="2"/>
  <c r="F705" i="2"/>
  <c r="F697" i="2"/>
  <c r="F689" i="2"/>
  <c r="F681" i="2"/>
  <c r="F673" i="2"/>
  <c r="F625" i="2"/>
  <c r="F609" i="2"/>
  <c r="F593" i="2"/>
  <c r="F577" i="2"/>
  <c r="F553" i="2"/>
  <c r="F545" i="2"/>
  <c r="F529" i="2"/>
  <c r="F521" i="2"/>
  <c r="F505" i="2"/>
  <c r="F489" i="2"/>
  <c r="F473" i="2"/>
  <c r="F433" i="2"/>
  <c r="F425" i="2"/>
  <c r="F401" i="2"/>
  <c r="F361" i="2"/>
  <c r="F353" i="2"/>
  <c r="F345" i="2"/>
  <c r="F337" i="2"/>
  <c r="F329" i="2"/>
  <c r="F321" i="2"/>
  <c r="F313" i="2"/>
  <c r="F257" i="2"/>
  <c r="F216" i="2"/>
  <c r="F168" i="2"/>
  <c r="F152" i="2"/>
  <c r="F136" i="2"/>
  <c r="F24" i="2"/>
  <c r="J995" i="2"/>
  <c r="J934" i="2"/>
  <c r="J910" i="2"/>
  <c r="J835" i="2"/>
  <c r="J782" i="2"/>
  <c r="J707" i="2"/>
  <c r="J681" i="2"/>
  <c r="J626" i="2"/>
  <c r="J577" i="2"/>
  <c r="J475" i="2"/>
  <c r="J370" i="2"/>
  <c r="J321" i="2"/>
  <c r="J270" i="2"/>
  <c r="J60" i="2"/>
  <c r="J252" i="2"/>
  <c r="J516" i="2"/>
  <c r="J540" i="2"/>
  <c r="J564" i="2"/>
  <c r="J588" i="2"/>
  <c r="J612" i="2"/>
  <c r="J48" i="2"/>
  <c r="J72" i="2"/>
  <c r="J240" i="2"/>
  <c r="J264" i="2"/>
  <c r="J528" i="2"/>
  <c r="J552" i="2"/>
  <c r="J576" i="2"/>
  <c r="J600" i="2"/>
  <c r="J624" i="2"/>
  <c r="J54" i="2"/>
  <c r="J246" i="2"/>
  <c r="J534" i="2"/>
  <c r="J582" i="2"/>
  <c r="J42" i="2"/>
  <c r="J234" i="2"/>
  <c r="J522" i="2"/>
  <c r="J570" i="2"/>
  <c r="J618" i="2"/>
  <c r="J66" i="2"/>
  <c r="J510" i="2"/>
  <c r="F211" i="2"/>
  <c r="F212" i="2"/>
  <c r="F244" i="2"/>
  <c r="J258" i="2"/>
  <c r="F213" i="2"/>
  <c r="F245" i="2"/>
  <c r="J594" i="2"/>
  <c r="F246" i="2"/>
  <c r="J79" i="2"/>
  <c r="J119" i="2"/>
  <c r="J159" i="2"/>
  <c r="J271" i="2"/>
  <c r="J311" i="2"/>
  <c r="J351" i="2"/>
  <c r="J631" i="2"/>
  <c r="J671" i="2"/>
  <c r="J99" i="2"/>
  <c r="J179" i="2"/>
  <c r="J291" i="2"/>
  <c r="J371" i="2"/>
  <c r="J711" i="2"/>
  <c r="J751" i="2"/>
  <c r="J791" i="2"/>
  <c r="J831" i="2"/>
  <c r="J871" i="2"/>
  <c r="J911" i="2"/>
  <c r="J951" i="2"/>
  <c r="J991" i="2"/>
  <c r="J331" i="2"/>
  <c r="J891" i="2"/>
  <c r="J971" i="2"/>
  <c r="J139" i="2"/>
  <c r="J931" i="2"/>
  <c r="J691" i="2"/>
  <c r="J1011" i="2"/>
  <c r="J87" i="2"/>
  <c r="J127" i="2"/>
  <c r="J167" i="2"/>
  <c r="J279" i="2"/>
  <c r="J319" i="2"/>
  <c r="J359" i="2"/>
  <c r="J639" i="2"/>
  <c r="J679" i="2"/>
  <c r="J147" i="2"/>
  <c r="J339" i="2"/>
  <c r="J659" i="2"/>
  <c r="J719" i="2"/>
  <c r="J759" i="2"/>
  <c r="J799" i="2"/>
  <c r="J839" i="2"/>
  <c r="J879" i="2"/>
  <c r="J919" i="2"/>
  <c r="J959" i="2"/>
  <c r="J999" i="2"/>
  <c r="J699" i="2"/>
  <c r="J939" i="2"/>
  <c r="J107" i="2"/>
  <c r="J739" i="2"/>
  <c r="J779" i="2"/>
  <c r="J1019" i="2"/>
  <c r="J819" i="2"/>
  <c r="J95" i="2"/>
  <c r="J135" i="2"/>
  <c r="J175" i="2"/>
  <c r="J287" i="2"/>
  <c r="J327" i="2"/>
  <c r="J367" i="2"/>
  <c r="J647" i="2"/>
  <c r="J115" i="2"/>
  <c r="J195" i="2"/>
  <c r="J307" i="2"/>
  <c r="J387" i="2"/>
  <c r="J687" i="2"/>
  <c r="J727" i="2"/>
  <c r="J767" i="2"/>
  <c r="J807" i="2"/>
  <c r="J847" i="2"/>
  <c r="J887" i="2"/>
  <c r="J927" i="2"/>
  <c r="J967" i="2"/>
  <c r="J1007" i="2"/>
  <c r="J827" i="2"/>
  <c r="J667" i="2"/>
  <c r="J867" i="2"/>
  <c r="J1027" i="2"/>
  <c r="J907" i="2"/>
  <c r="F1024" i="2"/>
  <c r="F1016" i="2"/>
  <c r="F1008" i="2"/>
  <c r="F960" i="2"/>
  <c r="F952" i="2"/>
  <c r="F920" i="2"/>
  <c r="F912" i="2"/>
  <c r="F904" i="2"/>
  <c r="F896" i="2"/>
  <c r="F888" i="2"/>
  <c r="F864" i="2"/>
  <c r="F856" i="2"/>
  <c r="F848" i="2"/>
  <c r="F784" i="2"/>
  <c r="F776" i="2"/>
  <c r="F768" i="2"/>
  <c r="F760" i="2"/>
  <c r="F752" i="2"/>
  <c r="F704" i="2"/>
  <c r="F696" i="2"/>
  <c r="F688" i="2"/>
  <c r="F680" i="2"/>
  <c r="F672" i="2"/>
  <c r="F624" i="2"/>
  <c r="F608" i="2"/>
  <c r="F592" i="2"/>
  <c r="F576" i="2"/>
  <c r="F552" i="2"/>
  <c r="F544" i="2"/>
  <c r="F528" i="2"/>
  <c r="F520" i="2"/>
  <c r="F504" i="2"/>
  <c r="F488" i="2"/>
  <c r="F456" i="2"/>
  <c r="F432" i="2"/>
  <c r="F424" i="2"/>
  <c r="F408" i="2"/>
  <c r="F400" i="2"/>
  <c r="F360" i="2"/>
  <c r="F352" i="2"/>
  <c r="F344" i="2"/>
  <c r="F336" i="2"/>
  <c r="F328" i="2"/>
  <c r="F320" i="2"/>
  <c r="F312" i="2"/>
  <c r="F256" i="2"/>
  <c r="F247" i="2"/>
  <c r="F215" i="2"/>
  <c r="F167" i="2"/>
  <c r="F151" i="2"/>
  <c r="F23" i="2"/>
  <c r="J994" i="2"/>
  <c r="J955" i="2"/>
  <c r="J884" i="2"/>
  <c r="J859" i="2"/>
  <c r="J781" i="2"/>
  <c r="J731" i="2"/>
  <c r="J674" i="2"/>
  <c r="J625" i="2"/>
  <c r="J523" i="2"/>
  <c r="J82" i="2"/>
  <c r="J150" i="2"/>
  <c r="J342" i="2"/>
  <c r="J662" i="2"/>
  <c r="J90" i="2"/>
  <c r="J170" i="2"/>
  <c r="J282" i="2"/>
  <c r="J362" i="2"/>
  <c r="J682" i="2"/>
  <c r="J722" i="2"/>
  <c r="J762" i="2"/>
  <c r="J802" i="2"/>
  <c r="J842" i="2"/>
  <c r="J882" i="2"/>
  <c r="J922" i="2"/>
  <c r="J130" i="2"/>
  <c r="J382" i="2"/>
  <c r="J902" i="2"/>
  <c r="J962" i="2"/>
  <c r="J110" i="2"/>
  <c r="J642" i="2"/>
  <c r="J982" i="2"/>
  <c r="J702" i="2"/>
  <c r="J942" i="2"/>
  <c r="J1002" i="2"/>
  <c r="F1023" i="2"/>
  <c r="F1015" i="2"/>
  <c r="F967" i="2"/>
  <c r="F959" i="2"/>
  <c r="F951" i="2"/>
  <c r="F927" i="2"/>
  <c r="F919" i="2"/>
  <c r="F911" i="2"/>
  <c r="F903" i="2"/>
  <c r="F895" i="2"/>
  <c r="F863" i="2"/>
  <c r="F855" i="2"/>
  <c r="F783" i="2"/>
  <c r="F775" i="2"/>
  <c r="F767" i="2"/>
  <c r="F759" i="2"/>
  <c r="F751" i="2"/>
  <c r="F703" i="2"/>
  <c r="F695" i="2"/>
  <c r="F687" i="2"/>
  <c r="F679" i="2"/>
  <c r="F671" i="2"/>
  <c r="F623" i="2"/>
  <c r="F607" i="2"/>
  <c r="F591" i="2"/>
  <c r="F575" i="2"/>
  <c r="F551" i="2"/>
  <c r="F527" i="2"/>
  <c r="F503" i="2"/>
  <c r="F487" i="2"/>
  <c r="F471" i="2"/>
  <c r="F455" i="2"/>
  <c r="F431" i="2"/>
  <c r="F407" i="2"/>
  <c r="F367" i="2"/>
  <c r="F359" i="2"/>
  <c r="F351" i="2"/>
  <c r="F343" i="2"/>
  <c r="F335" i="2"/>
  <c r="F327" i="2"/>
  <c r="F319" i="2"/>
  <c r="F311" i="2"/>
  <c r="F255" i="2"/>
  <c r="F210" i="2"/>
  <c r="F162" i="2"/>
  <c r="F146" i="2"/>
  <c r="F66" i="2"/>
  <c r="J970" i="2"/>
  <c r="J901" i="2"/>
  <c r="J851" i="2"/>
  <c r="J558" i="2"/>
  <c r="J457" i="2"/>
  <c r="J302" i="2"/>
  <c r="J129" i="2"/>
  <c r="S1026" i="2"/>
  <c r="T1026" i="2" s="1"/>
  <c r="S1027" i="2"/>
  <c r="T1027" i="2" s="1"/>
  <c r="S1020" i="2"/>
  <c r="S1001" i="2"/>
  <c r="S988" i="2"/>
  <c r="T988" i="2" s="1"/>
  <c r="S964" i="2"/>
  <c r="T964" i="2" s="1"/>
  <c r="S940" i="2"/>
  <c r="T940" i="2" s="1"/>
  <c r="S865" i="2"/>
  <c r="T865" i="2" s="1"/>
  <c r="S1023" i="2"/>
  <c r="T1023" i="2" s="1"/>
  <c r="S1016" i="2"/>
  <c r="T1016" i="2" s="1"/>
  <c r="S1011" i="2"/>
  <c r="T1011" i="2" s="1"/>
  <c r="S997" i="2"/>
  <c r="T997" i="2" s="1"/>
  <c r="S984" i="2"/>
  <c r="T984" i="2" s="1"/>
  <c r="S979" i="2"/>
  <c r="T979" i="2" s="1"/>
  <c r="S967" i="2"/>
  <c r="T967" i="2" s="1"/>
  <c r="S951" i="2"/>
  <c r="T951" i="2" s="1"/>
  <c r="S899" i="2"/>
  <c r="T899" i="2" s="1"/>
  <c r="S883" i="2"/>
  <c r="T883" i="2" s="1"/>
  <c r="S867" i="2"/>
  <c r="T867" i="2" s="1"/>
  <c r="S851" i="2"/>
  <c r="T851" i="2" s="1"/>
  <c r="S835" i="2"/>
  <c r="T835" i="2" s="1"/>
  <c r="S812" i="2"/>
  <c r="T812" i="2" s="1"/>
  <c r="S801" i="2"/>
  <c r="S772" i="2"/>
  <c r="T772" i="2" s="1"/>
  <c r="S760" i="2"/>
  <c r="T760" i="2" s="1"/>
  <c r="S752" i="2"/>
  <c r="T752" i="2" s="1"/>
  <c r="S983" i="2"/>
  <c r="T983" i="2" s="1"/>
  <c r="S957" i="2"/>
  <c r="S945" i="2"/>
  <c r="T945" i="2" s="1"/>
  <c r="S924" i="2"/>
  <c r="T924" i="2" s="1"/>
  <c r="S881" i="2"/>
  <c r="T881" i="2" s="1"/>
  <c r="S816" i="2"/>
  <c r="T816" i="2" s="1"/>
  <c r="S1012" i="2"/>
  <c r="T1012" i="2" s="1"/>
  <c r="S1007" i="2"/>
  <c r="T1007" i="2" s="1"/>
  <c r="S993" i="2"/>
  <c r="T993" i="2" s="1"/>
  <c r="S980" i="2"/>
  <c r="T980" i="2" s="1"/>
  <c r="S975" i="2"/>
  <c r="T975" i="2" s="1"/>
  <c r="S968" i="2"/>
  <c r="T968" i="2" s="1"/>
  <c r="S961" i="2"/>
  <c r="T961" i="2" s="1"/>
  <c r="S952" i="2"/>
  <c r="T952" i="2" s="1"/>
  <c r="S909" i="2"/>
  <c r="T909" i="2" s="1"/>
  <c r="S900" i="2"/>
  <c r="T900" i="2" s="1"/>
  <c r="S893" i="2"/>
  <c r="T893" i="2" s="1"/>
  <c r="S884" i="2"/>
  <c r="T884" i="2" s="1"/>
  <c r="S877" i="2"/>
  <c r="T877" i="2" s="1"/>
  <c r="S868" i="2"/>
  <c r="T868" i="2" s="1"/>
  <c r="S861" i="2"/>
  <c r="T861" i="2" s="1"/>
  <c r="S852" i="2"/>
  <c r="T852" i="2" s="1"/>
  <c r="S845" i="2"/>
  <c r="T845" i="2" s="1"/>
  <c r="S836" i="2"/>
  <c r="T836" i="2" s="1"/>
  <c r="S829" i="2"/>
  <c r="S805" i="2"/>
  <c r="S797" i="2"/>
  <c r="T797" i="2" s="1"/>
  <c r="S1025" i="2"/>
  <c r="T1025" i="2" s="1"/>
  <c r="S929" i="2"/>
  <c r="T929" i="2" s="1"/>
  <c r="S921" i="2"/>
  <c r="T921" i="2" s="1"/>
  <c r="S856" i="2"/>
  <c r="T856" i="2" s="1"/>
  <c r="S840" i="2"/>
  <c r="T840" i="2" s="1"/>
  <c r="S1008" i="2"/>
  <c r="T1008" i="2" s="1"/>
  <c r="S1003" i="2"/>
  <c r="T1003" i="2" s="1"/>
  <c r="S989" i="2"/>
  <c r="S976" i="2"/>
  <c r="T976" i="2" s="1"/>
  <c r="S971" i="2"/>
  <c r="T971" i="2" s="1"/>
  <c r="S955" i="2"/>
  <c r="T955" i="2" s="1"/>
  <c r="S943" i="2"/>
  <c r="T943" i="2" s="1"/>
  <c r="S935" i="2"/>
  <c r="T935" i="2" s="1"/>
  <c r="S927" i="2"/>
  <c r="T927" i="2" s="1"/>
  <c r="S919" i="2"/>
  <c r="T919" i="2" s="1"/>
  <c r="S911" i="2"/>
  <c r="T911" i="2" s="1"/>
  <c r="S895" i="2"/>
  <c r="T895" i="2" s="1"/>
  <c r="S879" i="2"/>
  <c r="T879" i="2" s="1"/>
  <c r="S863" i="2"/>
  <c r="T863" i="2" s="1"/>
  <c r="S847" i="2"/>
  <c r="T847" i="2" s="1"/>
  <c r="S831" i="2"/>
  <c r="T831" i="2" s="1"/>
  <c r="S825" i="2"/>
  <c r="S937" i="2"/>
  <c r="T937" i="2" s="1"/>
  <c r="S904" i="2"/>
  <c r="T904" i="2" s="1"/>
  <c r="S888" i="2"/>
  <c r="T888" i="2" s="1"/>
  <c r="S872" i="2"/>
  <c r="T872" i="2" s="1"/>
  <c r="S792" i="2"/>
  <c r="T792" i="2" s="1"/>
  <c r="S1004" i="2"/>
  <c r="T1004" i="2" s="1"/>
  <c r="S999" i="2"/>
  <c r="T999" i="2" s="1"/>
  <c r="S972" i="2"/>
  <c r="T972" i="2" s="1"/>
  <c r="S956" i="2"/>
  <c r="T956" i="2" s="1"/>
  <c r="S944" i="2"/>
  <c r="T944" i="2" s="1"/>
  <c r="S941" i="2"/>
  <c r="T941" i="2" s="1"/>
  <c r="S936" i="2"/>
  <c r="T936" i="2" s="1"/>
  <c r="S933" i="2"/>
  <c r="T933" i="2" s="1"/>
  <c r="S928" i="2"/>
  <c r="T928" i="2" s="1"/>
  <c r="S925" i="2"/>
  <c r="T925" i="2" s="1"/>
  <c r="S920" i="2"/>
  <c r="T920" i="2" s="1"/>
  <c r="S917" i="2"/>
  <c r="T917" i="2" s="1"/>
  <c r="S912" i="2"/>
  <c r="T912" i="2" s="1"/>
  <c r="S905" i="2"/>
  <c r="T905" i="2" s="1"/>
  <c r="S896" i="2"/>
  <c r="T896" i="2" s="1"/>
  <c r="S889" i="2"/>
  <c r="T889" i="2" s="1"/>
  <c r="S880" i="2"/>
  <c r="T880" i="2" s="1"/>
  <c r="S873" i="2"/>
  <c r="T873" i="2" s="1"/>
  <c r="S864" i="2"/>
  <c r="T864" i="2" s="1"/>
  <c r="S857" i="2"/>
  <c r="T857" i="2" s="1"/>
  <c r="S848" i="2"/>
  <c r="T848" i="2" s="1"/>
  <c r="S841" i="2"/>
  <c r="T841" i="2" s="1"/>
  <c r="S832" i="2"/>
  <c r="T832" i="2" s="1"/>
  <c r="S827" i="2"/>
  <c r="T827" i="2" s="1"/>
  <c r="S821" i="2"/>
  <c r="S808" i="2"/>
  <c r="T808" i="2" s="1"/>
  <c r="S780" i="2"/>
  <c r="T780" i="2" s="1"/>
  <c r="S692" i="2"/>
  <c r="T692" i="2" s="1"/>
  <c r="S932" i="2"/>
  <c r="T932" i="2" s="1"/>
  <c r="S913" i="2"/>
  <c r="T913" i="2" s="1"/>
  <c r="S849" i="2"/>
  <c r="T849" i="2" s="1"/>
  <c r="S1013" i="2"/>
  <c r="T1013" i="2" s="1"/>
  <c r="S1000" i="2"/>
  <c r="T1000" i="2" s="1"/>
  <c r="S995" i="2"/>
  <c r="T995" i="2" s="1"/>
  <c r="S981" i="2"/>
  <c r="T981" i="2" s="1"/>
  <c r="S959" i="2"/>
  <c r="T959" i="2" s="1"/>
  <c r="S907" i="2"/>
  <c r="T907" i="2" s="1"/>
  <c r="S891" i="2"/>
  <c r="T891" i="2" s="1"/>
  <c r="S875" i="2"/>
  <c r="T875" i="2" s="1"/>
  <c r="S859" i="2"/>
  <c r="T859" i="2" s="1"/>
  <c r="S843" i="2"/>
  <c r="T843" i="2" s="1"/>
  <c r="S828" i="2"/>
  <c r="T828" i="2" s="1"/>
  <c r="S823" i="2"/>
  <c r="T823" i="2" s="1"/>
  <c r="S817" i="2"/>
  <c r="S811" i="2"/>
  <c r="T811" i="2" s="1"/>
  <c r="S809" i="2"/>
  <c r="T809" i="2" s="1"/>
  <c r="S784" i="2"/>
  <c r="T784" i="2" s="1"/>
  <c r="S996" i="2"/>
  <c r="T996" i="2" s="1"/>
  <c r="S991" i="2"/>
  <c r="T991" i="2" s="1"/>
  <c r="S960" i="2"/>
  <c r="T960" i="2" s="1"/>
  <c r="S908" i="2"/>
  <c r="T908" i="2" s="1"/>
  <c r="S901" i="2"/>
  <c r="T901" i="2" s="1"/>
  <c r="S892" i="2"/>
  <c r="T892" i="2" s="1"/>
  <c r="S885" i="2"/>
  <c r="T885" i="2" s="1"/>
  <c r="S876" i="2"/>
  <c r="T876" i="2" s="1"/>
  <c r="S869" i="2"/>
  <c r="T869" i="2" s="1"/>
  <c r="S860" i="2"/>
  <c r="T860" i="2" s="1"/>
  <c r="S853" i="2"/>
  <c r="T853" i="2" s="1"/>
  <c r="S844" i="2"/>
  <c r="T844" i="2" s="1"/>
  <c r="S837" i="2"/>
  <c r="T837" i="2" s="1"/>
  <c r="S824" i="2"/>
  <c r="S819" i="2"/>
  <c r="T819" i="2" s="1"/>
  <c r="S813" i="2"/>
  <c r="S796" i="2"/>
  <c r="S1015" i="2"/>
  <c r="T1015" i="2" s="1"/>
  <c r="S948" i="2"/>
  <c r="T948" i="2" s="1"/>
  <c r="S916" i="2"/>
  <c r="T916" i="2" s="1"/>
  <c r="S897" i="2"/>
  <c r="T897" i="2" s="1"/>
  <c r="S833" i="2"/>
  <c r="T833" i="2" s="1"/>
  <c r="S1019" i="2"/>
  <c r="T1019" i="2" s="1"/>
  <c r="S992" i="2"/>
  <c r="T992" i="2" s="1"/>
  <c r="S987" i="2"/>
  <c r="T987" i="2" s="1"/>
  <c r="S963" i="2"/>
  <c r="T963" i="2" s="1"/>
  <c r="S947" i="2"/>
  <c r="T947" i="2" s="1"/>
  <c r="S939" i="2"/>
  <c r="T939" i="2" s="1"/>
  <c r="S931" i="2"/>
  <c r="T931" i="2" s="1"/>
  <c r="S923" i="2"/>
  <c r="T923" i="2" s="1"/>
  <c r="S915" i="2"/>
  <c r="T915" i="2" s="1"/>
  <c r="S903" i="2"/>
  <c r="T903" i="2" s="1"/>
  <c r="S887" i="2"/>
  <c r="T887" i="2" s="1"/>
  <c r="S871" i="2"/>
  <c r="T871" i="2" s="1"/>
  <c r="S855" i="2"/>
  <c r="T855" i="2" s="1"/>
  <c r="S839" i="2"/>
  <c r="T839" i="2" s="1"/>
  <c r="S820" i="2"/>
  <c r="T820" i="2" s="1"/>
  <c r="S815" i="2"/>
  <c r="T815" i="2" s="1"/>
  <c r="S705" i="2"/>
  <c r="S793" i="2"/>
  <c r="T793" i="2" s="1"/>
  <c r="S749" i="2"/>
  <c r="T749" i="2" s="1"/>
  <c r="S713" i="2"/>
  <c r="S677" i="2"/>
  <c r="S777" i="2"/>
  <c r="S765" i="2"/>
  <c r="S748" i="2"/>
  <c r="T748" i="2" s="1"/>
  <c r="S646" i="2"/>
  <c r="S789" i="2"/>
  <c r="S776" i="2"/>
  <c r="T776" i="2" s="1"/>
  <c r="S764" i="2"/>
  <c r="T764" i="2" s="1"/>
  <c r="S757" i="2"/>
  <c r="T757" i="2" s="1"/>
  <c r="S700" i="2"/>
  <c r="S688" i="2"/>
  <c r="T688" i="2" s="1"/>
  <c r="S788" i="2"/>
  <c r="T788" i="2" s="1"/>
  <c r="S769" i="2"/>
  <c r="T769" i="2" s="1"/>
  <c r="S756" i="2"/>
  <c r="T756" i="2" s="1"/>
  <c r="S745" i="2"/>
  <c r="T745" i="2" s="1"/>
  <c r="S741" i="2"/>
  <c r="T741" i="2" s="1"/>
  <c r="S737" i="2"/>
  <c r="T737" i="2" s="1"/>
  <c r="S733" i="2"/>
  <c r="T733" i="2" s="1"/>
  <c r="S729" i="2"/>
  <c r="T729" i="2" s="1"/>
  <c r="S725" i="2"/>
  <c r="T725" i="2" s="1"/>
  <c r="S721" i="2"/>
  <c r="T721" i="2" s="1"/>
  <c r="S717" i="2"/>
  <c r="T717" i="2" s="1"/>
  <c r="S670" i="2"/>
  <c r="S666" i="2"/>
  <c r="S662" i="2"/>
  <c r="S658" i="2"/>
  <c r="S630" i="2"/>
  <c r="S781" i="2"/>
  <c r="T781" i="2" s="1"/>
  <c r="S768" i="2"/>
  <c r="T768" i="2" s="1"/>
  <c r="S744" i="2"/>
  <c r="T744" i="2" s="1"/>
  <c r="S740" i="2"/>
  <c r="T740" i="2" s="1"/>
  <c r="S736" i="2"/>
  <c r="T736" i="2" s="1"/>
  <c r="S732" i="2"/>
  <c r="T732" i="2" s="1"/>
  <c r="S728" i="2"/>
  <c r="T728" i="2" s="1"/>
  <c r="S724" i="2"/>
  <c r="T724" i="2" s="1"/>
  <c r="S720" i="2"/>
  <c r="T720" i="2" s="1"/>
  <c r="S716" i="2"/>
  <c r="T716" i="2" s="1"/>
  <c r="S654" i="2"/>
  <c r="S753" i="2"/>
  <c r="T753" i="2" s="1"/>
  <c r="S681" i="2"/>
  <c r="S773" i="2"/>
  <c r="T773" i="2" s="1"/>
  <c r="S701" i="2"/>
  <c r="T701" i="2" s="1"/>
  <c r="S638" i="2"/>
  <c r="S697" i="2"/>
  <c r="T697" i="2" s="1"/>
  <c r="S508" i="2"/>
  <c r="T508" i="2" s="1"/>
  <c r="S693" i="2"/>
  <c r="T693" i="2" s="1"/>
  <c r="S684" i="2"/>
  <c r="T684" i="2" s="1"/>
  <c r="S616" i="2"/>
  <c r="T616" i="2" s="1"/>
  <c r="S609" i="2"/>
  <c r="S712" i="2"/>
  <c r="S689" i="2"/>
  <c r="S650" i="2"/>
  <c r="S642" i="2"/>
  <c r="S634" i="2"/>
  <c r="S626" i="2"/>
  <c r="S612" i="2"/>
  <c r="S601" i="2"/>
  <c r="S584" i="2"/>
  <c r="T584" i="2" s="1"/>
  <c r="S597" i="2"/>
  <c r="S528" i="2"/>
  <c r="T528" i="2" s="1"/>
  <c r="S621" i="2"/>
  <c r="S596" i="2"/>
  <c r="S589" i="2"/>
  <c r="S443" i="2"/>
  <c r="T443" i="2" s="1"/>
  <c r="S593" i="2"/>
  <c r="T593" i="2" s="1"/>
  <c r="S525" i="2"/>
  <c r="T525" i="2" s="1"/>
  <c r="S518" i="2"/>
  <c r="S503" i="2"/>
  <c r="T503" i="2" s="1"/>
  <c r="S460" i="2"/>
  <c r="T460" i="2" s="1"/>
  <c r="S617" i="2"/>
  <c r="T617" i="2" s="1"/>
  <c r="S608" i="2"/>
  <c r="T608" i="2" s="1"/>
  <c r="S585" i="2"/>
  <c r="T585" i="2" s="1"/>
  <c r="S519" i="2"/>
  <c r="T519" i="2" s="1"/>
  <c r="S517" i="2"/>
  <c r="T517" i="2" s="1"/>
  <c r="S477" i="2"/>
  <c r="T477" i="2" s="1"/>
  <c r="S515" i="2"/>
  <c r="T515" i="2" s="1"/>
  <c r="S426" i="2"/>
  <c r="T426" i="2" s="1"/>
  <c r="S534" i="2"/>
  <c r="S531" i="2"/>
  <c r="S511" i="2"/>
  <c r="T511" i="2" s="1"/>
  <c r="S507" i="2"/>
  <c r="T507" i="2" s="1"/>
  <c r="S605" i="2"/>
  <c r="S536" i="2"/>
  <c r="T536" i="2" s="1"/>
  <c r="S533" i="2"/>
  <c r="T533" i="2" s="1"/>
  <c r="S523" i="2"/>
  <c r="S530" i="2"/>
  <c r="T530" i="2" s="1"/>
  <c r="S520" i="2"/>
  <c r="T520" i="2" s="1"/>
  <c r="S451" i="2"/>
  <c r="S434" i="2"/>
  <c r="S430" i="2"/>
  <c r="T430" i="2" s="1"/>
  <c r="S418" i="2"/>
  <c r="T418" i="2" s="1"/>
  <c r="S522" i="2"/>
  <c r="T522" i="2" s="1"/>
  <c r="S499" i="2"/>
  <c r="T499" i="2" s="1"/>
  <c r="S495" i="2"/>
  <c r="T495" i="2" s="1"/>
  <c r="S491" i="2"/>
  <c r="S483" i="2"/>
  <c r="S468" i="2"/>
  <c r="T468" i="2" s="1"/>
  <c r="S459" i="2"/>
  <c r="S453" i="2"/>
  <c r="T453" i="2" s="1"/>
  <c r="S432" i="2"/>
  <c r="T432" i="2" s="1"/>
  <c r="S386" i="2"/>
  <c r="T386" i="2" s="1"/>
  <c r="S500" i="2"/>
  <c r="T500" i="2" s="1"/>
  <c r="S496" i="2"/>
  <c r="T496" i="2" s="1"/>
  <c r="S492" i="2"/>
  <c r="T492" i="2" s="1"/>
  <c r="S484" i="2"/>
  <c r="T484" i="2" s="1"/>
  <c r="S464" i="2"/>
  <c r="T464" i="2" s="1"/>
  <c r="S455" i="2"/>
  <c r="S449" i="2"/>
  <c r="T449" i="2" s="1"/>
  <c r="S424" i="2"/>
  <c r="T424" i="2" s="1"/>
  <c r="S408" i="2"/>
  <c r="T408" i="2" s="1"/>
  <c r="S501" i="2"/>
  <c r="S479" i="2"/>
  <c r="S473" i="2"/>
  <c r="T473" i="2" s="1"/>
  <c r="S456" i="2"/>
  <c r="T456" i="2" s="1"/>
  <c r="S447" i="2"/>
  <c r="S422" i="2"/>
  <c r="T422" i="2" s="1"/>
  <c r="S321" i="2"/>
  <c r="T321" i="2" s="1"/>
  <c r="S538" i="2"/>
  <c r="S497" i="2"/>
  <c r="S493" i="2"/>
  <c r="S487" i="2"/>
  <c r="S475" i="2"/>
  <c r="S469" i="2"/>
  <c r="T469" i="2" s="1"/>
  <c r="S452" i="2"/>
  <c r="T452" i="2" s="1"/>
  <c r="S444" i="2"/>
  <c r="T444" i="2" s="1"/>
  <c r="S442" i="2"/>
  <c r="T442" i="2" s="1"/>
  <c r="S427" i="2"/>
  <c r="T427" i="2" s="1"/>
  <c r="S410" i="2"/>
  <c r="T410" i="2" s="1"/>
  <c r="S404" i="2"/>
  <c r="T404" i="2" s="1"/>
  <c r="S323" i="2"/>
  <c r="T323" i="2" s="1"/>
  <c r="S488" i="2"/>
  <c r="T488" i="2" s="1"/>
  <c r="S485" i="2"/>
  <c r="T485" i="2" s="1"/>
  <c r="S480" i="2"/>
  <c r="T480" i="2" s="1"/>
  <c r="S471" i="2"/>
  <c r="S465" i="2"/>
  <c r="T465" i="2" s="1"/>
  <c r="S448" i="2"/>
  <c r="T448" i="2" s="1"/>
  <c r="S412" i="2"/>
  <c r="T412" i="2" s="1"/>
  <c r="S368" i="2"/>
  <c r="T368" i="2" s="1"/>
  <c r="S516" i="2"/>
  <c r="T516" i="2" s="1"/>
  <c r="S504" i="2"/>
  <c r="T504" i="2" s="1"/>
  <c r="S476" i="2"/>
  <c r="T476" i="2" s="1"/>
  <c r="S467" i="2"/>
  <c r="S461" i="2"/>
  <c r="T461" i="2" s="1"/>
  <c r="S440" i="2"/>
  <c r="T440" i="2" s="1"/>
  <c r="S433" i="2"/>
  <c r="S431" i="2"/>
  <c r="T431" i="2" s="1"/>
  <c r="S428" i="2"/>
  <c r="T428" i="2" s="1"/>
  <c r="S416" i="2"/>
  <c r="T416" i="2" s="1"/>
  <c r="S359" i="2"/>
  <c r="T359" i="2" s="1"/>
  <c r="S357" i="2"/>
  <c r="T357" i="2" s="1"/>
  <c r="S354" i="2"/>
  <c r="T354" i="2" s="1"/>
  <c r="S335" i="2"/>
  <c r="T335" i="2" s="1"/>
  <c r="S472" i="2"/>
  <c r="T472" i="2" s="1"/>
  <c r="S463" i="2"/>
  <c r="S457" i="2"/>
  <c r="T457" i="2" s="1"/>
  <c r="S441" i="2"/>
  <c r="T441" i="2" s="1"/>
  <c r="S414" i="2"/>
  <c r="T414" i="2" s="1"/>
  <c r="S378" i="2"/>
  <c r="T378" i="2" s="1"/>
  <c r="S376" i="2"/>
  <c r="T376" i="2" s="1"/>
  <c r="S439" i="2"/>
  <c r="S423" i="2"/>
  <c r="T423" i="2" s="1"/>
  <c r="S406" i="2"/>
  <c r="T406" i="2" s="1"/>
  <c r="S388" i="2"/>
  <c r="T388" i="2" s="1"/>
  <c r="S366" i="2"/>
  <c r="T366" i="2" s="1"/>
  <c r="S344" i="2"/>
  <c r="T344" i="2" s="1"/>
  <c r="S235" i="2"/>
  <c r="T235" i="2" s="1"/>
  <c r="S420" i="2"/>
  <c r="T420" i="2" s="1"/>
  <c r="S374" i="2"/>
  <c r="T374" i="2" s="1"/>
  <c r="S364" i="2"/>
  <c r="T364" i="2" s="1"/>
  <c r="S276" i="2"/>
  <c r="T276" i="2" s="1"/>
  <c r="S402" i="2"/>
  <c r="T402" i="2" s="1"/>
  <c r="S400" i="2"/>
  <c r="T400" i="2" s="1"/>
  <c r="S398" i="2"/>
  <c r="T398" i="2" s="1"/>
  <c r="S396" i="2"/>
  <c r="T396" i="2" s="1"/>
  <c r="S394" i="2"/>
  <c r="T394" i="2" s="1"/>
  <c r="S384" i="2"/>
  <c r="T384" i="2" s="1"/>
  <c r="S362" i="2"/>
  <c r="T362" i="2" s="1"/>
  <c r="S347" i="2"/>
  <c r="T347" i="2" s="1"/>
  <c r="S296" i="2"/>
  <c r="T296" i="2" s="1"/>
  <c r="S281" i="2"/>
  <c r="T281" i="2" s="1"/>
  <c r="S382" i="2"/>
  <c r="T382" i="2" s="1"/>
  <c r="S372" i="2"/>
  <c r="T372" i="2" s="1"/>
  <c r="S358" i="2"/>
  <c r="T358" i="2" s="1"/>
  <c r="S316" i="2"/>
  <c r="T316" i="2" s="1"/>
  <c r="S299" i="2"/>
  <c r="T299" i="2" s="1"/>
  <c r="S244" i="2"/>
  <c r="T244" i="2" s="1"/>
  <c r="S392" i="2"/>
  <c r="T392" i="2" s="1"/>
  <c r="S370" i="2"/>
  <c r="T370" i="2" s="1"/>
  <c r="S249" i="2"/>
  <c r="T249" i="2" s="1"/>
  <c r="S390" i="2"/>
  <c r="T390" i="2" s="1"/>
  <c r="S380" i="2"/>
  <c r="T380" i="2" s="1"/>
  <c r="S355" i="2"/>
  <c r="T355" i="2" s="1"/>
  <c r="S353" i="2"/>
  <c r="T353" i="2" s="1"/>
  <c r="S343" i="2"/>
  <c r="T343" i="2" s="1"/>
  <c r="S333" i="2"/>
  <c r="S327" i="2"/>
  <c r="T327" i="2" s="1"/>
  <c r="S324" i="2"/>
  <c r="T324" i="2" s="1"/>
  <c r="S308" i="2"/>
  <c r="T308" i="2" s="1"/>
  <c r="S305" i="2"/>
  <c r="T305" i="2" s="1"/>
  <c r="S269" i="2"/>
  <c r="T269" i="2" s="1"/>
  <c r="S264" i="2"/>
  <c r="T264" i="2" s="1"/>
  <c r="S237" i="2"/>
  <c r="T237" i="2" s="1"/>
  <c r="S339" i="2"/>
  <c r="T339" i="2" s="1"/>
  <c r="S336" i="2"/>
  <c r="T336" i="2" s="1"/>
  <c r="S325" i="2"/>
  <c r="T325" i="2" s="1"/>
  <c r="S317" i="2"/>
  <c r="T317" i="2" s="1"/>
  <c r="S312" i="2"/>
  <c r="T312" i="2" s="1"/>
  <c r="S289" i="2"/>
  <c r="T289" i="2" s="1"/>
  <c r="S284" i="2"/>
  <c r="T284" i="2" s="1"/>
  <c r="S257" i="2"/>
  <c r="T257" i="2" s="1"/>
  <c r="S252" i="2"/>
  <c r="T252" i="2" s="1"/>
  <c r="S224" i="2"/>
  <c r="S351" i="2"/>
  <c r="T351" i="2" s="1"/>
  <c r="S348" i="2"/>
  <c r="T348" i="2" s="1"/>
  <c r="S337" i="2"/>
  <c r="T337" i="2" s="1"/>
  <c r="S319" i="2"/>
  <c r="T319" i="2" s="1"/>
  <c r="S309" i="2"/>
  <c r="T309" i="2" s="1"/>
  <c r="S303" i="2"/>
  <c r="T303" i="2" s="1"/>
  <c r="S300" i="2"/>
  <c r="T300" i="2" s="1"/>
  <c r="S297" i="2"/>
  <c r="T297" i="2" s="1"/>
  <c r="S277" i="2"/>
  <c r="T277" i="2" s="1"/>
  <c r="S272" i="2"/>
  <c r="T272" i="2" s="1"/>
  <c r="S245" i="2"/>
  <c r="T245" i="2" s="1"/>
  <c r="S240" i="2"/>
  <c r="T240" i="2" s="1"/>
  <c r="S201" i="2"/>
  <c r="T201" i="2" s="1"/>
  <c r="S193" i="2"/>
  <c r="T193" i="2" s="1"/>
  <c r="S349" i="2"/>
  <c r="T349" i="2" s="1"/>
  <c r="S331" i="2"/>
  <c r="T331" i="2" s="1"/>
  <c r="S328" i="2"/>
  <c r="T328" i="2" s="1"/>
  <c r="S313" i="2"/>
  <c r="T313" i="2" s="1"/>
  <c r="S292" i="2"/>
  <c r="T292" i="2" s="1"/>
  <c r="S265" i="2"/>
  <c r="T265" i="2" s="1"/>
  <c r="S260" i="2"/>
  <c r="T260" i="2" s="1"/>
  <c r="S340" i="2"/>
  <c r="T340" i="2" s="1"/>
  <c r="S315" i="2"/>
  <c r="T315" i="2" s="1"/>
  <c r="S295" i="2"/>
  <c r="T295" i="2" s="1"/>
  <c r="S285" i="2"/>
  <c r="T285" i="2" s="1"/>
  <c r="S280" i="2"/>
  <c r="T280" i="2" s="1"/>
  <c r="S253" i="2"/>
  <c r="T253" i="2" s="1"/>
  <c r="S248" i="2"/>
  <c r="T248" i="2" s="1"/>
  <c r="S360" i="2"/>
  <c r="T360" i="2" s="1"/>
  <c r="S356" i="2"/>
  <c r="T356" i="2" s="1"/>
  <c r="S352" i="2"/>
  <c r="T352" i="2" s="1"/>
  <c r="S320" i="2"/>
  <c r="T320" i="2" s="1"/>
  <c r="S307" i="2"/>
  <c r="T307" i="2" s="1"/>
  <c r="S304" i="2"/>
  <c r="T304" i="2" s="1"/>
  <c r="S301" i="2"/>
  <c r="T301" i="2" s="1"/>
  <c r="S273" i="2"/>
  <c r="T273" i="2" s="1"/>
  <c r="S268" i="2"/>
  <c r="T268" i="2" s="1"/>
  <c r="S241" i="2"/>
  <c r="T241" i="2" s="1"/>
  <c r="S332" i="2"/>
  <c r="T332" i="2" s="1"/>
  <c r="S311" i="2"/>
  <c r="T311" i="2" s="1"/>
  <c r="S293" i="2"/>
  <c r="T293" i="2" s="1"/>
  <c r="S288" i="2"/>
  <c r="T288" i="2" s="1"/>
  <c r="S261" i="2"/>
  <c r="T261" i="2" s="1"/>
  <c r="S256" i="2"/>
  <c r="T256" i="2" s="1"/>
  <c r="S213" i="2"/>
  <c r="T213" i="2" s="1"/>
  <c r="S197" i="2"/>
  <c r="T197" i="2" s="1"/>
  <c r="S190" i="2"/>
  <c r="T190" i="2" s="1"/>
  <c r="S291" i="2"/>
  <c r="T291" i="2" s="1"/>
  <c r="S287" i="2"/>
  <c r="T287" i="2" s="1"/>
  <c r="S283" i="2"/>
  <c r="T283" i="2" s="1"/>
  <c r="S279" i="2"/>
  <c r="T279" i="2" s="1"/>
  <c r="S275" i="2"/>
  <c r="T275" i="2" s="1"/>
  <c r="S271" i="2"/>
  <c r="T271" i="2" s="1"/>
  <c r="S267" i="2"/>
  <c r="T267" i="2" s="1"/>
  <c r="S263" i="2"/>
  <c r="T263" i="2" s="1"/>
  <c r="S259" i="2"/>
  <c r="T259" i="2" s="1"/>
  <c r="S255" i="2"/>
  <c r="T255" i="2" s="1"/>
  <c r="S251" i="2"/>
  <c r="T251" i="2" s="1"/>
  <c r="S247" i="2"/>
  <c r="T247" i="2" s="1"/>
  <c r="S243" i="2"/>
  <c r="T243" i="2" s="1"/>
  <c r="S239" i="2"/>
  <c r="T239" i="2" s="1"/>
  <c r="S234" i="2"/>
  <c r="T234" i="2" s="1"/>
  <c r="S233" i="2"/>
  <c r="T233" i="2" s="1"/>
  <c r="S225" i="2"/>
  <c r="T225" i="2" s="1"/>
  <c r="S222" i="2"/>
  <c r="S217" i="2"/>
  <c r="T217" i="2" s="1"/>
  <c r="S199" i="2"/>
  <c r="S189" i="2"/>
  <c r="T189" i="2" s="1"/>
  <c r="S181" i="2"/>
  <c r="T181" i="2" s="1"/>
  <c r="S153" i="2"/>
  <c r="T153" i="2" s="1"/>
  <c r="S143" i="2"/>
  <c r="S232" i="2"/>
  <c r="T232" i="2" s="1"/>
  <c r="S228" i="2"/>
  <c r="T228" i="2" s="1"/>
  <c r="S226" i="2"/>
  <c r="S206" i="2"/>
  <c r="T206" i="2" s="1"/>
  <c r="S195" i="2"/>
  <c r="S185" i="2"/>
  <c r="T185" i="2" s="1"/>
  <c r="S157" i="2"/>
  <c r="T157" i="2" s="1"/>
  <c r="S221" i="2"/>
  <c r="T221" i="2" s="1"/>
  <c r="S205" i="2"/>
  <c r="T205" i="2" s="1"/>
  <c r="S191" i="2"/>
  <c r="S161" i="2"/>
  <c r="T161" i="2" s="1"/>
  <c r="S133" i="2"/>
  <c r="T133" i="2" s="1"/>
  <c r="S210" i="2"/>
  <c r="T210" i="2" s="1"/>
  <c r="S167" i="2"/>
  <c r="S209" i="2"/>
  <c r="T209" i="2" s="1"/>
  <c r="S202" i="2"/>
  <c r="T202" i="2" s="1"/>
  <c r="S214" i="2"/>
  <c r="S198" i="2"/>
  <c r="T198" i="2" s="1"/>
  <c r="S169" i="2"/>
  <c r="T169" i="2" s="1"/>
  <c r="S139" i="2"/>
  <c r="S116" i="2"/>
  <c r="T116" i="2" s="1"/>
  <c r="S194" i="2"/>
  <c r="T194" i="2" s="1"/>
  <c r="S145" i="2"/>
  <c r="T145" i="2" s="1"/>
  <c r="S137" i="2"/>
  <c r="T137" i="2" s="1"/>
  <c r="S130" i="2"/>
  <c r="T130" i="2" s="1"/>
  <c r="S170" i="2"/>
  <c r="T170" i="2" s="1"/>
  <c r="S162" i="2"/>
  <c r="T162" i="2" s="1"/>
  <c r="S158" i="2"/>
  <c r="T158" i="2" s="1"/>
  <c r="S154" i="2"/>
  <c r="T154" i="2" s="1"/>
  <c r="S141" i="2"/>
  <c r="T141" i="2" s="1"/>
  <c r="S134" i="2"/>
  <c r="T134" i="2" s="1"/>
  <c r="S124" i="2"/>
  <c r="T124" i="2" s="1"/>
  <c r="S122" i="2"/>
  <c r="T122" i="2" s="1"/>
  <c r="S86" i="2"/>
  <c r="S177" i="2"/>
  <c r="T177" i="2" s="1"/>
  <c r="S173" i="2"/>
  <c r="T173" i="2" s="1"/>
  <c r="S171" i="2"/>
  <c r="T171" i="2" s="1"/>
  <c r="S165" i="2"/>
  <c r="T165" i="2" s="1"/>
  <c r="S163" i="2"/>
  <c r="T163" i="2" s="1"/>
  <c r="S151" i="2"/>
  <c r="S146" i="2"/>
  <c r="T146" i="2" s="1"/>
  <c r="S138" i="2"/>
  <c r="T138" i="2" s="1"/>
  <c r="S112" i="2"/>
  <c r="T112" i="2" s="1"/>
  <c r="S94" i="2"/>
  <c r="S159" i="2"/>
  <c r="T159" i="2" s="1"/>
  <c r="S155" i="2"/>
  <c r="T155" i="2" s="1"/>
  <c r="S142" i="2"/>
  <c r="T142" i="2" s="1"/>
  <c r="S186" i="2"/>
  <c r="T186" i="2" s="1"/>
  <c r="S182" i="2"/>
  <c r="T182" i="2" s="1"/>
  <c r="S178" i="2"/>
  <c r="T178" i="2" s="1"/>
  <c r="S174" i="2"/>
  <c r="T174" i="2" s="1"/>
  <c r="S149" i="2"/>
  <c r="T149" i="2" s="1"/>
  <c r="S126" i="2"/>
  <c r="T126" i="2" s="1"/>
  <c r="S113" i="2"/>
  <c r="T113" i="2" s="1"/>
  <c r="S166" i="2"/>
  <c r="T166" i="2" s="1"/>
  <c r="S131" i="2"/>
  <c r="S125" i="2"/>
  <c r="S150" i="2"/>
  <c r="T150" i="2" s="1"/>
  <c r="S135" i="2"/>
  <c r="S129" i="2"/>
  <c r="T129" i="2" s="1"/>
  <c r="S77" i="2"/>
  <c r="T77" i="2" s="1"/>
  <c r="S68" i="2"/>
  <c r="S7" i="2"/>
  <c r="S128" i="2"/>
  <c r="T128" i="2" s="1"/>
  <c r="S109" i="2"/>
  <c r="T109" i="2" s="1"/>
  <c r="S97" i="2"/>
  <c r="T97" i="2" s="1"/>
  <c r="S89" i="2"/>
  <c r="T89" i="2" s="1"/>
  <c r="S82" i="2"/>
  <c r="S73" i="2"/>
  <c r="T73" i="2" s="1"/>
  <c r="S67" i="2"/>
  <c r="S64" i="2"/>
  <c r="S56" i="2"/>
  <c r="S48" i="2"/>
  <c r="T48" i="2" s="1"/>
  <c r="S120" i="2"/>
  <c r="T120" i="2" s="1"/>
  <c r="S117" i="2"/>
  <c r="T117" i="2" s="1"/>
  <c r="S101" i="2"/>
  <c r="T101" i="2" s="1"/>
  <c r="S71" i="2"/>
  <c r="T71" i="2" s="1"/>
  <c r="S70" i="2"/>
  <c r="T70" i="2" s="1"/>
  <c r="S118" i="2"/>
  <c r="T118" i="2" s="1"/>
  <c r="S110" i="2"/>
  <c r="T110" i="2" s="1"/>
  <c r="S105" i="2"/>
  <c r="T105" i="2" s="1"/>
  <c r="S85" i="2"/>
  <c r="T85" i="2" s="1"/>
  <c r="S78" i="2"/>
  <c r="S66" i="2"/>
  <c r="T66" i="2" s="1"/>
  <c r="S55" i="2"/>
  <c r="S121" i="2"/>
  <c r="T121" i="2" s="1"/>
  <c r="S93" i="2"/>
  <c r="T93" i="2" s="1"/>
  <c r="S90" i="2"/>
  <c r="S81" i="2"/>
  <c r="T81" i="2" s="1"/>
  <c r="S74" i="2"/>
  <c r="S108" i="2"/>
  <c r="T108" i="2" s="1"/>
  <c r="S46" i="2"/>
  <c r="T46" i="2" s="1"/>
  <c r="S104" i="2"/>
  <c r="T104" i="2" s="1"/>
  <c r="S100" i="2"/>
  <c r="T100" i="2" s="1"/>
  <c r="S96" i="2"/>
  <c r="T96" i="2" s="1"/>
  <c r="S92" i="2"/>
  <c r="T92" i="2" s="1"/>
  <c r="S88" i="2"/>
  <c r="T88" i="2" s="1"/>
  <c r="S84" i="2"/>
  <c r="T84" i="2" s="1"/>
  <c r="S80" i="2"/>
  <c r="T80" i="2" s="1"/>
  <c r="S76" i="2"/>
  <c r="T76" i="2" s="1"/>
  <c r="S72" i="2"/>
  <c r="T72" i="2" s="1"/>
  <c r="S58" i="2"/>
  <c r="T58" i="2" s="1"/>
  <c r="S52" i="2"/>
  <c r="T52" i="2" s="1"/>
  <c r="S35" i="2"/>
  <c r="S27" i="2"/>
  <c r="S59" i="2"/>
  <c r="T59" i="2" s="1"/>
  <c r="S50" i="2"/>
  <c r="T50" i="2" s="1"/>
  <c r="S15" i="2"/>
  <c r="S60" i="2"/>
  <c r="S54" i="2"/>
  <c r="T54" i="2" s="1"/>
  <c r="S43" i="2"/>
  <c r="T43" i="2" s="1"/>
  <c r="S23" i="2"/>
  <c r="S47" i="2"/>
  <c r="T47" i="2" s="1"/>
  <c r="S11" i="2"/>
  <c r="S42" i="2"/>
  <c r="T42" i="2" s="1"/>
  <c r="S31" i="2"/>
  <c r="S19" i="2"/>
  <c r="S38" i="2"/>
  <c r="T38" i="2" s="1"/>
  <c r="S34" i="2"/>
  <c r="T34" i="2" s="1"/>
  <c r="S30" i="2"/>
  <c r="T30" i="2" s="1"/>
  <c r="S26" i="2"/>
  <c r="T26" i="2" s="1"/>
  <c r="S22" i="2"/>
  <c r="T22" i="2" s="1"/>
  <c r="S18" i="2"/>
  <c r="T18" i="2" s="1"/>
  <c r="S14" i="2"/>
  <c r="T14" i="2" s="1"/>
  <c r="S10" i="2"/>
  <c r="T10" i="2" s="1"/>
  <c r="S6" i="2"/>
  <c r="T6" i="2" s="1"/>
  <c r="N1020" i="2"/>
  <c r="Q1020" i="2" s="1"/>
  <c r="N1001" i="2"/>
  <c r="Q1001" i="2" s="1"/>
  <c r="N957" i="2"/>
  <c r="Q957" i="2" s="1"/>
  <c r="P738" i="2"/>
  <c r="N738" i="2"/>
  <c r="Q738" i="2" s="1"/>
  <c r="O738" i="2"/>
  <c r="R738" i="2" s="1"/>
  <c r="N795" i="2"/>
  <c r="Q795" i="2" s="1"/>
  <c r="P795" i="2"/>
  <c r="O795" i="2"/>
  <c r="R795" i="2" s="1"/>
  <c r="P726" i="2"/>
  <c r="N726" i="2"/>
  <c r="Q726" i="2" s="1"/>
  <c r="O726" i="2"/>
  <c r="R726" i="2" s="1"/>
  <c r="P1024" i="2"/>
  <c r="N804" i="2"/>
  <c r="Q804" i="2" s="1"/>
  <c r="O804" i="2"/>
  <c r="R804" i="2" s="1"/>
  <c r="P804" i="2"/>
  <c r="N791" i="2"/>
  <c r="Q791" i="2" s="1"/>
  <c r="O791" i="2"/>
  <c r="R791" i="2" s="1"/>
  <c r="P791" i="2"/>
  <c r="O1024" i="2"/>
  <c r="R1024" i="2" s="1"/>
  <c r="P1017" i="2"/>
  <c r="N989" i="2"/>
  <c r="Q989" i="2" s="1"/>
  <c r="P985" i="2"/>
  <c r="P965" i="2"/>
  <c r="P949" i="2"/>
  <c r="P734" i="2"/>
  <c r="N734" i="2"/>
  <c r="Q734" i="2" s="1"/>
  <c r="O734" i="2"/>
  <c r="R734" i="2" s="1"/>
  <c r="N1017" i="2"/>
  <c r="Q1017" i="2" s="1"/>
  <c r="N985" i="2"/>
  <c r="Q985" i="2" s="1"/>
  <c r="N965" i="2"/>
  <c r="Q965" i="2" s="1"/>
  <c r="N949" i="2"/>
  <c r="Q949" i="2" s="1"/>
  <c r="T824" i="2"/>
  <c r="N751" i="2"/>
  <c r="Q751" i="2" s="1"/>
  <c r="O751" i="2"/>
  <c r="R751" i="2" s="1"/>
  <c r="P751" i="2"/>
  <c r="P722" i="2"/>
  <c r="N722" i="2"/>
  <c r="Q722" i="2" s="1"/>
  <c r="O722" i="2"/>
  <c r="R722" i="2" s="1"/>
  <c r="P718" i="2"/>
  <c r="N718" i="2"/>
  <c r="Q718" i="2" s="1"/>
  <c r="O718" i="2"/>
  <c r="R718" i="2" s="1"/>
  <c r="P1022" i="2"/>
  <c r="P1021" i="2"/>
  <c r="P1009" i="2"/>
  <c r="P977" i="2"/>
  <c r="P969" i="2"/>
  <c r="P953" i="2"/>
  <c r="P785" i="2"/>
  <c r="N785" i="2"/>
  <c r="Q785" i="2" s="1"/>
  <c r="O785" i="2"/>
  <c r="R785" i="2" s="1"/>
  <c r="P742" i="2"/>
  <c r="N742" i="2"/>
  <c r="Q742" i="2" s="1"/>
  <c r="O742" i="2"/>
  <c r="R742" i="2" s="1"/>
  <c r="N1022" i="2"/>
  <c r="Q1022" i="2" s="1"/>
  <c r="N1009" i="2"/>
  <c r="Q1009" i="2" s="1"/>
  <c r="P1005" i="2"/>
  <c r="N977" i="2"/>
  <c r="Q977" i="2" s="1"/>
  <c r="P973" i="2"/>
  <c r="N969" i="2"/>
  <c r="Q969" i="2" s="1"/>
  <c r="N953" i="2"/>
  <c r="Q953" i="2" s="1"/>
  <c r="P761" i="2"/>
  <c r="N761" i="2"/>
  <c r="Q761" i="2" s="1"/>
  <c r="O761" i="2"/>
  <c r="R761" i="2" s="1"/>
  <c r="P730" i="2"/>
  <c r="N730" i="2"/>
  <c r="Q730" i="2" s="1"/>
  <c r="O730" i="2"/>
  <c r="R730" i="2" s="1"/>
  <c r="O829" i="2"/>
  <c r="R829" i="2" s="1"/>
  <c r="O825" i="2"/>
  <c r="R825" i="2" s="1"/>
  <c r="O821" i="2"/>
  <c r="R821" i="2" s="1"/>
  <c r="O817" i="2"/>
  <c r="R817" i="2" s="1"/>
  <c r="O813" i="2"/>
  <c r="R813" i="2" s="1"/>
  <c r="P807" i="2"/>
  <c r="N805" i="2"/>
  <c r="Q805" i="2" s="1"/>
  <c r="O801" i="2"/>
  <c r="R801" i="2" s="1"/>
  <c r="O796" i="2"/>
  <c r="R796" i="2" s="1"/>
  <c r="O789" i="2"/>
  <c r="R789" i="2" s="1"/>
  <c r="N777" i="2"/>
  <c r="Q777" i="2" s="1"/>
  <c r="P774" i="2"/>
  <c r="N774" i="2"/>
  <c r="Q774" i="2" s="1"/>
  <c r="N771" i="2"/>
  <c r="Q771" i="2" s="1"/>
  <c r="O771" i="2"/>
  <c r="R771" i="2" s="1"/>
  <c r="P771" i="2"/>
  <c r="N765" i="2"/>
  <c r="Q765" i="2" s="1"/>
  <c r="P754" i="2"/>
  <c r="N754" i="2"/>
  <c r="Q754" i="2" s="1"/>
  <c r="O807" i="2"/>
  <c r="R807" i="2" s="1"/>
  <c r="P806" i="2"/>
  <c r="N806" i="2"/>
  <c r="Q806" i="2" s="1"/>
  <c r="N801" i="2"/>
  <c r="Q801" i="2" s="1"/>
  <c r="N789" i="2"/>
  <c r="Q789" i="2" s="1"/>
  <c r="P786" i="2"/>
  <c r="N786" i="2"/>
  <c r="Q786" i="2" s="1"/>
  <c r="N783" i="2"/>
  <c r="Q783" i="2" s="1"/>
  <c r="O783" i="2"/>
  <c r="R783" i="2" s="1"/>
  <c r="P783" i="2"/>
  <c r="P762" i="2"/>
  <c r="N762" i="2"/>
  <c r="Q762" i="2" s="1"/>
  <c r="N759" i="2"/>
  <c r="Q759" i="2" s="1"/>
  <c r="O759" i="2"/>
  <c r="R759" i="2" s="1"/>
  <c r="P759" i="2"/>
  <c r="N676" i="2"/>
  <c r="Q676" i="2" s="1"/>
  <c r="O676" i="2"/>
  <c r="R676" i="2" s="1"/>
  <c r="P676" i="2"/>
  <c r="N641" i="2"/>
  <c r="Q641" i="2" s="1"/>
  <c r="O641" i="2"/>
  <c r="R641" i="2" s="1"/>
  <c r="P641" i="2"/>
  <c r="N747" i="2"/>
  <c r="Q747" i="2" s="1"/>
  <c r="O747" i="2"/>
  <c r="R747" i="2" s="1"/>
  <c r="P747" i="2"/>
  <c r="P685" i="2"/>
  <c r="N685" i="2"/>
  <c r="Q685" i="2" s="1"/>
  <c r="O685" i="2"/>
  <c r="R685" i="2" s="1"/>
  <c r="P810" i="2"/>
  <c r="N810" i="2"/>
  <c r="Q810" i="2" s="1"/>
  <c r="P802" i="2"/>
  <c r="N802" i="2"/>
  <c r="Q802" i="2" s="1"/>
  <c r="P778" i="2"/>
  <c r="N778" i="2"/>
  <c r="Q778" i="2" s="1"/>
  <c r="N775" i="2"/>
  <c r="Q775" i="2" s="1"/>
  <c r="O775" i="2"/>
  <c r="R775" i="2" s="1"/>
  <c r="P775" i="2"/>
  <c r="P766" i="2"/>
  <c r="N766" i="2"/>
  <c r="Q766" i="2" s="1"/>
  <c r="P750" i="2"/>
  <c r="N750" i="2"/>
  <c r="Q750" i="2" s="1"/>
  <c r="P798" i="2"/>
  <c r="N798" i="2"/>
  <c r="Q798" i="2" s="1"/>
  <c r="P790" i="2"/>
  <c r="N790" i="2"/>
  <c r="Q790" i="2" s="1"/>
  <c r="N787" i="2"/>
  <c r="Q787" i="2" s="1"/>
  <c r="O787" i="2"/>
  <c r="R787" i="2" s="1"/>
  <c r="P787" i="2"/>
  <c r="N763" i="2"/>
  <c r="Q763" i="2" s="1"/>
  <c r="O763" i="2"/>
  <c r="R763" i="2" s="1"/>
  <c r="P763" i="2"/>
  <c r="N755" i="2"/>
  <c r="Q755" i="2" s="1"/>
  <c r="O755" i="2"/>
  <c r="R755" i="2" s="1"/>
  <c r="P755" i="2"/>
  <c r="N743" i="2"/>
  <c r="Q743" i="2" s="1"/>
  <c r="O743" i="2"/>
  <c r="R743" i="2" s="1"/>
  <c r="P743" i="2"/>
  <c r="N739" i="2"/>
  <c r="Q739" i="2" s="1"/>
  <c r="O739" i="2"/>
  <c r="R739" i="2" s="1"/>
  <c r="P739" i="2"/>
  <c r="N735" i="2"/>
  <c r="Q735" i="2" s="1"/>
  <c r="O735" i="2"/>
  <c r="R735" i="2" s="1"/>
  <c r="P735" i="2"/>
  <c r="N731" i="2"/>
  <c r="Q731" i="2" s="1"/>
  <c r="O731" i="2"/>
  <c r="R731" i="2" s="1"/>
  <c r="P731" i="2"/>
  <c r="N727" i="2"/>
  <c r="Q727" i="2" s="1"/>
  <c r="O727" i="2"/>
  <c r="R727" i="2" s="1"/>
  <c r="P727" i="2"/>
  <c r="N723" i="2"/>
  <c r="Q723" i="2" s="1"/>
  <c r="O723" i="2"/>
  <c r="R723" i="2" s="1"/>
  <c r="P723" i="2"/>
  <c r="N719" i="2"/>
  <c r="Q719" i="2" s="1"/>
  <c r="O719" i="2"/>
  <c r="R719" i="2" s="1"/>
  <c r="P719" i="2"/>
  <c r="N699" i="2"/>
  <c r="Q699" i="2" s="1"/>
  <c r="P699" i="2"/>
  <c r="O699" i="2"/>
  <c r="R699" i="2" s="1"/>
  <c r="N649" i="2"/>
  <c r="Q649" i="2" s="1"/>
  <c r="O649" i="2"/>
  <c r="R649" i="2" s="1"/>
  <c r="P649" i="2"/>
  <c r="P1018" i="2"/>
  <c r="P1014" i="2"/>
  <c r="P1010" i="2"/>
  <c r="P1006" i="2"/>
  <c r="P1002" i="2"/>
  <c r="P998" i="2"/>
  <c r="P994" i="2"/>
  <c r="P990" i="2"/>
  <c r="P986" i="2"/>
  <c r="P982" i="2"/>
  <c r="P978" i="2"/>
  <c r="P974" i="2"/>
  <c r="P970" i="2"/>
  <c r="P966" i="2"/>
  <c r="P962" i="2"/>
  <c r="P958" i="2"/>
  <c r="P954" i="2"/>
  <c r="P950" i="2"/>
  <c r="P946" i="2"/>
  <c r="P942" i="2"/>
  <c r="P938" i="2"/>
  <c r="P934" i="2"/>
  <c r="P930" i="2"/>
  <c r="P926" i="2"/>
  <c r="P922" i="2"/>
  <c r="P918" i="2"/>
  <c r="P914" i="2"/>
  <c r="P910" i="2"/>
  <c r="P906" i="2"/>
  <c r="P902" i="2"/>
  <c r="P898" i="2"/>
  <c r="P894" i="2"/>
  <c r="P890" i="2"/>
  <c r="P886" i="2"/>
  <c r="P882" i="2"/>
  <c r="P878" i="2"/>
  <c r="P874" i="2"/>
  <c r="P870" i="2"/>
  <c r="P866" i="2"/>
  <c r="P862" i="2"/>
  <c r="P858" i="2"/>
  <c r="P854" i="2"/>
  <c r="P850" i="2"/>
  <c r="P846" i="2"/>
  <c r="P842" i="2"/>
  <c r="P838" i="2"/>
  <c r="P834" i="2"/>
  <c r="P830" i="2"/>
  <c r="P826" i="2"/>
  <c r="P822" i="2"/>
  <c r="P818" i="2"/>
  <c r="P814" i="2"/>
  <c r="N803" i="2"/>
  <c r="Q803" i="2" s="1"/>
  <c r="P803" i="2"/>
  <c r="P794" i="2"/>
  <c r="N794" i="2"/>
  <c r="Q794" i="2" s="1"/>
  <c r="P770" i="2"/>
  <c r="N770" i="2"/>
  <c r="Q770" i="2" s="1"/>
  <c r="P758" i="2"/>
  <c r="N758" i="2"/>
  <c r="Q758" i="2" s="1"/>
  <c r="P709" i="2"/>
  <c r="N709" i="2"/>
  <c r="Q709" i="2" s="1"/>
  <c r="P690" i="2"/>
  <c r="N690" i="2"/>
  <c r="Q690" i="2" s="1"/>
  <c r="O690" i="2"/>
  <c r="R690" i="2" s="1"/>
  <c r="P800" i="2"/>
  <c r="N799" i="2"/>
  <c r="Q799" i="2" s="1"/>
  <c r="P799" i="2"/>
  <c r="P782" i="2"/>
  <c r="N782" i="2"/>
  <c r="Q782" i="2" s="1"/>
  <c r="N779" i="2"/>
  <c r="Q779" i="2" s="1"/>
  <c r="O779" i="2"/>
  <c r="R779" i="2" s="1"/>
  <c r="P779" i="2"/>
  <c r="N767" i="2"/>
  <c r="Q767" i="2" s="1"/>
  <c r="O767" i="2"/>
  <c r="R767" i="2" s="1"/>
  <c r="P767" i="2"/>
  <c r="P746" i="2"/>
  <c r="N746" i="2"/>
  <c r="Q746" i="2" s="1"/>
  <c r="P714" i="2"/>
  <c r="N714" i="2"/>
  <c r="Q714" i="2" s="1"/>
  <c r="O714" i="2"/>
  <c r="R714" i="2" s="1"/>
  <c r="N708" i="2"/>
  <c r="Q708" i="2" s="1"/>
  <c r="O708" i="2"/>
  <c r="R708" i="2" s="1"/>
  <c r="P708" i="2"/>
  <c r="N633" i="2"/>
  <c r="Q633" i="2" s="1"/>
  <c r="O633" i="2"/>
  <c r="R633" i="2" s="1"/>
  <c r="P633" i="2"/>
  <c r="O705" i="2"/>
  <c r="R705" i="2" s="1"/>
  <c r="O700" i="2"/>
  <c r="R700" i="2" s="1"/>
  <c r="P696" i="2"/>
  <c r="N695" i="2"/>
  <c r="Q695" i="2" s="1"/>
  <c r="P695" i="2"/>
  <c r="P686" i="2"/>
  <c r="N686" i="2"/>
  <c r="Q686" i="2" s="1"/>
  <c r="N677" i="2"/>
  <c r="Q677" i="2" s="1"/>
  <c r="N627" i="2"/>
  <c r="Q627" i="2" s="1"/>
  <c r="O627" i="2"/>
  <c r="R627" i="2" s="1"/>
  <c r="P627" i="2"/>
  <c r="P613" i="2"/>
  <c r="N613" i="2"/>
  <c r="Q613" i="2" s="1"/>
  <c r="O613" i="2"/>
  <c r="R613" i="2" s="1"/>
  <c r="N595" i="2"/>
  <c r="Q595" i="2" s="1"/>
  <c r="P595" i="2"/>
  <c r="O595" i="2"/>
  <c r="R595" i="2" s="1"/>
  <c r="N577" i="2"/>
  <c r="Q577" i="2" s="1"/>
  <c r="P577" i="2"/>
  <c r="O577" i="2"/>
  <c r="R577" i="2" s="1"/>
  <c r="N691" i="2"/>
  <c r="Q691" i="2" s="1"/>
  <c r="P691" i="2"/>
  <c r="P682" i="2"/>
  <c r="N682" i="2"/>
  <c r="Q682" i="2" s="1"/>
  <c r="P674" i="2"/>
  <c r="N674" i="2"/>
  <c r="Q674" i="2" s="1"/>
  <c r="N651" i="2"/>
  <c r="Q651" i="2" s="1"/>
  <c r="O651" i="2"/>
  <c r="R651" i="2" s="1"/>
  <c r="P651" i="2"/>
  <c r="N643" i="2"/>
  <c r="Q643" i="2" s="1"/>
  <c r="O643" i="2"/>
  <c r="R643" i="2" s="1"/>
  <c r="P643" i="2"/>
  <c r="N635" i="2"/>
  <c r="Q635" i="2" s="1"/>
  <c r="O635" i="2"/>
  <c r="R635" i="2" s="1"/>
  <c r="P635" i="2"/>
  <c r="P710" i="2"/>
  <c r="N710" i="2"/>
  <c r="Q710" i="2" s="1"/>
  <c r="N687" i="2"/>
  <c r="Q687" i="2" s="1"/>
  <c r="P687" i="2"/>
  <c r="P678" i="2"/>
  <c r="N678" i="2"/>
  <c r="Q678" i="2" s="1"/>
  <c r="N672" i="2"/>
  <c r="Q672" i="2" s="1"/>
  <c r="P672" i="2"/>
  <c r="N668" i="2"/>
  <c r="Q668" i="2" s="1"/>
  <c r="P668" i="2"/>
  <c r="N664" i="2"/>
  <c r="Q664" i="2" s="1"/>
  <c r="P664" i="2"/>
  <c r="N660" i="2"/>
  <c r="Q660" i="2" s="1"/>
  <c r="P660" i="2"/>
  <c r="P618" i="2"/>
  <c r="N618" i="2"/>
  <c r="Q618" i="2" s="1"/>
  <c r="O618" i="2"/>
  <c r="R618" i="2" s="1"/>
  <c r="P526" i="2"/>
  <c r="N526" i="2"/>
  <c r="Q526" i="2" s="1"/>
  <c r="O526" i="2"/>
  <c r="R526" i="2" s="1"/>
  <c r="N715" i="2"/>
  <c r="Q715" i="2" s="1"/>
  <c r="P715" i="2"/>
  <c r="P706" i="2"/>
  <c r="N706" i="2"/>
  <c r="Q706" i="2" s="1"/>
  <c r="N683" i="2"/>
  <c r="Q683" i="2" s="1"/>
  <c r="P683" i="2"/>
  <c r="N653" i="2"/>
  <c r="Q653" i="2" s="1"/>
  <c r="O653" i="2"/>
  <c r="R653" i="2" s="1"/>
  <c r="P653" i="2"/>
  <c r="N645" i="2"/>
  <c r="Q645" i="2" s="1"/>
  <c r="O645" i="2"/>
  <c r="R645" i="2" s="1"/>
  <c r="P645" i="2"/>
  <c r="N637" i="2"/>
  <c r="Q637" i="2" s="1"/>
  <c r="O637" i="2"/>
  <c r="R637" i="2" s="1"/>
  <c r="P637" i="2"/>
  <c r="P586" i="2"/>
  <c r="N586" i="2"/>
  <c r="Q586" i="2" s="1"/>
  <c r="O586" i="2"/>
  <c r="R586" i="2" s="1"/>
  <c r="N711" i="2"/>
  <c r="Q711" i="2" s="1"/>
  <c r="P711" i="2"/>
  <c r="P702" i="2"/>
  <c r="N702" i="2"/>
  <c r="Q702" i="2" s="1"/>
  <c r="P680" i="2"/>
  <c r="N679" i="2"/>
  <c r="Q679" i="2" s="1"/>
  <c r="P679" i="2"/>
  <c r="N675" i="2"/>
  <c r="Q675" i="2" s="1"/>
  <c r="P675" i="2"/>
  <c r="N561" i="2"/>
  <c r="Q561" i="2" s="1"/>
  <c r="P561" i="2"/>
  <c r="O561" i="2"/>
  <c r="R561" i="2" s="1"/>
  <c r="O712" i="2"/>
  <c r="R712" i="2" s="1"/>
  <c r="N707" i="2"/>
  <c r="Q707" i="2" s="1"/>
  <c r="P707" i="2"/>
  <c r="P698" i="2"/>
  <c r="N698" i="2"/>
  <c r="Q698" i="2" s="1"/>
  <c r="N689" i="2"/>
  <c r="Q689" i="2" s="1"/>
  <c r="O680" i="2"/>
  <c r="R680" i="2" s="1"/>
  <c r="N655" i="2"/>
  <c r="Q655" i="2" s="1"/>
  <c r="O655" i="2"/>
  <c r="R655" i="2" s="1"/>
  <c r="P655" i="2"/>
  <c r="N647" i="2"/>
  <c r="Q647" i="2" s="1"/>
  <c r="O647" i="2"/>
  <c r="R647" i="2" s="1"/>
  <c r="P647" i="2"/>
  <c r="N639" i="2"/>
  <c r="Q639" i="2" s="1"/>
  <c r="O639" i="2"/>
  <c r="R639" i="2" s="1"/>
  <c r="P639" i="2"/>
  <c r="N631" i="2"/>
  <c r="Q631" i="2" s="1"/>
  <c r="O631" i="2"/>
  <c r="R631" i="2" s="1"/>
  <c r="P631" i="2"/>
  <c r="N604" i="2"/>
  <c r="Q604" i="2" s="1"/>
  <c r="O604" i="2"/>
  <c r="R604" i="2" s="1"/>
  <c r="P604" i="2"/>
  <c r="O713" i="2"/>
  <c r="R713" i="2" s="1"/>
  <c r="P704" i="2"/>
  <c r="N703" i="2"/>
  <c r="Q703" i="2" s="1"/>
  <c r="P703" i="2"/>
  <c r="P694" i="2"/>
  <c r="N694" i="2"/>
  <c r="Q694" i="2" s="1"/>
  <c r="O681" i="2"/>
  <c r="R681" i="2" s="1"/>
  <c r="N673" i="2"/>
  <c r="Q673" i="2" s="1"/>
  <c r="P673" i="2"/>
  <c r="N671" i="2"/>
  <c r="Q671" i="2" s="1"/>
  <c r="P671" i="2"/>
  <c r="N669" i="2"/>
  <c r="Q669" i="2" s="1"/>
  <c r="O669" i="2"/>
  <c r="R669" i="2" s="1"/>
  <c r="P669" i="2"/>
  <c r="N667" i="2"/>
  <c r="Q667" i="2" s="1"/>
  <c r="P667" i="2"/>
  <c r="N665" i="2"/>
  <c r="Q665" i="2" s="1"/>
  <c r="O665" i="2"/>
  <c r="R665" i="2" s="1"/>
  <c r="P665" i="2"/>
  <c r="N663" i="2"/>
  <c r="Q663" i="2" s="1"/>
  <c r="P663" i="2"/>
  <c r="N661" i="2"/>
  <c r="Q661" i="2" s="1"/>
  <c r="O661" i="2"/>
  <c r="R661" i="2" s="1"/>
  <c r="P661" i="2"/>
  <c r="N659" i="2"/>
  <c r="Q659" i="2" s="1"/>
  <c r="P659" i="2"/>
  <c r="N657" i="2"/>
  <c r="Q657" i="2" s="1"/>
  <c r="O657" i="2"/>
  <c r="R657" i="2" s="1"/>
  <c r="P657" i="2"/>
  <c r="N569" i="2"/>
  <c r="Q569" i="2" s="1"/>
  <c r="P569" i="2"/>
  <c r="O569" i="2"/>
  <c r="R569" i="2" s="1"/>
  <c r="N670" i="2"/>
  <c r="Q670" i="2" s="1"/>
  <c r="N666" i="2"/>
  <c r="Q666" i="2" s="1"/>
  <c r="N662" i="2"/>
  <c r="Q662" i="2" s="1"/>
  <c r="N658" i="2"/>
  <c r="Q658" i="2" s="1"/>
  <c r="N654" i="2"/>
  <c r="Q654" i="2" s="1"/>
  <c r="N650" i="2"/>
  <c r="Q650" i="2" s="1"/>
  <c r="N646" i="2"/>
  <c r="Q646" i="2" s="1"/>
  <c r="N642" i="2"/>
  <c r="Q642" i="2" s="1"/>
  <c r="N638" i="2"/>
  <c r="Q638" i="2" s="1"/>
  <c r="N634" i="2"/>
  <c r="Q634" i="2" s="1"/>
  <c r="N630" i="2"/>
  <c r="Q630" i="2" s="1"/>
  <c r="P629" i="2"/>
  <c r="N626" i="2"/>
  <c r="Q626" i="2" s="1"/>
  <c r="P625" i="2"/>
  <c r="P624" i="2"/>
  <c r="N623" i="2"/>
  <c r="Q623" i="2" s="1"/>
  <c r="P623" i="2"/>
  <c r="P614" i="2"/>
  <c r="N614" i="2"/>
  <c r="Q614" i="2" s="1"/>
  <c r="N605" i="2"/>
  <c r="Q605" i="2" s="1"/>
  <c r="O601" i="2"/>
  <c r="R601" i="2" s="1"/>
  <c r="O596" i="2"/>
  <c r="R596" i="2" s="1"/>
  <c r="P592" i="2"/>
  <c r="N591" i="2"/>
  <c r="Q591" i="2" s="1"/>
  <c r="P591" i="2"/>
  <c r="N580" i="2"/>
  <c r="Q580" i="2" s="1"/>
  <c r="P580" i="2"/>
  <c r="N572" i="2"/>
  <c r="Q572" i="2" s="1"/>
  <c r="P572" i="2"/>
  <c r="N564" i="2"/>
  <c r="Q564" i="2" s="1"/>
  <c r="P564" i="2"/>
  <c r="O629" i="2"/>
  <c r="R629" i="2" s="1"/>
  <c r="O625" i="2"/>
  <c r="R625" i="2" s="1"/>
  <c r="O624" i="2"/>
  <c r="R624" i="2" s="1"/>
  <c r="P620" i="2"/>
  <c r="N619" i="2"/>
  <c r="Q619" i="2" s="1"/>
  <c r="P619" i="2"/>
  <c r="P610" i="2"/>
  <c r="N610" i="2"/>
  <c r="Q610" i="2" s="1"/>
  <c r="N601" i="2"/>
  <c r="Q601" i="2" s="1"/>
  <c r="O597" i="2"/>
  <c r="R597" i="2" s="1"/>
  <c r="O592" i="2"/>
  <c r="R592" i="2" s="1"/>
  <c r="P588" i="2"/>
  <c r="N587" i="2"/>
  <c r="Q587" i="2" s="1"/>
  <c r="P587" i="2"/>
  <c r="N583" i="2"/>
  <c r="Q583" i="2" s="1"/>
  <c r="P583" i="2"/>
  <c r="N575" i="2"/>
  <c r="Q575" i="2" s="1"/>
  <c r="P575" i="2"/>
  <c r="N567" i="2"/>
  <c r="Q567" i="2" s="1"/>
  <c r="P567" i="2"/>
  <c r="N559" i="2"/>
  <c r="Q559" i="2" s="1"/>
  <c r="P559" i="2"/>
  <c r="P554" i="2"/>
  <c r="N554" i="2"/>
  <c r="Q554" i="2" s="1"/>
  <c r="O554" i="2"/>
  <c r="R554" i="2" s="1"/>
  <c r="P550" i="2"/>
  <c r="N550" i="2"/>
  <c r="Q550" i="2" s="1"/>
  <c r="O550" i="2"/>
  <c r="R550" i="2" s="1"/>
  <c r="P546" i="2"/>
  <c r="N546" i="2"/>
  <c r="Q546" i="2" s="1"/>
  <c r="O546" i="2"/>
  <c r="R546" i="2" s="1"/>
  <c r="P542" i="2"/>
  <c r="N542" i="2"/>
  <c r="Q542" i="2" s="1"/>
  <c r="O542" i="2"/>
  <c r="R542" i="2" s="1"/>
  <c r="P505" i="2"/>
  <c r="N505" i="2"/>
  <c r="Q505" i="2" s="1"/>
  <c r="O505" i="2"/>
  <c r="R505" i="2" s="1"/>
  <c r="P656" i="2"/>
  <c r="P652" i="2"/>
  <c r="P648" i="2"/>
  <c r="P644" i="2"/>
  <c r="P640" i="2"/>
  <c r="P636" i="2"/>
  <c r="P632" i="2"/>
  <c r="P628" i="2"/>
  <c r="O620" i="2"/>
  <c r="R620" i="2" s="1"/>
  <c r="N615" i="2"/>
  <c r="Q615" i="2" s="1"/>
  <c r="P615" i="2"/>
  <c r="P606" i="2"/>
  <c r="N606" i="2"/>
  <c r="Q606" i="2" s="1"/>
  <c r="N597" i="2"/>
  <c r="Q597" i="2" s="1"/>
  <c r="O588" i="2"/>
  <c r="R588" i="2" s="1"/>
  <c r="P578" i="2"/>
  <c r="N578" i="2"/>
  <c r="Q578" i="2" s="1"/>
  <c r="P570" i="2"/>
  <c r="N570" i="2"/>
  <c r="Q570" i="2" s="1"/>
  <c r="P562" i="2"/>
  <c r="N562" i="2"/>
  <c r="Q562" i="2" s="1"/>
  <c r="N611" i="2"/>
  <c r="Q611" i="2" s="1"/>
  <c r="P611" i="2"/>
  <c r="P602" i="2"/>
  <c r="N602" i="2"/>
  <c r="Q602" i="2" s="1"/>
  <c r="N581" i="2"/>
  <c r="Q581" i="2" s="1"/>
  <c r="P581" i="2"/>
  <c r="N573" i="2"/>
  <c r="Q573" i="2" s="1"/>
  <c r="P573" i="2"/>
  <c r="N565" i="2"/>
  <c r="Q565" i="2" s="1"/>
  <c r="P565" i="2"/>
  <c r="N621" i="2"/>
  <c r="Q621" i="2" s="1"/>
  <c r="O612" i="2"/>
  <c r="R612" i="2" s="1"/>
  <c r="N607" i="2"/>
  <c r="Q607" i="2" s="1"/>
  <c r="P607" i="2"/>
  <c r="P598" i="2"/>
  <c r="N598" i="2"/>
  <c r="Q598" i="2" s="1"/>
  <c r="N589" i="2"/>
  <c r="Q589" i="2" s="1"/>
  <c r="N576" i="2"/>
  <c r="Q576" i="2" s="1"/>
  <c r="P576" i="2"/>
  <c r="N568" i="2"/>
  <c r="Q568" i="2" s="1"/>
  <c r="P568" i="2"/>
  <c r="N560" i="2"/>
  <c r="Q560" i="2" s="1"/>
  <c r="P560" i="2"/>
  <c r="P537" i="2"/>
  <c r="N537" i="2"/>
  <c r="Q537" i="2" s="1"/>
  <c r="O537" i="2"/>
  <c r="R537" i="2" s="1"/>
  <c r="N603" i="2"/>
  <c r="Q603" i="2" s="1"/>
  <c r="P603" i="2"/>
  <c r="P594" i="2"/>
  <c r="N594" i="2"/>
  <c r="Q594" i="2" s="1"/>
  <c r="N579" i="2"/>
  <c r="Q579" i="2" s="1"/>
  <c r="P579" i="2"/>
  <c r="N571" i="2"/>
  <c r="Q571" i="2" s="1"/>
  <c r="P571" i="2"/>
  <c r="N563" i="2"/>
  <c r="Q563" i="2" s="1"/>
  <c r="P563" i="2"/>
  <c r="P558" i="2"/>
  <c r="N558" i="2"/>
  <c r="Q558" i="2" s="1"/>
  <c r="P622" i="2"/>
  <c r="N622" i="2"/>
  <c r="Q622" i="2" s="1"/>
  <c r="O609" i="2"/>
  <c r="R609" i="2" s="1"/>
  <c r="P600" i="2"/>
  <c r="N599" i="2"/>
  <c r="Q599" i="2" s="1"/>
  <c r="P599" i="2"/>
  <c r="P590" i="2"/>
  <c r="N590" i="2"/>
  <c r="Q590" i="2" s="1"/>
  <c r="P582" i="2"/>
  <c r="N582" i="2"/>
  <c r="Q582" i="2" s="1"/>
  <c r="P574" i="2"/>
  <c r="N574" i="2"/>
  <c r="Q574" i="2" s="1"/>
  <c r="P566" i="2"/>
  <c r="N566" i="2"/>
  <c r="Q566" i="2" s="1"/>
  <c r="O514" i="2"/>
  <c r="R514" i="2" s="1"/>
  <c r="P514" i="2"/>
  <c r="O389" i="2"/>
  <c r="R389" i="2" s="1"/>
  <c r="P389" i="2"/>
  <c r="N389" i="2"/>
  <c r="Q389" i="2" s="1"/>
  <c r="P557" i="2"/>
  <c r="P553" i="2"/>
  <c r="P549" i="2"/>
  <c r="P545" i="2"/>
  <c r="P541" i="2"/>
  <c r="P535" i="2"/>
  <c r="P524" i="2"/>
  <c r="P489" i="2"/>
  <c r="P481" i="2"/>
  <c r="P435" i="2"/>
  <c r="N435" i="2"/>
  <c r="Q435" i="2" s="1"/>
  <c r="P556" i="2"/>
  <c r="P552" i="2"/>
  <c r="P548" i="2"/>
  <c r="P544" i="2"/>
  <c r="P540" i="2"/>
  <c r="N534" i="2"/>
  <c r="Q534" i="2" s="1"/>
  <c r="P532" i="2"/>
  <c r="O523" i="2"/>
  <c r="R523" i="2" s="1"/>
  <c r="P521" i="2"/>
  <c r="P509" i="2"/>
  <c r="O506" i="2"/>
  <c r="R506" i="2" s="1"/>
  <c r="P506" i="2"/>
  <c r="P445" i="2"/>
  <c r="N445" i="2"/>
  <c r="Q445" i="2" s="1"/>
  <c r="P437" i="2"/>
  <c r="N437" i="2"/>
  <c r="Q437" i="2" s="1"/>
  <c r="O437" i="2"/>
  <c r="R437" i="2" s="1"/>
  <c r="N434" i="2"/>
  <c r="Q434" i="2" s="1"/>
  <c r="O434" i="2"/>
  <c r="R434" i="2" s="1"/>
  <c r="O365" i="2"/>
  <c r="R365" i="2" s="1"/>
  <c r="P365" i="2"/>
  <c r="N365" i="2"/>
  <c r="Q365" i="2" s="1"/>
  <c r="O556" i="2"/>
  <c r="R556" i="2" s="1"/>
  <c r="O552" i="2"/>
  <c r="R552" i="2" s="1"/>
  <c r="O548" i="2"/>
  <c r="R548" i="2" s="1"/>
  <c r="O544" i="2"/>
  <c r="R544" i="2" s="1"/>
  <c r="O540" i="2"/>
  <c r="R540" i="2" s="1"/>
  <c r="O532" i="2"/>
  <c r="R532" i="2" s="1"/>
  <c r="O521" i="2"/>
  <c r="R521" i="2" s="1"/>
  <c r="O509" i="2"/>
  <c r="R509" i="2" s="1"/>
  <c r="O501" i="2"/>
  <c r="R501" i="2" s="1"/>
  <c r="P555" i="2"/>
  <c r="P551" i="2"/>
  <c r="P547" i="2"/>
  <c r="P543" i="2"/>
  <c r="P539" i="2"/>
  <c r="O531" i="2"/>
  <c r="R531" i="2" s="1"/>
  <c r="P529" i="2"/>
  <c r="P513" i="2"/>
  <c r="P512" i="2"/>
  <c r="N497" i="2"/>
  <c r="Q497" i="2" s="1"/>
  <c r="N493" i="2"/>
  <c r="Q493" i="2" s="1"/>
  <c r="O417" i="2"/>
  <c r="R417" i="2" s="1"/>
  <c r="P417" i="2"/>
  <c r="N417" i="2"/>
  <c r="Q417" i="2" s="1"/>
  <c r="O555" i="2"/>
  <c r="R555" i="2" s="1"/>
  <c r="O551" i="2"/>
  <c r="R551" i="2" s="1"/>
  <c r="O547" i="2"/>
  <c r="R547" i="2" s="1"/>
  <c r="O543" i="2"/>
  <c r="R543" i="2" s="1"/>
  <c r="O539" i="2"/>
  <c r="R539" i="2" s="1"/>
  <c r="O529" i="2"/>
  <c r="R529" i="2" s="1"/>
  <c r="O518" i="2"/>
  <c r="R518" i="2" s="1"/>
  <c r="O513" i="2"/>
  <c r="R513" i="2" s="1"/>
  <c r="O512" i="2"/>
  <c r="R512" i="2" s="1"/>
  <c r="O350" i="2"/>
  <c r="R350" i="2" s="1"/>
  <c r="P350" i="2"/>
  <c r="N350" i="2"/>
  <c r="Q350" i="2" s="1"/>
  <c r="O538" i="2"/>
  <c r="R538" i="2" s="1"/>
  <c r="P527" i="2"/>
  <c r="N518" i="2"/>
  <c r="Q518" i="2" s="1"/>
  <c r="N514" i="2"/>
  <c r="Q514" i="2" s="1"/>
  <c r="O510" i="2"/>
  <c r="R510" i="2" s="1"/>
  <c r="P510" i="2"/>
  <c r="O502" i="2"/>
  <c r="R502" i="2" s="1"/>
  <c r="P502" i="2"/>
  <c r="O433" i="2"/>
  <c r="R433" i="2" s="1"/>
  <c r="O421" i="2"/>
  <c r="R421" i="2" s="1"/>
  <c r="P421" i="2"/>
  <c r="O405" i="2"/>
  <c r="R405" i="2" s="1"/>
  <c r="P405" i="2"/>
  <c r="O377" i="2"/>
  <c r="R377" i="2" s="1"/>
  <c r="P377" i="2"/>
  <c r="O411" i="2"/>
  <c r="R411" i="2" s="1"/>
  <c r="P411" i="2"/>
  <c r="O401" i="2"/>
  <c r="R401" i="2" s="1"/>
  <c r="P401" i="2"/>
  <c r="O397" i="2"/>
  <c r="R397" i="2" s="1"/>
  <c r="P397" i="2"/>
  <c r="O385" i="2"/>
  <c r="R385" i="2" s="1"/>
  <c r="P385" i="2"/>
  <c r="O306" i="2"/>
  <c r="R306" i="2" s="1"/>
  <c r="P306" i="2"/>
  <c r="N306" i="2"/>
  <c r="Q306" i="2" s="1"/>
  <c r="O425" i="2"/>
  <c r="R425" i="2" s="1"/>
  <c r="P425" i="2"/>
  <c r="O415" i="2"/>
  <c r="R415" i="2" s="1"/>
  <c r="P415" i="2"/>
  <c r="O373" i="2"/>
  <c r="R373" i="2" s="1"/>
  <c r="P373" i="2"/>
  <c r="O491" i="2"/>
  <c r="R491" i="2" s="1"/>
  <c r="O487" i="2"/>
  <c r="R487" i="2" s="1"/>
  <c r="O483" i="2"/>
  <c r="R483" i="2" s="1"/>
  <c r="O479" i="2"/>
  <c r="R479" i="2" s="1"/>
  <c r="O475" i="2"/>
  <c r="R475" i="2" s="1"/>
  <c r="O471" i="2"/>
  <c r="R471" i="2" s="1"/>
  <c r="O467" i="2"/>
  <c r="R467" i="2" s="1"/>
  <c r="O463" i="2"/>
  <c r="R463" i="2" s="1"/>
  <c r="O459" i="2"/>
  <c r="R459" i="2" s="1"/>
  <c r="O455" i="2"/>
  <c r="R455" i="2" s="1"/>
  <c r="O451" i="2"/>
  <c r="R451" i="2" s="1"/>
  <c r="O447" i="2"/>
  <c r="R447" i="2" s="1"/>
  <c r="O439" i="2"/>
  <c r="R439" i="2" s="1"/>
  <c r="P438" i="2"/>
  <c r="O429" i="2"/>
  <c r="R429" i="2" s="1"/>
  <c r="P429" i="2"/>
  <c r="O419" i="2"/>
  <c r="R419" i="2" s="1"/>
  <c r="P419" i="2"/>
  <c r="O393" i="2"/>
  <c r="R393" i="2" s="1"/>
  <c r="P393" i="2"/>
  <c r="O361" i="2"/>
  <c r="R361" i="2" s="1"/>
  <c r="P361" i="2"/>
  <c r="N329" i="2"/>
  <c r="Q329" i="2" s="1"/>
  <c r="O329" i="2"/>
  <c r="R329" i="2" s="1"/>
  <c r="P329" i="2"/>
  <c r="P498" i="2"/>
  <c r="P494" i="2"/>
  <c r="P490" i="2"/>
  <c r="P486" i="2"/>
  <c r="P482" i="2"/>
  <c r="P478" i="2"/>
  <c r="P474" i="2"/>
  <c r="P470" i="2"/>
  <c r="P466" i="2"/>
  <c r="P462" i="2"/>
  <c r="P458" i="2"/>
  <c r="P454" i="2"/>
  <c r="P450" i="2"/>
  <c r="P446" i="2"/>
  <c r="O438" i="2"/>
  <c r="R438" i="2" s="1"/>
  <c r="P436" i="2"/>
  <c r="O409" i="2"/>
  <c r="R409" i="2" s="1"/>
  <c r="P409" i="2"/>
  <c r="O381" i="2"/>
  <c r="R381" i="2" s="1"/>
  <c r="P381" i="2"/>
  <c r="P230" i="2"/>
  <c r="N230" i="2"/>
  <c r="Q230" i="2" s="1"/>
  <c r="O230" i="2"/>
  <c r="R230" i="2" s="1"/>
  <c r="O413" i="2"/>
  <c r="R413" i="2" s="1"/>
  <c r="P413" i="2"/>
  <c r="N407" i="2"/>
  <c r="Q407" i="2" s="1"/>
  <c r="O407" i="2"/>
  <c r="R407" i="2" s="1"/>
  <c r="P407" i="2"/>
  <c r="O369" i="2"/>
  <c r="R369" i="2" s="1"/>
  <c r="P369" i="2"/>
  <c r="P403" i="2"/>
  <c r="P399" i="2"/>
  <c r="P395" i="2"/>
  <c r="P391" i="2"/>
  <c r="P387" i="2"/>
  <c r="P383" i="2"/>
  <c r="P379" i="2"/>
  <c r="P375" i="2"/>
  <c r="P371" i="2"/>
  <c r="P367" i="2"/>
  <c r="P363" i="2"/>
  <c r="P345" i="2"/>
  <c r="O333" i="2"/>
  <c r="R333" i="2" s="1"/>
  <c r="O330" i="2"/>
  <c r="R330" i="2" s="1"/>
  <c r="P330" i="2"/>
  <c r="O314" i="2"/>
  <c r="R314" i="2" s="1"/>
  <c r="P314" i="2"/>
  <c r="N229" i="2"/>
  <c r="Q229" i="2" s="1"/>
  <c r="O229" i="2"/>
  <c r="R229" i="2" s="1"/>
  <c r="P229" i="2"/>
  <c r="N192" i="2"/>
  <c r="Q192" i="2" s="1"/>
  <c r="O192" i="2"/>
  <c r="R192" i="2" s="1"/>
  <c r="P192" i="2"/>
  <c r="O403" i="2"/>
  <c r="R403" i="2" s="1"/>
  <c r="O399" i="2"/>
  <c r="R399" i="2" s="1"/>
  <c r="O395" i="2"/>
  <c r="R395" i="2" s="1"/>
  <c r="O342" i="2"/>
  <c r="R342" i="2" s="1"/>
  <c r="P342" i="2"/>
  <c r="O310" i="2"/>
  <c r="R310" i="2" s="1"/>
  <c r="P310" i="2"/>
  <c r="O298" i="2"/>
  <c r="R298" i="2" s="1"/>
  <c r="P298" i="2"/>
  <c r="O184" i="2"/>
  <c r="R184" i="2" s="1"/>
  <c r="N184" i="2"/>
  <c r="Q184" i="2" s="1"/>
  <c r="P184" i="2"/>
  <c r="O322" i="2"/>
  <c r="R322" i="2" s="1"/>
  <c r="P322" i="2"/>
  <c r="P218" i="2"/>
  <c r="N218" i="2"/>
  <c r="Q218" i="2" s="1"/>
  <c r="O218" i="2"/>
  <c r="R218" i="2" s="1"/>
  <c r="P215" i="2"/>
  <c r="N215" i="2"/>
  <c r="Q215" i="2" s="1"/>
  <c r="O215" i="2"/>
  <c r="R215" i="2" s="1"/>
  <c r="O334" i="2"/>
  <c r="R334" i="2" s="1"/>
  <c r="P334" i="2"/>
  <c r="O346" i="2"/>
  <c r="R346" i="2" s="1"/>
  <c r="P346" i="2"/>
  <c r="O302" i="2"/>
  <c r="R302" i="2" s="1"/>
  <c r="P302" i="2"/>
  <c r="P203" i="2"/>
  <c r="N203" i="2"/>
  <c r="Q203" i="2" s="1"/>
  <c r="O203" i="2"/>
  <c r="R203" i="2" s="1"/>
  <c r="P341" i="2"/>
  <c r="O326" i="2"/>
  <c r="R326" i="2" s="1"/>
  <c r="P326" i="2"/>
  <c r="O338" i="2"/>
  <c r="R338" i="2" s="1"/>
  <c r="P338" i="2"/>
  <c r="O318" i="2"/>
  <c r="R318" i="2" s="1"/>
  <c r="P318" i="2"/>
  <c r="P231" i="2"/>
  <c r="N231" i="2"/>
  <c r="Q231" i="2" s="1"/>
  <c r="O231" i="2"/>
  <c r="R231" i="2" s="1"/>
  <c r="N212" i="2"/>
  <c r="Q212" i="2" s="1"/>
  <c r="O212" i="2"/>
  <c r="R212" i="2" s="1"/>
  <c r="P212" i="2"/>
  <c r="N188" i="2"/>
  <c r="Q188" i="2" s="1"/>
  <c r="O188" i="2"/>
  <c r="R188" i="2" s="1"/>
  <c r="P188" i="2"/>
  <c r="N179" i="2"/>
  <c r="Q179" i="2" s="1"/>
  <c r="O179" i="2"/>
  <c r="R179" i="2" s="1"/>
  <c r="P179" i="2"/>
  <c r="P236" i="2"/>
  <c r="P223" i="2"/>
  <c r="N223" i="2"/>
  <c r="Q223" i="2" s="1"/>
  <c r="P219" i="2"/>
  <c r="N219" i="2"/>
  <c r="Q219" i="2" s="1"/>
  <c r="N183" i="2"/>
  <c r="Q183" i="2" s="1"/>
  <c r="O183" i="2"/>
  <c r="R183" i="2" s="1"/>
  <c r="P183" i="2"/>
  <c r="N216" i="2"/>
  <c r="Q216" i="2" s="1"/>
  <c r="O216" i="2"/>
  <c r="R216" i="2" s="1"/>
  <c r="P216" i="2"/>
  <c r="N187" i="2"/>
  <c r="Q187" i="2" s="1"/>
  <c r="O187" i="2"/>
  <c r="R187" i="2" s="1"/>
  <c r="P187" i="2"/>
  <c r="N224" i="2"/>
  <c r="Q224" i="2" s="1"/>
  <c r="O224" i="2"/>
  <c r="R224" i="2" s="1"/>
  <c r="P207" i="2"/>
  <c r="N207" i="2"/>
  <c r="Q207" i="2" s="1"/>
  <c r="N204" i="2"/>
  <c r="Q204" i="2" s="1"/>
  <c r="O204" i="2"/>
  <c r="R204" i="2" s="1"/>
  <c r="P204" i="2"/>
  <c r="O176" i="2"/>
  <c r="R176" i="2" s="1"/>
  <c r="N176" i="2"/>
  <c r="Q176" i="2" s="1"/>
  <c r="P176" i="2"/>
  <c r="N147" i="2"/>
  <c r="Q147" i="2" s="1"/>
  <c r="O147" i="2"/>
  <c r="R147" i="2" s="1"/>
  <c r="P147" i="2"/>
  <c r="N226" i="2"/>
  <c r="Q226" i="2" s="1"/>
  <c r="N220" i="2"/>
  <c r="Q220" i="2" s="1"/>
  <c r="O220" i="2"/>
  <c r="R220" i="2" s="1"/>
  <c r="P220" i="2"/>
  <c r="N214" i="2"/>
  <c r="Q214" i="2" s="1"/>
  <c r="N175" i="2"/>
  <c r="Q175" i="2" s="1"/>
  <c r="O175" i="2"/>
  <c r="R175" i="2" s="1"/>
  <c r="P175" i="2"/>
  <c r="P294" i="2"/>
  <c r="P290" i="2"/>
  <c r="P286" i="2"/>
  <c r="P282" i="2"/>
  <c r="P278" i="2"/>
  <c r="P274" i="2"/>
  <c r="P270" i="2"/>
  <c r="P266" i="2"/>
  <c r="P262" i="2"/>
  <c r="P258" i="2"/>
  <c r="P254" i="2"/>
  <c r="P250" i="2"/>
  <c r="P246" i="2"/>
  <c r="P242" i="2"/>
  <c r="P238" i="2"/>
  <c r="P227" i="2"/>
  <c r="N227" i="2"/>
  <c r="Q227" i="2" s="1"/>
  <c r="P211" i="2"/>
  <c r="N211" i="2"/>
  <c r="Q211" i="2" s="1"/>
  <c r="N200" i="2"/>
  <c r="Q200" i="2" s="1"/>
  <c r="O200" i="2"/>
  <c r="R200" i="2" s="1"/>
  <c r="P200" i="2"/>
  <c r="O222" i="2"/>
  <c r="R222" i="2" s="1"/>
  <c r="N208" i="2"/>
  <c r="Q208" i="2" s="1"/>
  <c r="O208" i="2"/>
  <c r="R208" i="2" s="1"/>
  <c r="P208" i="2"/>
  <c r="N196" i="2"/>
  <c r="Q196" i="2" s="1"/>
  <c r="O196" i="2"/>
  <c r="R196" i="2" s="1"/>
  <c r="P196" i="2"/>
  <c r="O180" i="2"/>
  <c r="R180" i="2" s="1"/>
  <c r="N180" i="2"/>
  <c r="Q180" i="2" s="1"/>
  <c r="P180" i="2"/>
  <c r="N199" i="2"/>
  <c r="Q199" i="2" s="1"/>
  <c r="N195" i="2"/>
  <c r="Q195" i="2" s="1"/>
  <c r="N191" i="2"/>
  <c r="Q191" i="2" s="1"/>
  <c r="N167" i="2"/>
  <c r="Q167" i="2" s="1"/>
  <c r="O160" i="2"/>
  <c r="R160" i="2" s="1"/>
  <c r="P160" i="2"/>
  <c r="O156" i="2"/>
  <c r="R156" i="2" s="1"/>
  <c r="P156" i="2"/>
  <c r="N143" i="2"/>
  <c r="Q143" i="2" s="1"/>
  <c r="O143" i="2"/>
  <c r="R143" i="2" s="1"/>
  <c r="O168" i="2"/>
  <c r="R168" i="2" s="1"/>
  <c r="P168" i="2"/>
  <c r="N151" i="2"/>
  <c r="Q151" i="2" s="1"/>
  <c r="O151" i="2"/>
  <c r="R151" i="2" s="1"/>
  <c r="O102" i="2"/>
  <c r="R102" i="2" s="1"/>
  <c r="N102" i="2"/>
  <c r="Q102" i="2" s="1"/>
  <c r="P102" i="2"/>
  <c r="O119" i="2"/>
  <c r="R119" i="2" s="1"/>
  <c r="P119" i="2"/>
  <c r="N119" i="2"/>
  <c r="Q119" i="2" s="1"/>
  <c r="O172" i="2"/>
  <c r="R172" i="2" s="1"/>
  <c r="P172" i="2"/>
  <c r="O164" i="2"/>
  <c r="R164" i="2" s="1"/>
  <c r="P164" i="2"/>
  <c r="O139" i="2"/>
  <c r="R139" i="2" s="1"/>
  <c r="O135" i="2"/>
  <c r="R135" i="2" s="1"/>
  <c r="O131" i="2"/>
  <c r="R131" i="2" s="1"/>
  <c r="O125" i="2"/>
  <c r="R125" i="2" s="1"/>
  <c r="P114" i="2"/>
  <c r="O111" i="2"/>
  <c r="R111" i="2" s="1"/>
  <c r="P111" i="2"/>
  <c r="O123" i="2"/>
  <c r="R123" i="2" s="1"/>
  <c r="P123" i="2"/>
  <c r="O107" i="2"/>
  <c r="R107" i="2" s="1"/>
  <c r="P107" i="2"/>
  <c r="N94" i="2"/>
  <c r="Q94" i="2" s="1"/>
  <c r="O94" i="2"/>
  <c r="R94" i="2" s="1"/>
  <c r="O115" i="2"/>
  <c r="R115" i="2" s="1"/>
  <c r="P115" i="2"/>
  <c r="P98" i="2"/>
  <c r="N62" i="2"/>
  <c r="Q62" i="2" s="1"/>
  <c r="O62" i="2"/>
  <c r="R62" i="2" s="1"/>
  <c r="P62" i="2"/>
  <c r="P152" i="2"/>
  <c r="P148" i="2"/>
  <c r="P144" i="2"/>
  <c r="P140" i="2"/>
  <c r="P136" i="2"/>
  <c r="P132" i="2"/>
  <c r="P106" i="2"/>
  <c r="P127" i="2"/>
  <c r="N90" i="2"/>
  <c r="Q90" i="2" s="1"/>
  <c r="O90" i="2"/>
  <c r="R90" i="2" s="1"/>
  <c r="P44" i="2"/>
  <c r="N44" i="2"/>
  <c r="Q44" i="2" s="1"/>
  <c r="O44" i="2"/>
  <c r="R44" i="2" s="1"/>
  <c r="O86" i="2"/>
  <c r="R86" i="2" s="1"/>
  <c r="O82" i="2"/>
  <c r="R82" i="2" s="1"/>
  <c r="O78" i="2"/>
  <c r="R78" i="2" s="1"/>
  <c r="O74" i="2"/>
  <c r="R74" i="2" s="1"/>
  <c r="O68" i="2"/>
  <c r="R68" i="2" s="1"/>
  <c r="O67" i="2"/>
  <c r="R67" i="2" s="1"/>
  <c r="N65" i="2"/>
  <c r="Q65" i="2" s="1"/>
  <c r="P65" i="2"/>
  <c r="O56" i="2"/>
  <c r="R56" i="2" s="1"/>
  <c r="N55" i="2"/>
  <c r="Q55" i="2" s="1"/>
  <c r="N68" i="2"/>
  <c r="Q68" i="2" s="1"/>
  <c r="N56" i="2"/>
  <c r="Q56" i="2" s="1"/>
  <c r="N45" i="2"/>
  <c r="Q45" i="2" s="1"/>
  <c r="O45" i="2"/>
  <c r="R45" i="2" s="1"/>
  <c r="P45" i="2"/>
  <c r="N35" i="2"/>
  <c r="Q35" i="2" s="1"/>
  <c r="O35" i="2"/>
  <c r="R35" i="2" s="1"/>
  <c r="N69" i="2"/>
  <c r="Q69" i="2" s="1"/>
  <c r="P69" i="2"/>
  <c r="N57" i="2"/>
  <c r="Q57" i="2" s="1"/>
  <c r="O57" i="2"/>
  <c r="R57" i="2" s="1"/>
  <c r="P57" i="2"/>
  <c r="N49" i="2"/>
  <c r="Q49" i="2" s="1"/>
  <c r="O49" i="2"/>
  <c r="R49" i="2" s="1"/>
  <c r="P49" i="2"/>
  <c r="O60" i="2"/>
  <c r="R60" i="2" s="1"/>
  <c r="O40" i="2"/>
  <c r="R40" i="2" s="1"/>
  <c r="P40" i="2"/>
  <c r="P103" i="2"/>
  <c r="P99" i="2"/>
  <c r="P95" i="2"/>
  <c r="P91" i="2"/>
  <c r="P87" i="2"/>
  <c r="P83" i="2"/>
  <c r="P79" i="2"/>
  <c r="P75" i="2"/>
  <c r="P63" i="2"/>
  <c r="N53" i="2"/>
  <c r="Q53" i="2" s="1"/>
  <c r="O53" i="2"/>
  <c r="R53" i="2" s="1"/>
  <c r="P53" i="2"/>
  <c r="O64" i="2"/>
  <c r="R64" i="2" s="1"/>
  <c r="N61" i="2"/>
  <c r="Q61" i="2" s="1"/>
  <c r="P61" i="2"/>
  <c r="P51" i="2"/>
  <c r="P39" i="2"/>
  <c r="O31" i="2"/>
  <c r="R31" i="2" s="1"/>
  <c r="O27" i="2"/>
  <c r="R27" i="2" s="1"/>
  <c r="O23" i="2"/>
  <c r="R23" i="2" s="1"/>
  <c r="O19" i="2"/>
  <c r="R19" i="2" s="1"/>
  <c r="O15" i="2"/>
  <c r="R15" i="2" s="1"/>
  <c r="O11" i="2"/>
  <c r="R11" i="2" s="1"/>
  <c r="O7" i="2"/>
  <c r="R7" i="2" s="1"/>
  <c r="P41" i="2"/>
  <c r="P37" i="2"/>
  <c r="P33" i="2"/>
  <c r="P29" i="2"/>
  <c r="P25" i="2"/>
  <c r="P21" i="2"/>
  <c r="P17" i="2"/>
  <c r="P13" i="2"/>
  <c r="P9" i="2"/>
  <c r="P5" i="2"/>
  <c r="O41" i="2"/>
  <c r="R41" i="2" s="1"/>
  <c r="O37" i="2"/>
  <c r="R37" i="2" s="1"/>
  <c r="O33" i="2"/>
  <c r="R33" i="2" s="1"/>
  <c r="O29" i="2"/>
  <c r="R29" i="2" s="1"/>
  <c r="O25" i="2"/>
  <c r="R25" i="2" s="1"/>
  <c r="O21" i="2"/>
  <c r="R21" i="2" s="1"/>
  <c r="O17" i="2"/>
  <c r="R17" i="2" s="1"/>
  <c r="O13" i="2"/>
  <c r="R13" i="2" s="1"/>
  <c r="O9" i="2"/>
  <c r="R9" i="2" s="1"/>
  <c r="O5" i="2"/>
  <c r="R5" i="2" s="1"/>
  <c r="P36" i="2"/>
  <c r="P32" i="2"/>
  <c r="P28" i="2"/>
  <c r="P24" i="2"/>
  <c r="P20" i="2"/>
  <c r="P16" i="2"/>
  <c r="P12" i="2"/>
  <c r="P8" i="2"/>
  <c r="N4" i="2"/>
  <c r="Q4" i="2" s="1"/>
  <c r="O4" i="2"/>
  <c r="R4" i="2" s="1"/>
  <c r="S4" i="2"/>
  <c r="S28" i="1"/>
  <c r="T28" i="1" s="1"/>
  <c r="S32" i="1"/>
  <c r="T32" i="1" s="1"/>
  <c r="S31" i="1"/>
  <c r="T31" i="1" s="1"/>
  <c r="S35" i="1"/>
  <c r="T35" i="1" s="1"/>
  <c r="S30" i="1"/>
  <c r="T30" i="1" s="1"/>
  <c r="S34" i="1"/>
  <c r="T34" i="1" s="1"/>
  <c r="S36" i="1"/>
  <c r="T36" i="1" s="1"/>
  <c r="S29" i="1"/>
  <c r="T29" i="1" s="1"/>
  <c r="S33" i="1"/>
  <c r="T33" i="1" s="1"/>
  <c r="S27" i="1"/>
  <c r="T27" i="1" s="1"/>
  <c r="S25" i="1"/>
  <c r="T25" i="1" s="1"/>
  <c r="S26" i="1"/>
  <c r="T26" i="1" s="1"/>
  <c r="S24" i="1"/>
  <c r="T24" i="1" s="1"/>
  <c r="S22" i="1"/>
  <c r="T22" i="1" s="1"/>
  <c r="S23" i="1"/>
  <c r="T23" i="1" s="1"/>
  <c r="S21" i="1"/>
  <c r="T21" i="1" s="1"/>
  <c r="S20" i="1"/>
  <c r="T20" i="1" s="1"/>
  <c r="S19" i="1"/>
  <c r="T19" i="1" s="1"/>
  <c r="S15" i="1"/>
  <c r="T15" i="1" s="1"/>
  <c r="S7" i="1"/>
  <c r="T7" i="1" s="1"/>
  <c r="S18" i="1"/>
  <c r="T18" i="1" s="1"/>
  <c r="S10" i="1"/>
  <c r="T10" i="1" s="1"/>
  <c r="S8" i="1"/>
  <c r="T8" i="1" s="1"/>
  <c r="S11" i="1"/>
  <c r="T11" i="1" s="1"/>
  <c r="S14" i="1"/>
  <c r="T14" i="1" s="1"/>
  <c r="S6" i="1"/>
  <c r="T6" i="1" s="1"/>
  <c r="S13" i="1"/>
  <c r="T13" i="1" s="1"/>
  <c r="S16" i="1"/>
  <c r="T16" i="1" s="1"/>
  <c r="S17" i="1"/>
  <c r="T17" i="1" s="1"/>
  <c r="S9" i="1"/>
  <c r="T9" i="1" s="1"/>
  <c r="S12" i="1"/>
  <c r="T12" i="1" s="1"/>
  <c r="S5" i="1"/>
  <c r="T5" i="1" s="1"/>
  <c r="S738" i="2" a="1"/>
  <c r="S810" i="2" a="1"/>
  <c r="S763" i="2" a="1"/>
  <c r="S731" i="2" a="1"/>
  <c r="S994" i="2" a="1"/>
  <c r="S962" i="2" a="1"/>
  <c r="S930" i="2" a="1"/>
  <c r="S898" i="2" a="1"/>
  <c r="S866" i="2" a="1"/>
  <c r="S834" i="2" a="1"/>
  <c r="S794" i="2" a="1"/>
  <c r="S709" i="2" a="1"/>
  <c r="S708" i="2" a="1"/>
  <c r="S613" i="2" a="1"/>
  <c r="S674" i="2" a="1"/>
  <c r="S651" i="2" a="1"/>
  <c r="S635" i="2" a="1"/>
  <c r="S678" i="2" a="1"/>
  <c r="S711" i="2" a="1"/>
  <c r="S667" i="2" a="1"/>
  <c r="S661" i="2" a="1"/>
  <c r="S614" i="2" a="1"/>
  <c r="S546" i="2" a="1"/>
  <c r="S636" i="2" a="1"/>
  <c r="S602" i="2" a="1"/>
  <c r="S576" i="2" a="1"/>
  <c r="S571" i="2" a="1"/>
  <c r="S389" i="2" a="1"/>
  <c r="S541" i="2" a="1"/>
  <c r="S544" i="2" a="1"/>
  <c r="S506" i="2" a="1"/>
  <c r="S529" i="2" a="1"/>
  <c r="S350" i="2" a="1"/>
  <c r="S405" i="2" a="1"/>
  <c r="S425" i="2" a="1"/>
  <c r="S494" i="2" a="1"/>
  <c r="S462" i="2" a="1"/>
  <c r="S409" i="2" a="1"/>
  <c r="S395" i="2" a="1"/>
  <c r="S363" i="2" a="1"/>
  <c r="S184" i="2" a="1"/>
  <c r="S326" i="2" a="1"/>
  <c r="S212" i="2" a="1"/>
  <c r="S179" i="2" a="1"/>
  <c r="S175" i="2" a="1"/>
  <c r="S274" i="2" a="1"/>
  <c r="S242" i="2" a="1"/>
  <c r="S111" i="2" a="1"/>
  <c r="S98" i="2" a="1"/>
  <c r="S152" i="2" a="1"/>
  <c r="S75" i="2" a="1"/>
  <c r="S29" i="2" a="1"/>
  <c r="S8" i="2" a="1"/>
  <c r="S726" i="2" a="1"/>
  <c r="S722" i="2" a="1"/>
  <c r="S1009" i="2" a="1"/>
  <c r="S730" i="2" a="1"/>
  <c r="S754" i="2" a="1"/>
  <c r="S806" i="2" a="1"/>
  <c r="S783" i="2" a="1"/>
  <c r="S775" i="2" a="1"/>
  <c r="S790" i="2" a="1"/>
  <c r="S719" i="2" a="1"/>
  <c r="S649" i="2" a="1"/>
  <c r="S990" i="2" a="1"/>
  <c r="S958" i="2" a="1"/>
  <c r="S926" i="2" a="1"/>
  <c r="S894" i="2" a="1"/>
  <c r="S862" i="2" a="1"/>
  <c r="S830" i="2" a="1"/>
  <c r="S746" i="2" a="1"/>
  <c r="S695" i="2" a="1"/>
  <c r="S577" i="2" a="1"/>
  <c r="S660" i="2" a="1"/>
  <c r="S526" i="2" a="1"/>
  <c r="S645" i="2" a="1"/>
  <c r="S586" i="2" a="1"/>
  <c r="S702" i="2" a="1"/>
  <c r="S673" i="2" a="1"/>
  <c r="S580" i="2" a="1"/>
  <c r="S619" i="2" a="1"/>
  <c r="S587" i="2" a="1"/>
  <c r="S559" i="2" a="1"/>
  <c r="S632" i="2" a="1"/>
  <c r="S622" i="2" a="1"/>
  <c r="S582" i="2" a="1"/>
  <c r="S535" i="2" a="1"/>
  <c r="S435" i="2" a="1"/>
  <c r="S540" i="2" a="1"/>
  <c r="S365" i="2" a="1"/>
  <c r="S513" i="2" a="1"/>
  <c r="S417" i="2" a="1"/>
  <c r="S502" i="2" a="1"/>
  <c r="S490" i="2" a="1"/>
  <c r="S458" i="2" a="1"/>
  <c r="S413" i="2" a="1"/>
  <c r="S369" i="2" a="1"/>
  <c r="S391" i="2" a="1"/>
  <c r="S192" i="2" a="1"/>
  <c r="S176" i="2" a="1"/>
  <c r="S270" i="2" a="1"/>
  <c r="S238" i="2" a="1"/>
  <c r="S208" i="2" a="1"/>
  <c r="S156" i="2" a="1"/>
  <c r="S168" i="2" a="1"/>
  <c r="S148" i="2" a="1"/>
  <c r="S45" i="2" a="1"/>
  <c r="S103" i="2" a="1"/>
  <c r="S63" i="2" a="1"/>
  <c r="S61" i="2" a="1"/>
  <c r="S25" i="2" a="1"/>
  <c r="S36" i="2" a="1"/>
  <c r="S791" i="2" a="1"/>
  <c r="S1017" i="2" a="1"/>
  <c r="S734" i="2" a="1"/>
  <c r="S973" i="2" a="1"/>
  <c r="S774" i="2" a="1"/>
  <c r="S762" i="2" a="1"/>
  <c r="S802" i="2" a="1"/>
  <c r="S766" i="2" a="1"/>
  <c r="S739" i="2" a="1"/>
  <c r="S1018" i="2" a="1"/>
  <c r="S986" i="2" a="1"/>
  <c r="S954" i="2" a="1"/>
  <c r="S922" i="2" a="1"/>
  <c r="S890" i="2" a="1"/>
  <c r="S858" i="2" a="1"/>
  <c r="S826" i="2" a="1"/>
  <c r="S686" i="2" a="1"/>
  <c r="S618" i="2" a="1"/>
  <c r="S683" i="2" a="1"/>
  <c r="S704" i="2" a="1"/>
  <c r="S659" i="2" a="1"/>
  <c r="S629" i="2" a="1"/>
  <c r="S610" i="2" a="1"/>
  <c r="S554" i="2" a="1"/>
  <c r="S628" i="2" a="1"/>
  <c r="S578" i="2" a="1"/>
  <c r="S568" i="2" a="1"/>
  <c r="S603" i="2" a="1"/>
  <c r="S563" i="2" a="1"/>
  <c r="S524" i="2" a="1"/>
  <c r="S555" i="2" a="1"/>
  <c r="S512" i="2" a="1"/>
  <c r="S377" i="2" a="1"/>
  <c r="S401" i="2" a="1"/>
  <c r="S438" i="2" a="1"/>
  <c r="S486" i="2" a="1"/>
  <c r="S454" i="2" a="1"/>
  <c r="S387" i="2" a="1"/>
  <c r="S345" i="2" a="1"/>
  <c r="S310" i="2" a="1"/>
  <c r="S203" i="2" a="1"/>
  <c r="S236" i="2" a="1"/>
  <c r="S216" i="2" a="1"/>
  <c r="S220" i="2" a="1"/>
  <c r="S266" i="2" a="1"/>
  <c r="S227" i="2" a="1"/>
  <c r="S200" i="2" a="1"/>
  <c r="S172" i="2" a="1"/>
  <c r="S144" i="2" a="1"/>
  <c r="S49" i="2" a="1"/>
  <c r="S99" i="2" a="1"/>
  <c r="S51" i="2" a="1"/>
  <c r="S21" i="2" a="1"/>
  <c r="S32" i="2" a="1"/>
  <c r="S718" i="2" a="1"/>
  <c r="S977" i="2" a="1"/>
  <c r="S807" i="2" a="1"/>
  <c r="S747" i="2" a="1"/>
  <c r="S755" i="2" a="1"/>
  <c r="S727" i="2" a="1"/>
  <c r="S699" i="2" a="1"/>
  <c r="S1014" i="2" a="1"/>
  <c r="S982" i="2" a="1"/>
  <c r="S950" i="2" a="1"/>
  <c r="S918" i="2" a="1"/>
  <c r="S886" i="2" a="1"/>
  <c r="S854" i="2" a="1"/>
  <c r="S822" i="2" a="1"/>
  <c r="S770" i="2" a="1"/>
  <c r="S690" i="2" a="1"/>
  <c r="S800" i="2" a="1"/>
  <c r="S779" i="2" a="1"/>
  <c r="S714" i="2" a="1"/>
  <c r="S672" i="2" a="1"/>
  <c r="S680" i="2" a="1"/>
  <c r="S655" i="2" a="1"/>
  <c r="S639" i="2" a="1"/>
  <c r="S671" i="2" a="1"/>
  <c r="S665" i="2" a="1"/>
  <c r="S569" i="2" a="1"/>
  <c r="S572" i="2" a="1"/>
  <c r="S583" i="2" a="1"/>
  <c r="S542" i="2" a="1"/>
  <c r="S656" i="2" a="1"/>
  <c r="S581" i="2" a="1"/>
  <c r="S607" i="2" a="1"/>
  <c r="S594" i="2" a="1"/>
  <c r="S558" i="2" a="1"/>
  <c r="S574" i="2" a="1"/>
  <c r="S514" i="2" a="1"/>
  <c r="S489" i="2" a="1"/>
  <c r="S532" i="2" a="1"/>
  <c r="S551" i="2" a="1"/>
  <c r="S527" i="2" a="1"/>
  <c r="S415" i="2" a="1"/>
  <c r="S393" i="2" a="1"/>
  <c r="S482" i="2" a="1"/>
  <c r="S450" i="2" a="1"/>
  <c r="S383" i="2" a="1"/>
  <c r="S218" i="2" a="1"/>
  <c r="S334" i="2" a="1"/>
  <c r="S231" i="2" a="1"/>
  <c r="S223" i="2" a="1"/>
  <c r="S204" i="2" a="1"/>
  <c r="S294" i="2" a="1"/>
  <c r="S262" i="2" a="1"/>
  <c r="S140" i="2" a="1"/>
  <c r="S95" i="2" a="1"/>
  <c r="S39" i="2" a="1"/>
  <c r="S17" i="2" a="1"/>
  <c r="S28" i="2" a="1"/>
  <c r="S1024" i="2" a="1"/>
  <c r="S969" i="2" a="1"/>
  <c r="S676" i="2" a="1"/>
  <c r="S1010" i="2" a="1"/>
  <c r="S978" i="2" a="1"/>
  <c r="S946" i="2" a="1"/>
  <c r="S914" i="2" a="1"/>
  <c r="S882" i="2" a="1"/>
  <c r="S850" i="2" a="1"/>
  <c r="S818" i="2" a="1"/>
  <c r="S633" i="2" a="1"/>
  <c r="S643" i="2" a="1"/>
  <c r="S710" i="2" a="1"/>
  <c r="S707" i="2" a="1"/>
  <c r="S604" i="2" a="1"/>
  <c r="S703" i="2" a="1"/>
  <c r="S625" i="2" a="1"/>
  <c r="S652" i="2" a="1"/>
  <c r="S570" i="2" a="1"/>
  <c r="S598" i="2" a="1"/>
  <c r="S560" i="2" a="1"/>
  <c r="S600" i="2" a="1"/>
  <c r="S557" i="2" a="1"/>
  <c r="S481" i="2" a="1"/>
  <c r="S445" i="2" a="1"/>
  <c r="S547" i="2" a="1"/>
  <c r="S421" i="2" a="1"/>
  <c r="S397" i="2" a="1"/>
  <c r="S306" i="2" a="1"/>
  <c r="S429" i="2" a="1"/>
  <c r="S329" i="2" a="1"/>
  <c r="S478" i="2" a="1"/>
  <c r="S446" i="2" a="1"/>
  <c r="S381" i="2" a="1"/>
  <c r="S230" i="2" a="1"/>
  <c r="S379" i="2" a="1"/>
  <c r="S322" i="2" a="1"/>
  <c r="S346" i="2" a="1"/>
  <c r="S338" i="2" a="1"/>
  <c r="S183" i="2" a="1"/>
  <c r="S290" i="2" a="1"/>
  <c r="S258" i="2" a="1"/>
  <c r="S196" i="2" a="1"/>
  <c r="S102" i="2" a="1"/>
  <c r="S164" i="2" a="1"/>
  <c r="S123" i="2" a="1"/>
  <c r="S136" i="2" a="1"/>
  <c r="S127" i="2" a="1"/>
  <c r="S91" i="2" a="1"/>
  <c r="S53" i="2" a="1"/>
  <c r="S13" i="2" a="1"/>
  <c r="S24" i="2" a="1"/>
  <c r="S985" i="2" a="1"/>
  <c r="S953" i="2" a="1"/>
  <c r="S742" i="2" a="1"/>
  <c r="S761" i="2" a="1"/>
  <c r="S786" i="2" a="1"/>
  <c r="S778" i="2" a="1"/>
  <c r="S787" i="2" a="1"/>
  <c r="S735" i="2" a="1"/>
  <c r="S1006" i="2" a="1"/>
  <c r="S974" i="2" a="1"/>
  <c r="S942" i="2" a="1"/>
  <c r="S910" i="2" a="1"/>
  <c r="S878" i="2" a="1"/>
  <c r="S846" i="2" a="1"/>
  <c r="S814" i="2" a="1"/>
  <c r="S799" i="2" a="1"/>
  <c r="S595" i="2" a="1"/>
  <c r="S691" i="2" a="1"/>
  <c r="S668" i="2" a="1"/>
  <c r="S653" i="2" a="1"/>
  <c r="S637" i="2" a="1"/>
  <c r="S679" i="2" a="1"/>
  <c r="S698" i="2" a="1"/>
  <c r="S694" i="2" a="1"/>
  <c r="S663" i="2" a="1"/>
  <c r="S657" i="2" a="1"/>
  <c r="S624" i="2" a="1"/>
  <c r="S592" i="2" a="1"/>
  <c r="S564" i="2" a="1"/>
  <c r="S575" i="2" a="1"/>
  <c r="S550" i="2" a="1"/>
  <c r="S648" i="2" a="1"/>
  <c r="S615" i="2" a="1"/>
  <c r="S573" i="2" a="1"/>
  <c r="S537" i="2" a="1"/>
  <c r="S566" i="2" a="1"/>
  <c r="S553" i="2" a="1"/>
  <c r="S556" i="2" a="1"/>
  <c r="S521" i="2" a="1"/>
  <c r="S543" i="2" a="1"/>
  <c r="S474" i="2" a="1"/>
  <c r="S407" i="2" a="1"/>
  <c r="S375" i="2" a="1"/>
  <c r="S330" i="2" a="1"/>
  <c r="S229" i="2" a="1"/>
  <c r="S298" i="2" a="1"/>
  <c r="S188" i="2" a="1"/>
  <c r="S219" i="2" a="1"/>
  <c r="S286" i="2" a="1"/>
  <c r="S254" i="2" a="1"/>
  <c r="S211" i="2" a="1"/>
  <c r="S132" i="2" a="1"/>
  <c r="S44" i="2" a="1"/>
  <c r="S87" i="2" a="1"/>
  <c r="S41" i="2" a="1"/>
  <c r="S9" i="2" a="1"/>
  <c r="S795" i="2" a="1"/>
  <c r="S804" i="2" a="1"/>
  <c r="S965" i="2" a="1"/>
  <c r="S1022" i="2" a="1"/>
  <c r="S771" i="2" a="1"/>
  <c r="S759" i="2" a="1"/>
  <c r="S685" i="2" a="1"/>
  <c r="S750" i="2" a="1"/>
  <c r="S723" i="2" a="1"/>
  <c r="S1002" i="2" a="1"/>
  <c r="S970" i="2" a="1"/>
  <c r="S938" i="2" a="1"/>
  <c r="S906" i="2" a="1"/>
  <c r="S874" i="2" a="1"/>
  <c r="S842" i="2" a="1"/>
  <c r="S758" i="2" a="1"/>
  <c r="S767" i="2" a="1"/>
  <c r="S682" i="2" a="1"/>
  <c r="S715" i="2" a="1"/>
  <c r="S669" i="2" a="1"/>
  <c r="S644" i="2" a="1"/>
  <c r="S606" i="2" a="1"/>
  <c r="S562" i="2" a="1"/>
  <c r="S579" i="2" a="1"/>
  <c r="S599" i="2" a="1"/>
  <c r="S549" i="2" a="1"/>
  <c r="S552" i="2" a="1"/>
  <c r="S509" i="2" a="1"/>
  <c r="S539" i="2" a="1"/>
  <c r="S385" i="2" a="1"/>
  <c r="S373" i="2" a="1"/>
  <c r="S470" i="2" a="1"/>
  <c r="S436" i="2" a="1"/>
  <c r="S403" i="2" a="1"/>
  <c r="S371" i="2" a="1"/>
  <c r="S342" i="2" a="1"/>
  <c r="S215" i="2" a="1"/>
  <c r="S341" i="2" a="1"/>
  <c r="S147" i="2" a="1"/>
  <c r="S282" i="2" a="1"/>
  <c r="S250" i="2" a="1"/>
  <c r="S119" i="2" a="1"/>
  <c r="S114" i="2" a="1"/>
  <c r="S107" i="2" a="1"/>
  <c r="S62" i="2" a="1"/>
  <c r="S57" i="2" a="1"/>
  <c r="S83" i="2" a="1"/>
  <c r="S37" i="2" a="1"/>
  <c r="S5" i="2" a="1"/>
  <c r="S16" i="2" a="1"/>
  <c r="S751" i="2" a="1"/>
  <c r="S399" i="2" a="1"/>
  <c r="S367" i="2" a="1"/>
  <c r="S314" i="2" a="1"/>
  <c r="S106" i="2" a="1"/>
  <c r="S998" i="2" a="1"/>
  <c r="S966" i="2" a="1"/>
  <c r="S934" i="2" a="1"/>
  <c r="S902" i="2" a="1"/>
  <c r="S870" i="2" a="1"/>
  <c r="S838" i="2" a="1"/>
  <c r="S803" i="2" a="1"/>
  <c r="S696" i="2" a="1"/>
  <c r="S627" i="2" a="1"/>
  <c r="S687" i="2" a="1"/>
  <c r="S664" i="2" a="1"/>
  <c r="S647" i="2" a="1"/>
  <c r="S640" i="2" a="1"/>
  <c r="S187" i="2" a="1"/>
  <c r="S949" i="2" a="1"/>
  <c r="S631" i="2" a="1"/>
  <c r="S40" i="2" a="1"/>
  <c r="S1005" i="2" a="1"/>
  <c r="S798" i="2" a="1"/>
  <c r="S743" i="2" a="1"/>
  <c r="S561" i="2" a="1"/>
  <c r="S505" i="2" a="1"/>
  <c r="S411" i="2" a="1"/>
  <c r="S69" i="2" a="1"/>
  <c r="S20" i="2" a="1"/>
  <c r="S12" i="2" a="1"/>
  <c r="S641" i="2" a="1"/>
  <c r="S782" i="2" a="1"/>
  <c r="S620" i="2" a="1"/>
  <c r="S588" i="2" a="1"/>
  <c r="S567" i="2" a="1"/>
  <c r="S115" i="2" a="1"/>
  <c r="S207" i="2" a="1"/>
  <c r="S498" i="2" a="1"/>
  <c r="S466" i="2" a="1"/>
  <c r="S302" i="2" a="1"/>
  <c r="S65" i="2" a="1"/>
  <c r="S33" i="2" a="1"/>
  <c r="S675" i="2" a="1"/>
  <c r="S1021" i="2" a="1"/>
  <c r="S785" i="2" a="1"/>
  <c r="S611" i="2" a="1"/>
  <c r="S565" i="2" a="1"/>
  <c r="S437" i="2" a="1"/>
  <c r="S419" i="2" a="1"/>
  <c r="S361" i="2" a="1"/>
  <c r="S160" i="2" a="1"/>
  <c r="S510" i="2" a="1"/>
  <c r="S706" i="2" a="1"/>
  <c r="S623" i="2" a="1"/>
  <c r="S591" i="2" a="1"/>
  <c r="S590" i="2" a="1"/>
  <c r="S548" i="2" a="1"/>
  <c r="S318" i="2" a="1"/>
  <c r="S278" i="2" a="1"/>
  <c r="S246" i="2" a="1"/>
  <c r="S180" i="2" a="1"/>
  <c r="S79" i="2" a="1"/>
  <c r="S545" i="2" a="1"/>
  <c r="T224" i="2" l="1"/>
  <c r="T689" i="2"/>
  <c r="T451" i="2"/>
  <c r="T483" i="2"/>
  <c r="T666" i="2"/>
  <c r="T199" i="2"/>
  <c r="T439" i="2"/>
  <c r="T455" i="2"/>
  <c r="T333" i="2"/>
  <c r="T630" i="2"/>
  <c r="T957" i="2"/>
  <c r="T638" i="2"/>
  <c r="T23" i="2"/>
  <c r="T817" i="2"/>
  <c r="T222" i="2"/>
  <c r="T621" i="2"/>
  <c r="T677" i="2"/>
  <c r="T60" i="2"/>
  <c r="T55" i="2"/>
  <c r="T195" i="2"/>
  <c r="T434" i="2"/>
  <c r="T681" i="2"/>
  <c r="T67" i="2"/>
  <c r="T86" i="2"/>
  <c r="T609" i="2"/>
  <c r="T463" i="2"/>
  <c r="T705" i="2"/>
  <c r="T433" i="2"/>
  <c r="T989" i="2"/>
  <c r="T74" i="2"/>
  <c r="T167" i="2"/>
  <c r="T27" i="2"/>
  <c r="T191" i="2"/>
  <c r="T612" i="2"/>
  <c r="T642" i="2"/>
  <c r="T11" i="2"/>
  <c r="T125" i="2"/>
  <c r="T605" i="2"/>
  <c r="T658" i="2"/>
  <c r="T487" i="2"/>
  <c r="T523" i="2"/>
  <c r="T646" i="2"/>
  <c r="T777" i="2"/>
  <c r="T650" i="2"/>
  <c r="T64" i="2"/>
  <c r="T214" i="2"/>
  <c r="T662" i="2"/>
  <c r="T7" i="2"/>
  <c r="T493" i="2"/>
  <c r="T713" i="2"/>
  <c r="T829" i="2"/>
  <c r="T1001" i="2"/>
  <c r="T475" i="2"/>
  <c r="T805" i="2"/>
  <c r="T19" i="2"/>
  <c r="T131" i="2"/>
  <c r="T447" i="2"/>
  <c r="T479" i="2"/>
  <c r="T654" i="2"/>
  <c r="T1020" i="2"/>
  <c r="T459" i="2"/>
  <c r="T712" i="2"/>
  <c r="T821" i="2"/>
  <c r="T700" i="2"/>
  <c r="T765" i="2"/>
  <c r="T825" i="2"/>
  <c r="T135" i="2"/>
  <c r="T534" i="2"/>
  <c r="T789" i="2"/>
  <c r="T78" i="2"/>
  <c r="T538" i="2"/>
  <c r="T589" i="2"/>
  <c r="T634" i="2"/>
  <c r="T467" i="2"/>
  <c r="T226" i="2"/>
  <c r="T471" i="2"/>
  <c r="T813" i="2"/>
  <c r="T596" i="2"/>
  <c r="S545" i="2"/>
  <c r="T545" i="2" s="1"/>
  <c r="S79" i="2"/>
  <c r="T79" i="2" s="1"/>
  <c r="S180" i="2"/>
  <c r="T180" i="2" s="1"/>
  <c r="S246" i="2"/>
  <c r="T246" i="2" s="1"/>
  <c r="S278" i="2"/>
  <c r="T278" i="2" s="1"/>
  <c r="S318" i="2"/>
  <c r="T318" i="2" s="1"/>
  <c r="S548" i="2"/>
  <c r="T548" i="2" s="1"/>
  <c r="S590" i="2"/>
  <c r="T590" i="2" s="1"/>
  <c r="S591" i="2"/>
  <c r="T591" i="2" s="1"/>
  <c r="S623" i="2"/>
  <c r="T623" i="2" s="1"/>
  <c r="S706" i="2"/>
  <c r="T706" i="2" s="1"/>
  <c r="S510" i="2"/>
  <c r="T510" i="2" s="1"/>
  <c r="S160" i="2"/>
  <c r="T160" i="2" s="1"/>
  <c r="S361" i="2"/>
  <c r="T361" i="2" s="1"/>
  <c r="S419" i="2"/>
  <c r="T419" i="2" s="1"/>
  <c r="S437" i="2"/>
  <c r="T437" i="2" s="1"/>
  <c r="S565" i="2"/>
  <c r="T565" i="2" s="1"/>
  <c r="S611" i="2"/>
  <c r="T611" i="2" s="1"/>
  <c r="S785" i="2"/>
  <c r="T785" i="2" s="1"/>
  <c r="S1021" i="2"/>
  <c r="T1021" i="2" s="1"/>
  <c r="S675" i="2"/>
  <c r="T675" i="2" s="1"/>
  <c r="S33" i="2"/>
  <c r="T33" i="2" s="1"/>
  <c r="S65" i="2"/>
  <c r="T65" i="2" s="1"/>
  <c r="S302" i="2"/>
  <c r="T302" i="2" s="1"/>
  <c r="S466" i="2"/>
  <c r="T466" i="2" s="1"/>
  <c r="S498" i="2"/>
  <c r="T498" i="2" s="1"/>
  <c r="S207" i="2"/>
  <c r="T207" i="2" s="1"/>
  <c r="S115" i="2"/>
  <c r="T115" i="2" s="1"/>
  <c r="S567" i="2"/>
  <c r="T567" i="2" s="1"/>
  <c r="S588" i="2"/>
  <c r="T588" i="2" s="1"/>
  <c r="S620" i="2"/>
  <c r="T620" i="2" s="1"/>
  <c r="S782" i="2"/>
  <c r="T782" i="2" s="1"/>
  <c r="S641" i="2"/>
  <c r="T641" i="2" s="1"/>
  <c r="S12" i="2"/>
  <c r="T12" i="2" s="1"/>
  <c r="S20" i="2"/>
  <c r="T20" i="2" s="1"/>
  <c r="S69" i="2"/>
  <c r="T69" i="2" s="1"/>
  <c r="S411" i="2"/>
  <c r="T411" i="2" s="1"/>
  <c r="S505" i="2"/>
  <c r="T505" i="2" s="1"/>
  <c r="S561" i="2"/>
  <c r="T561" i="2" s="1"/>
  <c r="S743" i="2"/>
  <c r="T743" i="2" s="1"/>
  <c r="S798" i="2"/>
  <c r="T798" i="2" s="1"/>
  <c r="S1005" i="2"/>
  <c r="T1005" i="2" s="1"/>
  <c r="S40" i="2"/>
  <c r="T40" i="2" s="1"/>
  <c r="S631" i="2"/>
  <c r="T631" i="2" s="1"/>
  <c r="S949" i="2"/>
  <c r="T949" i="2" s="1"/>
  <c r="S187" i="2"/>
  <c r="T187" i="2" s="1"/>
  <c r="S640" i="2"/>
  <c r="T640" i="2" s="1"/>
  <c r="S647" i="2"/>
  <c r="T647" i="2" s="1"/>
  <c r="S664" i="2"/>
  <c r="T664" i="2" s="1"/>
  <c r="S687" i="2"/>
  <c r="T687" i="2" s="1"/>
  <c r="S627" i="2"/>
  <c r="T627" i="2" s="1"/>
  <c r="S696" i="2"/>
  <c r="T696" i="2" s="1"/>
  <c r="S803" i="2"/>
  <c r="T803" i="2" s="1"/>
  <c r="S838" i="2"/>
  <c r="T838" i="2" s="1"/>
  <c r="S870" i="2"/>
  <c r="T870" i="2" s="1"/>
  <c r="S902" i="2"/>
  <c r="T902" i="2" s="1"/>
  <c r="S934" i="2"/>
  <c r="T934" i="2" s="1"/>
  <c r="S966" i="2"/>
  <c r="T966" i="2" s="1"/>
  <c r="S998" i="2"/>
  <c r="T998" i="2" s="1"/>
  <c r="S106" i="2"/>
  <c r="T106" i="2" s="1"/>
  <c r="S314" i="2"/>
  <c r="T314" i="2" s="1"/>
  <c r="S367" i="2"/>
  <c r="T367" i="2" s="1"/>
  <c r="S399" i="2"/>
  <c r="T399" i="2" s="1"/>
  <c r="S751" i="2"/>
  <c r="T751" i="2" s="1"/>
  <c r="S16" i="2"/>
  <c r="T16" i="2" s="1"/>
  <c r="S5" i="2"/>
  <c r="T5" i="2" s="1"/>
  <c r="S37" i="2"/>
  <c r="T37" i="2" s="1"/>
  <c r="S83" i="2"/>
  <c r="T83" i="2" s="1"/>
  <c r="S57" i="2"/>
  <c r="T57" i="2" s="1"/>
  <c r="S62" i="2"/>
  <c r="T62" i="2" s="1"/>
  <c r="S107" i="2"/>
  <c r="T107" i="2" s="1"/>
  <c r="S114" i="2"/>
  <c r="T114" i="2" s="1"/>
  <c r="S119" i="2"/>
  <c r="T119" i="2" s="1"/>
  <c r="S250" i="2"/>
  <c r="T250" i="2" s="1"/>
  <c r="S282" i="2"/>
  <c r="T282" i="2" s="1"/>
  <c r="S147" i="2"/>
  <c r="T147" i="2" s="1"/>
  <c r="S341" i="2"/>
  <c r="T341" i="2" s="1"/>
  <c r="S215" i="2"/>
  <c r="T215" i="2" s="1"/>
  <c r="S342" i="2"/>
  <c r="T342" i="2" s="1"/>
  <c r="S371" i="2"/>
  <c r="T371" i="2" s="1"/>
  <c r="S403" i="2"/>
  <c r="T403" i="2" s="1"/>
  <c r="S436" i="2"/>
  <c r="T436" i="2" s="1"/>
  <c r="S470" i="2"/>
  <c r="T470" i="2" s="1"/>
  <c r="S373" i="2"/>
  <c r="T373" i="2" s="1"/>
  <c r="S385" i="2"/>
  <c r="T385" i="2" s="1"/>
  <c r="S539" i="2"/>
  <c r="T539" i="2" s="1"/>
  <c r="S509" i="2"/>
  <c r="T509" i="2" s="1"/>
  <c r="S552" i="2"/>
  <c r="T552" i="2" s="1"/>
  <c r="S549" i="2"/>
  <c r="T549" i="2" s="1"/>
  <c r="S599" i="2"/>
  <c r="T599" i="2" s="1"/>
  <c r="S579" i="2"/>
  <c r="T579" i="2" s="1"/>
  <c r="S562" i="2"/>
  <c r="T562" i="2" s="1"/>
  <c r="S606" i="2"/>
  <c r="T606" i="2" s="1"/>
  <c r="S644" i="2"/>
  <c r="T644" i="2" s="1"/>
  <c r="S669" i="2"/>
  <c r="T669" i="2" s="1"/>
  <c r="S715" i="2"/>
  <c r="T715" i="2" s="1"/>
  <c r="S682" i="2"/>
  <c r="T682" i="2" s="1"/>
  <c r="S767" i="2"/>
  <c r="T767" i="2" s="1"/>
  <c r="S758" i="2"/>
  <c r="T758" i="2" s="1"/>
  <c r="S842" i="2"/>
  <c r="T842" i="2" s="1"/>
  <c r="S874" i="2"/>
  <c r="T874" i="2" s="1"/>
  <c r="S906" i="2"/>
  <c r="T906" i="2" s="1"/>
  <c r="S938" i="2"/>
  <c r="T938" i="2" s="1"/>
  <c r="S970" i="2"/>
  <c r="T970" i="2" s="1"/>
  <c r="S1002" i="2"/>
  <c r="T1002" i="2" s="1"/>
  <c r="S723" i="2"/>
  <c r="T723" i="2" s="1"/>
  <c r="S750" i="2"/>
  <c r="T750" i="2" s="1"/>
  <c r="S685" i="2"/>
  <c r="T685" i="2" s="1"/>
  <c r="S759" i="2"/>
  <c r="T759" i="2" s="1"/>
  <c r="S771" i="2"/>
  <c r="T771" i="2" s="1"/>
  <c r="S1022" i="2"/>
  <c r="T1022" i="2" s="1"/>
  <c r="S965" i="2"/>
  <c r="T965" i="2" s="1"/>
  <c r="S804" i="2"/>
  <c r="T804" i="2" s="1"/>
  <c r="S795" i="2"/>
  <c r="T795" i="2" s="1"/>
  <c r="S9" i="2"/>
  <c r="T9" i="2" s="1"/>
  <c r="S41" i="2"/>
  <c r="T41" i="2" s="1"/>
  <c r="S87" i="2"/>
  <c r="T87" i="2" s="1"/>
  <c r="S44" i="2"/>
  <c r="T44" i="2" s="1"/>
  <c r="S132" i="2"/>
  <c r="T132" i="2" s="1"/>
  <c r="S211" i="2"/>
  <c r="T211" i="2" s="1"/>
  <c r="S254" i="2"/>
  <c r="T254" i="2" s="1"/>
  <c r="S286" i="2"/>
  <c r="T286" i="2" s="1"/>
  <c r="S219" i="2"/>
  <c r="T219" i="2" s="1"/>
  <c r="S188" i="2"/>
  <c r="T188" i="2" s="1"/>
  <c r="S298" i="2"/>
  <c r="T298" i="2" s="1"/>
  <c r="S229" i="2"/>
  <c r="T229" i="2" s="1"/>
  <c r="S330" i="2"/>
  <c r="T330" i="2" s="1"/>
  <c r="S375" i="2"/>
  <c r="T375" i="2" s="1"/>
  <c r="S407" i="2"/>
  <c r="T407" i="2" s="1"/>
  <c r="S474" i="2"/>
  <c r="T474" i="2" s="1"/>
  <c r="S543" i="2"/>
  <c r="T543" i="2" s="1"/>
  <c r="S521" i="2"/>
  <c r="T521" i="2" s="1"/>
  <c r="S556" i="2"/>
  <c r="T556" i="2" s="1"/>
  <c r="S553" i="2"/>
  <c r="T553" i="2" s="1"/>
  <c r="S566" i="2"/>
  <c r="T566" i="2" s="1"/>
  <c r="S537" i="2"/>
  <c r="T537" i="2" s="1"/>
  <c r="S573" i="2"/>
  <c r="T573" i="2" s="1"/>
  <c r="S615" i="2"/>
  <c r="T615" i="2" s="1"/>
  <c r="S648" i="2"/>
  <c r="T648" i="2" s="1"/>
  <c r="S550" i="2"/>
  <c r="T550" i="2" s="1"/>
  <c r="S575" i="2"/>
  <c r="T575" i="2" s="1"/>
  <c r="S564" i="2"/>
  <c r="T564" i="2" s="1"/>
  <c r="S592" i="2"/>
  <c r="T592" i="2" s="1"/>
  <c r="S624" i="2"/>
  <c r="T624" i="2" s="1"/>
  <c r="S657" i="2"/>
  <c r="T657" i="2" s="1"/>
  <c r="S663" i="2"/>
  <c r="T663" i="2" s="1"/>
  <c r="S694" i="2"/>
  <c r="T694" i="2" s="1"/>
  <c r="S698" i="2"/>
  <c r="T698" i="2" s="1"/>
  <c r="S679" i="2"/>
  <c r="T679" i="2" s="1"/>
  <c r="S637" i="2"/>
  <c r="T637" i="2" s="1"/>
  <c r="S653" i="2"/>
  <c r="T653" i="2" s="1"/>
  <c r="S668" i="2"/>
  <c r="T668" i="2" s="1"/>
  <c r="S691" i="2"/>
  <c r="T691" i="2" s="1"/>
  <c r="S595" i="2"/>
  <c r="T595" i="2" s="1"/>
  <c r="S799" i="2"/>
  <c r="T799" i="2" s="1"/>
  <c r="S814" i="2"/>
  <c r="T814" i="2" s="1"/>
  <c r="S846" i="2"/>
  <c r="T846" i="2" s="1"/>
  <c r="S878" i="2"/>
  <c r="T878" i="2" s="1"/>
  <c r="S910" i="2"/>
  <c r="T910" i="2" s="1"/>
  <c r="S942" i="2"/>
  <c r="T942" i="2" s="1"/>
  <c r="S974" i="2"/>
  <c r="T974" i="2" s="1"/>
  <c r="S1006" i="2"/>
  <c r="T1006" i="2" s="1"/>
  <c r="S735" i="2"/>
  <c r="T735" i="2" s="1"/>
  <c r="S787" i="2"/>
  <c r="T787" i="2" s="1"/>
  <c r="S778" i="2"/>
  <c r="T778" i="2" s="1"/>
  <c r="S786" i="2"/>
  <c r="T786" i="2" s="1"/>
  <c r="S761" i="2"/>
  <c r="T761" i="2" s="1"/>
  <c r="S742" i="2"/>
  <c r="T742" i="2" s="1"/>
  <c r="S953" i="2"/>
  <c r="T953" i="2" s="1"/>
  <c r="S985" i="2"/>
  <c r="T985" i="2" s="1"/>
  <c r="S24" i="2"/>
  <c r="T24" i="2" s="1"/>
  <c r="S13" i="2"/>
  <c r="T13" i="2" s="1"/>
  <c r="S53" i="2"/>
  <c r="T53" i="2" s="1"/>
  <c r="S91" i="2"/>
  <c r="T91" i="2" s="1"/>
  <c r="S127" i="2"/>
  <c r="T127" i="2" s="1"/>
  <c r="S136" i="2"/>
  <c r="T136" i="2" s="1"/>
  <c r="S123" i="2"/>
  <c r="T123" i="2" s="1"/>
  <c r="S164" i="2"/>
  <c r="T164" i="2" s="1"/>
  <c r="S102" i="2"/>
  <c r="T102" i="2" s="1"/>
  <c r="S196" i="2"/>
  <c r="T196" i="2" s="1"/>
  <c r="S258" i="2"/>
  <c r="T258" i="2" s="1"/>
  <c r="S290" i="2"/>
  <c r="T290" i="2" s="1"/>
  <c r="S183" i="2"/>
  <c r="T183" i="2" s="1"/>
  <c r="S338" i="2"/>
  <c r="T338" i="2" s="1"/>
  <c r="S346" i="2"/>
  <c r="T346" i="2" s="1"/>
  <c r="S322" i="2"/>
  <c r="T322" i="2" s="1"/>
  <c r="S379" i="2"/>
  <c r="T379" i="2" s="1"/>
  <c r="S230" i="2"/>
  <c r="T230" i="2" s="1"/>
  <c r="S381" i="2"/>
  <c r="T381" i="2" s="1"/>
  <c r="S446" i="2"/>
  <c r="T446" i="2" s="1"/>
  <c r="S478" i="2"/>
  <c r="T478" i="2" s="1"/>
  <c r="S329" i="2"/>
  <c r="T329" i="2" s="1"/>
  <c r="S429" i="2"/>
  <c r="T429" i="2" s="1"/>
  <c r="S306" i="2"/>
  <c r="T306" i="2" s="1"/>
  <c r="S397" i="2"/>
  <c r="T397" i="2" s="1"/>
  <c r="S421" i="2"/>
  <c r="T421" i="2" s="1"/>
  <c r="S547" i="2"/>
  <c r="T547" i="2" s="1"/>
  <c r="S445" i="2"/>
  <c r="T445" i="2" s="1"/>
  <c r="S481" i="2"/>
  <c r="T481" i="2" s="1"/>
  <c r="S557" i="2"/>
  <c r="T557" i="2" s="1"/>
  <c r="S600" i="2"/>
  <c r="T600" i="2" s="1"/>
  <c r="S560" i="2"/>
  <c r="T560" i="2" s="1"/>
  <c r="S598" i="2"/>
  <c r="T598" i="2" s="1"/>
  <c r="S570" i="2"/>
  <c r="T570" i="2" s="1"/>
  <c r="S652" i="2"/>
  <c r="T652" i="2" s="1"/>
  <c r="S625" i="2"/>
  <c r="T625" i="2" s="1"/>
  <c r="S703" i="2"/>
  <c r="T703" i="2" s="1"/>
  <c r="S604" i="2"/>
  <c r="T604" i="2" s="1"/>
  <c r="S707" i="2"/>
  <c r="T707" i="2" s="1"/>
  <c r="S710" i="2"/>
  <c r="T710" i="2" s="1"/>
  <c r="S643" i="2"/>
  <c r="T643" i="2" s="1"/>
  <c r="S633" i="2"/>
  <c r="T633" i="2" s="1"/>
  <c r="S818" i="2"/>
  <c r="T818" i="2" s="1"/>
  <c r="S850" i="2"/>
  <c r="T850" i="2" s="1"/>
  <c r="S882" i="2"/>
  <c r="T882" i="2" s="1"/>
  <c r="S914" i="2"/>
  <c r="T914" i="2" s="1"/>
  <c r="S946" i="2"/>
  <c r="T946" i="2" s="1"/>
  <c r="S978" i="2"/>
  <c r="T978" i="2" s="1"/>
  <c r="S1010" i="2"/>
  <c r="T1010" i="2" s="1"/>
  <c r="S676" i="2"/>
  <c r="T676" i="2" s="1"/>
  <c r="S969" i="2"/>
  <c r="T969" i="2" s="1"/>
  <c r="S1024" i="2"/>
  <c r="T1024" i="2" s="1"/>
  <c r="S28" i="2"/>
  <c r="T28" i="2" s="1"/>
  <c r="S17" i="2"/>
  <c r="T17" i="2" s="1"/>
  <c r="S39" i="2"/>
  <c r="T39" i="2" s="1"/>
  <c r="S95" i="2"/>
  <c r="T95" i="2" s="1"/>
  <c r="S140" i="2"/>
  <c r="T140" i="2" s="1"/>
  <c r="S262" i="2"/>
  <c r="T262" i="2" s="1"/>
  <c r="S294" i="2"/>
  <c r="T294" i="2" s="1"/>
  <c r="S204" i="2"/>
  <c r="T204" i="2" s="1"/>
  <c r="S223" i="2"/>
  <c r="T223" i="2" s="1"/>
  <c r="S231" i="2"/>
  <c r="T231" i="2" s="1"/>
  <c r="S334" i="2"/>
  <c r="T334" i="2" s="1"/>
  <c r="S218" i="2"/>
  <c r="T218" i="2" s="1"/>
  <c r="S383" i="2"/>
  <c r="T383" i="2" s="1"/>
  <c r="S450" i="2"/>
  <c r="T450" i="2" s="1"/>
  <c r="S482" i="2"/>
  <c r="T482" i="2" s="1"/>
  <c r="S393" i="2"/>
  <c r="T393" i="2" s="1"/>
  <c r="S415" i="2"/>
  <c r="T415" i="2" s="1"/>
  <c r="S527" i="2"/>
  <c r="T527" i="2" s="1"/>
  <c r="S551" i="2"/>
  <c r="T551" i="2" s="1"/>
  <c r="S532" i="2"/>
  <c r="T532" i="2" s="1"/>
  <c r="S489" i="2"/>
  <c r="T489" i="2" s="1"/>
  <c r="S514" i="2"/>
  <c r="T514" i="2" s="1"/>
  <c r="S574" i="2"/>
  <c r="T574" i="2" s="1"/>
  <c r="S558" i="2"/>
  <c r="T558" i="2" s="1"/>
  <c r="S594" i="2"/>
  <c r="T594" i="2" s="1"/>
  <c r="S607" i="2"/>
  <c r="T607" i="2" s="1"/>
  <c r="S581" i="2"/>
  <c r="T581" i="2" s="1"/>
  <c r="S656" i="2"/>
  <c r="T656" i="2" s="1"/>
  <c r="S542" i="2"/>
  <c r="T542" i="2" s="1"/>
  <c r="S583" i="2"/>
  <c r="T583" i="2" s="1"/>
  <c r="S572" i="2"/>
  <c r="T572" i="2" s="1"/>
  <c r="S569" i="2"/>
  <c r="T569" i="2" s="1"/>
  <c r="S665" i="2"/>
  <c r="T665" i="2" s="1"/>
  <c r="S671" i="2"/>
  <c r="T671" i="2" s="1"/>
  <c r="S639" i="2"/>
  <c r="T639" i="2" s="1"/>
  <c r="S655" i="2"/>
  <c r="T655" i="2" s="1"/>
  <c r="S680" i="2"/>
  <c r="T680" i="2" s="1"/>
  <c r="S672" i="2"/>
  <c r="T672" i="2" s="1"/>
  <c r="S714" i="2"/>
  <c r="T714" i="2" s="1"/>
  <c r="S779" i="2"/>
  <c r="T779" i="2" s="1"/>
  <c r="S800" i="2"/>
  <c r="T800" i="2" s="1"/>
  <c r="S690" i="2"/>
  <c r="T690" i="2" s="1"/>
  <c r="S770" i="2"/>
  <c r="T770" i="2" s="1"/>
  <c r="S822" i="2"/>
  <c r="T822" i="2" s="1"/>
  <c r="S854" i="2"/>
  <c r="T854" i="2" s="1"/>
  <c r="S886" i="2"/>
  <c r="T886" i="2" s="1"/>
  <c r="S918" i="2"/>
  <c r="T918" i="2" s="1"/>
  <c r="S950" i="2"/>
  <c r="T950" i="2" s="1"/>
  <c r="S982" i="2"/>
  <c r="T982" i="2" s="1"/>
  <c r="S1014" i="2"/>
  <c r="T1014" i="2" s="1"/>
  <c r="S699" i="2"/>
  <c r="T699" i="2" s="1"/>
  <c r="S727" i="2"/>
  <c r="T727" i="2" s="1"/>
  <c r="S755" i="2"/>
  <c r="T755" i="2" s="1"/>
  <c r="S747" i="2"/>
  <c r="T747" i="2" s="1"/>
  <c r="S807" i="2"/>
  <c r="T807" i="2" s="1"/>
  <c r="S977" i="2"/>
  <c r="T977" i="2" s="1"/>
  <c r="S718" i="2"/>
  <c r="T718" i="2" s="1"/>
  <c r="S32" i="2"/>
  <c r="T32" i="2" s="1"/>
  <c r="S21" i="2"/>
  <c r="T21" i="2" s="1"/>
  <c r="S51" i="2"/>
  <c r="T51" i="2" s="1"/>
  <c r="S99" i="2"/>
  <c r="T99" i="2" s="1"/>
  <c r="S49" i="2"/>
  <c r="T49" i="2" s="1"/>
  <c r="S144" i="2"/>
  <c r="T144" i="2" s="1"/>
  <c r="S172" i="2"/>
  <c r="T172" i="2" s="1"/>
  <c r="S200" i="2"/>
  <c r="T200" i="2" s="1"/>
  <c r="S227" i="2"/>
  <c r="T227" i="2" s="1"/>
  <c r="S266" i="2"/>
  <c r="T266" i="2" s="1"/>
  <c r="S220" i="2"/>
  <c r="T220" i="2" s="1"/>
  <c r="S216" i="2"/>
  <c r="T216" i="2" s="1"/>
  <c r="S236" i="2"/>
  <c r="T236" i="2" s="1"/>
  <c r="S203" i="2"/>
  <c r="T203" i="2" s="1"/>
  <c r="S310" i="2"/>
  <c r="T310" i="2" s="1"/>
  <c r="S345" i="2"/>
  <c r="T345" i="2" s="1"/>
  <c r="S387" i="2"/>
  <c r="T387" i="2" s="1"/>
  <c r="S454" i="2"/>
  <c r="T454" i="2" s="1"/>
  <c r="S486" i="2"/>
  <c r="T486" i="2" s="1"/>
  <c r="S438" i="2"/>
  <c r="T438" i="2" s="1"/>
  <c r="S401" i="2"/>
  <c r="T401" i="2" s="1"/>
  <c r="S377" i="2"/>
  <c r="T377" i="2" s="1"/>
  <c r="S512" i="2"/>
  <c r="T512" i="2" s="1"/>
  <c r="S555" i="2"/>
  <c r="T555" i="2" s="1"/>
  <c r="S524" i="2"/>
  <c r="T524" i="2" s="1"/>
  <c r="S563" i="2"/>
  <c r="T563" i="2" s="1"/>
  <c r="S603" i="2"/>
  <c r="T603" i="2" s="1"/>
  <c r="S568" i="2"/>
  <c r="T568" i="2" s="1"/>
  <c r="S578" i="2"/>
  <c r="T578" i="2" s="1"/>
  <c r="S628" i="2"/>
  <c r="T628" i="2" s="1"/>
  <c r="S554" i="2"/>
  <c r="T554" i="2" s="1"/>
  <c r="S610" i="2"/>
  <c r="T610" i="2" s="1"/>
  <c r="S629" i="2"/>
  <c r="T629" i="2" s="1"/>
  <c r="S659" i="2"/>
  <c r="T659" i="2" s="1"/>
  <c r="S704" i="2"/>
  <c r="T704" i="2" s="1"/>
  <c r="S683" i="2"/>
  <c r="T683" i="2" s="1"/>
  <c r="S618" i="2"/>
  <c r="T618" i="2" s="1"/>
  <c r="S686" i="2"/>
  <c r="T686" i="2" s="1"/>
  <c r="S826" i="2"/>
  <c r="T826" i="2" s="1"/>
  <c r="S858" i="2"/>
  <c r="T858" i="2" s="1"/>
  <c r="S890" i="2"/>
  <c r="T890" i="2" s="1"/>
  <c r="S922" i="2"/>
  <c r="T922" i="2" s="1"/>
  <c r="S954" i="2"/>
  <c r="T954" i="2" s="1"/>
  <c r="S986" i="2"/>
  <c r="T986" i="2" s="1"/>
  <c r="S1018" i="2"/>
  <c r="T1018" i="2" s="1"/>
  <c r="S739" i="2"/>
  <c r="T739" i="2" s="1"/>
  <c r="S766" i="2"/>
  <c r="T766" i="2" s="1"/>
  <c r="S802" i="2"/>
  <c r="T802" i="2" s="1"/>
  <c r="S762" i="2"/>
  <c r="T762" i="2" s="1"/>
  <c r="S774" i="2"/>
  <c r="T774" i="2" s="1"/>
  <c r="S973" i="2"/>
  <c r="T973" i="2" s="1"/>
  <c r="S734" i="2"/>
  <c r="T734" i="2" s="1"/>
  <c r="S1017" i="2"/>
  <c r="T1017" i="2" s="1"/>
  <c r="S791" i="2"/>
  <c r="T791" i="2" s="1"/>
  <c r="S36" i="2"/>
  <c r="T36" i="2" s="1"/>
  <c r="S25" i="2"/>
  <c r="T25" i="2" s="1"/>
  <c r="S61" i="2"/>
  <c r="T61" i="2" s="1"/>
  <c r="S63" i="2"/>
  <c r="T63" i="2" s="1"/>
  <c r="S103" i="2"/>
  <c r="T103" i="2" s="1"/>
  <c r="S45" i="2"/>
  <c r="T45" i="2" s="1"/>
  <c r="S148" i="2"/>
  <c r="T148" i="2" s="1"/>
  <c r="S168" i="2"/>
  <c r="T168" i="2" s="1"/>
  <c r="S156" i="2"/>
  <c r="T156" i="2" s="1"/>
  <c r="S208" i="2"/>
  <c r="T208" i="2" s="1"/>
  <c r="S238" i="2"/>
  <c r="T238" i="2" s="1"/>
  <c r="S270" i="2"/>
  <c r="T270" i="2" s="1"/>
  <c r="S176" i="2"/>
  <c r="T176" i="2" s="1"/>
  <c r="S192" i="2"/>
  <c r="T192" i="2" s="1"/>
  <c r="S391" i="2"/>
  <c r="T391" i="2" s="1"/>
  <c r="S369" i="2"/>
  <c r="T369" i="2" s="1"/>
  <c r="S413" i="2"/>
  <c r="T413" i="2" s="1"/>
  <c r="S458" i="2"/>
  <c r="T458" i="2" s="1"/>
  <c r="S490" i="2"/>
  <c r="T490" i="2" s="1"/>
  <c r="S502" i="2"/>
  <c r="T502" i="2" s="1"/>
  <c r="S417" i="2"/>
  <c r="T417" i="2" s="1"/>
  <c r="S513" i="2"/>
  <c r="T513" i="2" s="1"/>
  <c r="S365" i="2"/>
  <c r="T365" i="2" s="1"/>
  <c r="S540" i="2"/>
  <c r="T540" i="2" s="1"/>
  <c r="S435" i="2"/>
  <c r="T435" i="2" s="1"/>
  <c r="S535" i="2"/>
  <c r="T535" i="2" s="1"/>
  <c r="S582" i="2"/>
  <c r="T582" i="2" s="1"/>
  <c r="S622" i="2"/>
  <c r="T622" i="2" s="1"/>
  <c r="S632" i="2"/>
  <c r="T632" i="2" s="1"/>
  <c r="S559" i="2"/>
  <c r="T559" i="2" s="1"/>
  <c r="S587" i="2"/>
  <c r="T587" i="2" s="1"/>
  <c r="S619" i="2"/>
  <c r="T619" i="2" s="1"/>
  <c r="S580" i="2"/>
  <c r="S673" i="2"/>
  <c r="T673" i="2" s="1"/>
  <c r="S702" i="2"/>
  <c r="T702" i="2" s="1"/>
  <c r="S586" i="2"/>
  <c r="T586" i="2" s="1"/>
  <c r="S645" i="2"/>
  <c r="T645" i="2" s="1"/>
  <c r="S526" i="2"/>
  <c r="T526" i="2" s="1"/>
  <c r="S660" i="2"/>
  <c r="T660" i="2" s="1"/>
  <c r="S577" i="2"/>
  <c r="T577" i="2" s="1"/>
  <c r="S695" i="2"/>
  <c r="T695" i="2" s="1"/>
  <c r="S746" i="2"/>
  <c r="T746" i="2" s="1"/>
  <c r="S830" i="2"/>
  <c r="T830" i="2" s="1"/>
  <c r="S862" i="2"/>
  <c r="T862" i="2" s="1"/>
  <c r="S894" i="2"/>
  <c r="T894" i="2" s="1"/>
  <c r="S926" i="2"/>
  <c r="T926" i="2" s="1"/>
  <c r="S958" i="2"/>
  <c r="T958" i="2" s="1"/>
  <c r="S990" i="2"/>
  <c r="T990" i="2" s="1"/>
  <c r="S649" i="2"/>
  <c r="T649" i="2" s="1"/>
  <c r="S719" i="2"/>
  <c r="T719" i="2" s="1"/>
  <c r="S790" i="2"/>
  <c r="T790" i="2" s="1"/>
  <c r="S775" i="2"/>
  <c r="T775" i="2" s="1"/>
  <c r="S783" i="2"/>
  <c r="T783" i="2" s="1"/>
  <c r="S806" i="2"/>
  <c r="T806" i="2" s="1"/>
  <c r="S754" i="2"/>
  <c r="T754" i="2" s="1"/>
  <c r="S730" i="2"/>
  <c r="T730" i="2" s="1"/>
  <c r="S1009" i="2"/>
  <c r="T1009" i="2" s="1"/>
  <c r="S722" i="2"/>
  <c r="T722" i="2" s="1"/>
  <c r="S726" i="2"/>
  <c r="T726" i="2" s="1"/>
  <c r="S8" i="2"/>
  <c r="T8" i="2" s="1"/>
  <c r="S29" i="2"/>
  <c r="T29" i="2" s="1"/>
  <c r="S75" i="2"/>
  <c r="T75" i="2" s="1"/>
  <c r="S152" i="2"/>
  <c r="T152" i="2" s="1"/>
  <c r="S98" i="2"/>
  <c r="T98" i="2" s="1"/>
  <c r="S111" i="2"/>
  <c r="T111" i="2" s="1"/>
  <c r="S242" i="2"/>
  <c r="T242" i="2" s="1"/>
  <c r="S274" i="2"/>
  <c r="T274" i="2" s="1"/>
  <c r="S175" i="2"/>
  <c r="T175" i="2" s="1"/>
  <c r="S179" i="2"/>
  <c r="T179" i="2" s="1"/>
  <c r="S212" i="2"/>
  <c r="T212" i="2" s="1"/>
  <c r="S326" i="2"/>
  <c r="T326" i="2" s="1"/>
  <c r="S184" i="2"/>
  <c r="T184" i="2" s="1"/>
  <c r="S363" i="2"/>
  <c r="T363" i="2" s="1"/>
  <c r="S395" i="2"/>
  <c r="T395" i="2" s="1"/>
  <c r="S409" i="2"/>
  <c r="T409" i="2" s="1"/>
  <c r="S462" i="2"/>
  <c r="T462" i="2" s="1"/>
  <c r="S494" i="2"/>
  <c r="T494" i="2" s="1"/>
  <c r="S425" i="2"/>
  <c r="T425" i="2" s="1"/>
  <c r="S405" i="2"/>
  <c r="T405" i="2" s="1"/>
  <c r="S350" i="2"/>
  <c r="T350" i="2" s="1"/>
  <c r="S529" i="2"/>
  <c r="T529" i="2" s="1"/>
  <c r="S506" i="2"/>
  <c r="S544" i="2"/>
  <c r="T544" i="2" s="1"/>
  <c r="S541" i="2"/>
  <c r="T541" i="2" s="1"/>
  <c r="S389" i="2"/>
  <c r="T389" i="2" s="1"/>
  <c r="S571" i="2"/>
  <c r="T571" i="2" s="1"/>
  <c r="S576" i="2"/>
  <c r="T576" i="2" s="1"/>
  <c r="S602" i="2"/>
  <c r="T602" i="2" s="1"/>
  <c r="S636" i="2"/>
  <c r="T636" i="2" s="1"/>
  <c r="S546" i="2"/>
  <c r="T546" i="2" s="1"/>
  <c r="S614" i="2"/>
  <c r="T614" i="2" s="1"/>
  <c r="S661" i="2"/>
  <c r="T661" i="2" s="1"/>
  <c r="S667" i="2"/>
  <c r="T667" i="2" s="1"/>
  <c r="S711" i="2"/>
  <c r="T711" i="2" s="1"/>
  <c r="S678" i="2"/>
  <c r="T678" i="2" s="1"/>
  <c r="S635" i="2"/>
  <c r="T635" i="2" s="1"/>
  <c r="S651" i="2"/>
  <c r="T651" i="2" s="1"/>
  <c r="S674" i="2"/>
  <c r="T674" i="2" s="1"/>
  <c r="S613" i="2"/>
  <c r="T613" i="2" s="1"/>
  <c r="S708" i="2"/>
  <c r="T708" i="2" s="1"/>
  <c r="S709" i="2"/>
  <c r="T709" i="2" s="1"/>
  <c r="S794" i="2"/>
  <c r="T794" i="2" s="1"/>
  <c r="S834" i="2"/>
  <c r="T834" i="2" s="1"/>
  <c r="S866" i="2"/>
  <c r="T866" i="2" s="1"/>
  <c r="S898" i="2"/>
  <c r="T898" i="2" s="1"/>
  <c r="S930" i="2"/>
  <c r="T930" i="2" s="1"/>
  <c r="S962" i="2"/>
  <c r="T962" i="2" s="1"/>
  <c r="S994" i="2"/>
  <c r="T994" i="2" s="1"/>
  <c r="S731" i="2"/>
  <c r="T731" i="2" s="1"/>
  <c r="S763" i="2"/>
  <c r="T763" i="2" s="1"/>
  <c r="S810" i="2"/>
  <c r="T810" i="2" s="1"/>
  <c r="S738" i="2"/>
  <c r="T738" i="2" s="1"/>
  <c r="T580" i="2"/>
  <c r="T506" i="2"/>
  <c r="T670" i="2"/>
  <c r="T501" i="2"/>
  <c r="T531" i="2"/>
  <c r="T626" i="2"/>
  <c r="T31" i="2"/>
  <c r="T151" i="2"/>
  <c r="T796" i="2"/>
  <c r="T491" i="2"/>
  <c r="T597" i="2"/>
  <c r="T801" i="2"/>
  <c r="T35" i="2"/>
  <c r="T68" i="2"/>
  <c r="T518" i="2"/>
  <c r="T497" i="2"/>
  <c r="T601" i="2"/>
  <c r="T15" i="2"/>
  <c r="T82" i="2"/>
  <c r="T94" i="2"/>
  <c r="T139" i="2"/>
  <c r="T56" i="2"/>
  <c r="T90" i="2"/>
  <c r="T143" i="2"/>
  <c r="T4" i="2"/>
  <c r="I87" i="2"/>
  <c r="I107" i="2"/>
  <c r="I127" i="2"/>
  <c r="I147" i="2"/>
  <c r="I167" i="2"/>
  <c r="I187" i="2"/>
  <c r="I279" i="2"/>
  <c r="I299" i="2"/>
  <c r="I319" i="2"/>
  <c r="I339" i="2"/>
  <c r="I359" i="2"/>
  <c r="I379" i="2"/>
  <c r="I639" i="2"/>
  <c r="I659" i="2"/>
  <c r="I679" i="2"/>
  <c r="I699" i="2"/>
  <c r="I719" i="2"/>
  <c r="I739" i="2"/>
  <c r="I759" i="2"/>
  <c r="I779" i="2"/>
  <c r="I799" i="2"/>
  <c r="I819" i="2"/>
  <c r="I839" i="2"/>
  <c r="I859" i="2"/>
  <c r="I879" i="2"/>
  <c r="I899" i="2"/>
  <c r="I919" i="2"/>
  <c r="I939" i="2"/>
  <c r="I959" i="2"/>
  <c r="I979" i="2"/>
  <c r="I999" i="2"/>
  <c r="I1019" i="2"/>
  <c r="I80" i="2"/>
  <c r="I100" i="2"/>
  <c r="I120" i="2"/>
  <c r="I140" i="2"/>
  <c r="I160" i="2"/>
  <c r="I180" i="2"/>
  <c r="I272" i="2"/>
  <c r="I292" i="2"/>
  <c r="I312" i="2"/>
  <c r="I352" i="2"/>
  <c r="I372" i="2"/>
  <c r="I332" i="2"/>
  <c r="I632" i="2"/>
  <c r="I652" i="2"/>
  <c r="I692" i="2"/>
  <c r="I712" i="2"/>
  <c r="I732" i="2"/>
  <c r="I752" i="2"/>
  <c r="I772" i="2"/>
  <c r="I792" i="2"/>
  <c r="I812" i="2"/>
  <c r="I832" i="2"/>
  <c r="I852" i="2"/>
  <c r="I872" i="2"/>
  <c r="I892" i="2"/>
  <c r="I912" i="2"/>
  <c r="I932" i="2"/>
  <c r="I672" i="2"/>
  <c r="I952" i="2"/>
  <c r="I992" i="2"/>
  <c r="I972" i="2"/>
  <c r="I1012" i="2"/>
  <c r="I41" i="2"/>
  <c r="I53" i="2"/>
  <c r="I65" i="2"/>
  <c r="I233" i="2"/>
  <c r="I245" i="2"/>
  <c r="I257" i="2"/>
  <c r="I47" i="2"/>
  <c r="I59" i="2"/>
  <c r="I71" i="2"/>
  <c r="I239" i="2"/>
  <c r="I251" i="2"/>
  <c r="I263" i="2"/>
  <c r="I515" i="2"/>
  <c r="I527" i="2"/>
  <c r="I539" i="2"/>
  <c r="I551" i="2"/>
  <c r="I563" i="2"/>
  <c r="I575" i="2"/>
  <c r="I587" i="2"/>
  <c r="I599" i="2"/>
  <c r="I611" i="2"/>
  <c r="I623" i="2"/>
  <c r="I509" i="2"/>
  <c r="I521" i="2"/>
  <c r="I533" i="2"/>
  <c r="I545" i="2"/>
  <c r="I557" i="2"/>
  <c r="I569" i="2"/>
  <c r="I581" i="2"/>
  <c r="I593" i="2"/>
  <c r="I605" i="2"/>
  <c r="I617" i="2"/>
  <c r="I13" i="2"/>
  <c r="I25" i="2"/>
  <c r="I37" i="2"/>
  <c r="I205" i="2"/>
  <c r="I217" i="2"/>
  <c r="I229" i="2"/>
  <c r="I7" i="2"/>
  <c r="I19" i="2"/>
  <c r="I31" i="2"/>
  <c r="I199" i="2"/>
  <c r="I211" i="2"/>
  <c r="I223" i="2"/>
  <c r="I391" i="2"/>
  <c r="I403" i="2"/>
  <c r="I415" i="2"/>
  <c r="I427" i="2"/>
  <c r="I439" i="2"/>
  <c r="I451" i="2"/>
  <c r="I463" i="2"/>
  <c r="I475" i="2"/>
  <c r="I487" i="2"/>
  <c r="I499" i="2"/>
  <c r="I397" i="2"/>
  <c r="I409" i="2"/>
  <c r="I421" i="2"/>
  <c r="I433" i="2"/>
  <c r="I445" i="2"/>
  <c r="I457" i="2"/>
  <c r="I469" i="2"/>
  <c r="I481" i="2"/>
  <c r="I493" i="2"/>
  <c r="I505" i="2"/>
  <c r="I82" i="2"/>
  <c r="I102" i="2"/>
  <c r="I122" i="2"/>
  <c r="I142" i="2"/>
  <c r="I162" i="2"/>
  <c r="I182" i="2"/>
  <c r="I274" i="2"/>
  <c r="I294" i="2"/>
  <c r="I314" i="2"/>
  <c r="I334" i="2"/>
  <c r="I694" i="2"/>
  <c r="I714" i="2"/>
  <c r="I734" i="2"/>
  <c r="I754" i="2"/>
  <c r="I774" i="2"/>
  <c r="I794" i="2"/>
  <c r="I814" i="2"/>
  <c r="I834" i="2"/>
  <c r="I854" i="2"/>
  <c r="I874" i="2"/>
  <c r="I894" i="2"/>
  <c r="I914" i="2"/>
  <c r="I934" i="2"/>
  <c r="I954" i="2"/>
  <c r="I354" i="2"/>
  <c r="I674" i="2"/>
  <c r="I374" i="2"/>
  <c r="I634" i="2"/>
  <c r="I654" i="2"/>
  <c r="I974" i="2"/>
  <c r="I994" i="2"/>
  <c r="I1014" i="2"/>
  <c r="I95" i="2"/>
  <c r="I115" i="2"/>
  <c r="I135" i="2"/>
  <c r="I155" i="2"/>
  <c r="I175" i="2"/>
  <c r="I195" i="2"/>
  <c r="I287" i="2"/>
  <c r="I307" i="2"/>
  <c r="I327" i="2"/>
  <c r="I347" i="2"/>
  <c r="I367" i="2"/>
  <c r="I387" i="2"/>
  <c r="I647" i="2"/>
  <c r="I667" i="2"/>
  <c r="I687" i="2"/>
  <c r="I707" i="2"/>
  <c r="I727" i="2"/>
  <c r="I747" i="2"/>
  <c r="I767" i="2"/>
  <c r="I787" i="2"/>
  <c r="I807" i="2"/>
  <c r="I827" i="2"/>
  <c r="I847" i="2"/>
  <c r="I867" i="2"/>
  <c r="I887" i="2"/>
  <c r="I907" i="2"/>
  <c r="I927" i="2"/>
  <c r="I947" i="2"/>
  <c r="I967" i="2"/>
  <c r="I987" i="2"/>
  <c r="I1007" i="2"/>
  <c r="I1027" i="2"/>
  <c r="I14" i="2"/>
  <c r="I26" i="2"/>
  <c r="I38" i="2"/>
  <c r="I206" i="2"/>
  <c r="I218" i="2"/>
  <c r="I230" i="2"/>
  <c r="I8" i="2"/>
  <c r="I20" i="2"/>
  <c r="I32" i="2"/>
  <c r="I200" i="2"/>
  <c r="I212" i="2"/>
  <c r="I224" i="2"/>
  <c r="I392" i="2"/>
  <c r="I404" i="2"/>
  <c r="I416" i="2"/>
  <c r="I428" i="2"/>
  <c r="I440" i="2"/>
  <c r="I452" i="2"/>
  <c r="I464" i="2"/>
  <c r="I476" i="2"/>
  <c r="I488" i="2"/>
  <c r="I500" i="2"/>
  <c r="I398" i="2"/>
  <c r="I494" i="2"/>
  <c r="I482" i="2"/>
  <c r="I470" i="2"/>
  <c r="I458" i="2"/>
  <c r="I446" i="2"/>
  <c r="I434" i="2"/>
  <c r="I422" i="2"/>
  <c r="I410" i="2"/>
  <c r="I506" i="2"/>
  <c r="I9" i="2"/>
  <c r="I21" i="2"/>
  <c r="I33" i="2"/>
  <c r="I201" i="2"/>
  <c r="I213" i="2"/>
  <c r="I225" i="2"/>
  <c r="I15" i="2"/>
  <c r="I27" i="2"/>
  <c r="I39" i="2"/>
  <c r="I207" i="2"/>
  <c r="I219" i="2"/>
  <c r="I231" i="2"/>
  <c r="I399" i="2"/>
  <c r="I411" i="2"/>
  <c r="I423" i="2"/>
  <c r="I435" i="2"/>
  <c r="I447" i="2"/>
  <c r="I459" i="2"/>
  <c r="I471" i="2"/>
  <c r="I483" i="2"/>
  <c r="I495" i="2"/>
  <c r="I507" i="2"/>
  <c r="I393" i="2"/>
  <c r="I405" i="2"/>
  <c r="I417" i="2"/>
  <c r="I429" i="2"/>
  <c r="I441" i="2"/>
  <c r="I453" i="2"/>
  <c r="I465" i="2"/>
  <c r="I477" i="2"/>
  <c r="I489" i="2"/>
  <c r="I501" i="2"/>
  <c r="I81" i="2"/>
  <c r="I101" i="2"/>
  <c r="I121" i="2"/>
  <c r="I141" i="2"/>
  <c r="I161" i="2"/>
  <c r="I181" i="2"/>
  <c r="I273" i="2"/>
  <c r="I293" i="2"/>
  <c r="I313" i="2"/>
  <c r="I333" i="2"/>
  <c r="I353" i="2"/>
  <c r="I373" i="2"/>
  <c r="I633" i="2"/>
  <c r="I653" i="2"/>
  <c r="I693" i="2"/>
  <c r="I713" i="2"/>
  <c r="I733" i="2"/>
  <c r="I753" i="2"/>
  <c r="I773" i="2"/>
  <c r="I793" i="2"/>
  <c r="I813" i="2"/>
  <c r="I833" i="2"/>
  <c r="I853" i="2"/>
  <c r="I873" i="2"/>
  <c r="I893" i="2"/>
  <c r="I913" i="2"/>
  <c r="I933" i="2"/>
  <c r="I673" i="2"/>
  <c r="I953" i="2"/>
  <c r="I973" i="2"/>
  <c r="I993" i="2"/>
  <c r="I1013" i="2"/>
  <c r="I93" i="2"/>
  <c r="I113" i="2"/>
  <c r="I133" i="2"/>
  <c r="I153" i="2"/>
  <c r="I173" i="2"/>
  <c r="I193" i="2"/>
  <c r="I285" i="2"/>
  <c r="I305" i="2"/>
  <c r="I325" i="2"/>
  <c r="I345" i="2"/>
  <c r="I365" i="2"/>
  <c r="I385" i="2"/>
  <c r="I665" i="2"/>
  <c r="I645" i="2"/>
  <c r="I685" i="2"/>
  <c r="I705" i="2"/>
  <c r="I725" i="2"/>
  <c r="I745" i="2"/>
  <c r="I765" i="2"/>
  <c r="I785" i="2"/>
  <c r="I805" i="2"/>
  <c r="I825" i="2"/>
  <c r="I845" i="2"/>
  <c r="I865" i="2"/>
  <c r="I885" i="2"/>
  <c r="I905" i="2"/>
  <c r="I925" i="2"/>
  <c r="I945" i="2"/>
  <c r="I985" i="2"/>
  <c r="I1005" i="2"/>
  <c r="I1025" i="2"/>
  <c r="I965" i="2"/>
  <c r="I49" i="2"/>
  <c r="I61" i="2"/>
  <c r="I73" i="2"/>
  <c r="I241" i="2"/>
  <c r="I253" i="2"/>
  <c r="I265" i="2"/>
  <c r="I43" i="2"/>
  <c r="I55" i="2"/>
  <c r="I67" i="2"/>
  <c r="I235" i="2"/>
  <c r="I247" i="2"/>
  <c r="I259" i="2"/>
  <c r="I511" i="2"/>
  <c r="I523" i="2"/>
  <c r="I535" i="2"/>
  <c r="I547" i="2"/>
  <c r="I559" i="2"/>
  <c r="I571" i="2"/>
  <c r="I583" i="2"/>
  <c r="I595" i="2"/>
  <c r="I607" i="2"/>
  <c r="I619" i="2"/>
  <c r="I517" i="2"/>
  <c r="I529" i="2"/>
  <c r="I541" i="2"/>
  <c r="I553" i="2"/>
  <c r="I565" i="2"/>
  <c r="I577" i="2"/>
  <c r="I589" i="2"/>
  <c r="I601" i="2"/>
  <c r="I613" i="2"/>
  <c r="I625" i="2"/>
  <c r="I89" i="2"/>
  <c r="I109" i="2"/>
  <c r="I129" i="2"/>
  <c r="I149" i="2"/>
  <c r="I169" i="2"/>
  <c r="I189" i="2"/>
  <c r="I281" i="2"/>
  <c r="I301" i="2"/>
  <c r="I321" i="2"/>
  <c r="I341" i="2"/>
  <c r="I361" i="2"/>
  <c r="I381" i="2"/>
  <c r="I661" i="2"/>
  <c r="I681" i="2"/>
  <c r="I701" i="2"/>
  <c r="I721" i="2"/>
  <c r="I741" i="2"/>
  <c r="I761" i="2"/>
  <c r="I781" i="2"/>
  <c r="I801" i="2"/>
  <c r="I821" i="2"/>
  <c r="I841" i="2"/>
  <c r="I861" i="2"/>
  <c r="I881" i="2"/>
  <c r="I901" i="2"/>
  <c r="I921" i="2"/>
  <c r="I941" i="2"/>
  <c r="I641" i="2"/>
  <c r="I961" i="2"/>
  <c r="I981" i="2"/>
  <c r="I1001" i="2"/>
  <c r="I1021" i="2"/>
  <c r="I79" i="2"/>
  <c r="I99" i="2"/>
  <c r="I119" i="2"/>
  <c r="I139" i="2"/>
  <c r="I159" i="2"/>
  <c r="I179" i="2"/>
  <c r="I271" i="2"/>
  <c r="I291" i="2"/>
  <c r="I311" i="2"/>
  <c r="I331" i="2"/>
  <c r="I351" i="2"/>
  <c r="I371" i="2"/>
  <c r="I631" i="2"/>
  <c r="I651" i="2"/>
  <c r="I671" i="2"/>
  <c r="I691" i="2"/>
  <c r="I711" i="2"/>
  <c r="I731" i="2"/>
  <c r="I751" i="2"/>
  <c r="I771" i="2"/>
  <c r="I791" i="2"/>
  <c r="I811" i="2"/>
  <c r="I831" i="2"/>
  <c r="I851" i="2"/>
  <c r="I871" i="2"/>
  <c r="I891" i="2"/>
  <c r="I911" i="2"/>
  <c r="I931" i="2"/>
  <c r="I951" i="2"/>
  <c r="I971" i="2"/>
  <c r="I991" i="2"/>
  <c r="I1011" i="2"/>
  <c r="I46" i="2"/>
  <c r="I58" i="2"/>
  <c r="I70" i="2"/>
  <c r="I238" i="2"/>
  <c r="I250" i="2"/>
  <c r="I262" i="2"/>
  <c r="I40" i="2"/>
  <c r="I52" i="2"/>
  <c r="I64" i="2"/>
  <c r="I232" i="2"/>
  <c r="I244" i="2"/>
  <c r="I256" i="2"/>
  <c r="I508" i="2"/>
  <c r="I520" i="2"/>
  <c r="I532" i="2"/>
  <c r="I544" i="2"/>
  <c r="I526" i="2"/>
  <c r="I568" i="2"/>
  <c r="I616" i="2"/>
  <c r="I514" i="2"/>
  <c r="I574" i="2"/>
  <c r="I622" i="2"/>
  <c r="I580" i="2"/>
  <c r="I586" i="2"/>
  <c r="I592" i="2"/>
  <c r="I598" i="2"/>
  <c r="I550" i="2"/>
  <c r="I556" i="2"/>
  <c r="I604" i="2"/>
  <c r="I610" i="2"/>
  <c r="I538" i="2"/>
  <c r="I562" i="2"/>
  <c r="I76" i="2"/>
  <c r="I96" i="2"/>
  <c r="I116" i="2"/>
  <c r="I136" i="2"/>
  <c r="I156" i="2"/>
  <c r="I176" i="2"/>
  <c r="I268" i="2"/>
  <c r="I348" i="2"/>
  <c r="I368" i="2"/>
  <c r="I288" i="2"/>
  <c r="I308" i="2"/>
  <c r="I628" i="2"/>
  <c r="I648" i="2"/>
  <c r="I328" i="2"/>
  <c r="I688" i="2"/>
  <c r="I708" i="2"/>
  <c r="I728" i="2"/>
  <c r="I748" i="2"/>
  <c r="I768" i="2"/>
  <c r="I788" i="2"/>
  <c r="I808" i="2"/>
  <c r="I828" i="2"/>
  <c r="I848" i="2"/>
  <c r="I868" i="2"/>
  <c r="I888" i="2"/>
  <c r="I908" i="2"/>
  <c r="I928" i="2"/>
  <c r="I668" i="2"/>
  <c r="I948" i="2"/>
  <c r="I968" i="2"/>
  <c r="I988" i="2"/>
  <c r="I1008" i="2"/>
  <c r="I77" i="2"/>
  <c r="I97" i="2"/>
  <c r="I117" i="2"/>
  <c r="I137" i="2"/>
  <c r="I157" i="2"/>
  <c r="I177" i="2"/>
  <c r="I269" i="2"/>
  <c r="I289" i="2"/>
  <c r="I309" i="2"/>
  <c r="I329" i="2"/>
  <c r="I349" i="2"/>
  <c r="I369" i="2"/>
  <c r="I629" i="2"/>
  <c r="I669" i="2"/>
  <c r="I649" i="2"/>
  <c r="I689" i="2"/>
  <c r="I709" i="2"/>
  <c r="I729" i="2"/>
  <c r="I749" i="2"/>
  <c r="I769" i="2"/>
  <c r="I789" i="2"/>
  <c r="I809" i="2"/>
  <c r="I829" i="2"/>
  <c r="I849" i="2"/>
  <c r="I869" i="2"/>
  <c r="I889" i="2"/>
  <c r="I909" i="2"/>
  <c r="I929" i="2"/>
  <c r="I949" i="2"/>
  <c r="I969" i="2"/>
  <c r="I989" i="2"/>
  <c r="I1009" i="2"/>
  <c r="I45" i="2"/>
  <c r="I57" i="2"/>
  <c r="I69" i="2"/>
  <c r="I237" i="2"/>
  <c r="I249" i="2"/>
  <c r="I261" i="2"/>
  <c r="I51" i="2"/>
  <c r="I63" i="2"/>
  <c r="I75" i="2"/>
  <c r="I243" i="2"/>
  <c r="I255" i="2"/>
  <c r="I267" i="2"/>
  <c r="I519" i="2"/>
  <c r="I531" i="2"/>
  <c r="I543" i="2"/>
  <c r="I555" i="2"/>
  <c r="I567" i="2"/>
  <c r="I579" i="2"/>
  <c r="I591" i="2"/>
  <c r="I603" i="2"/>
  <c r="I615" i="2"/>
  <c r="I627" i="2"/>
  <c r="I513" i="2"/>
  <c r="I525" i="2"/>
  <c r="I537" i="2"/>
  <c r="I549" i="2"/>
  <c r="I561" i="2"/>
  <c r="I573" i="2"/>
  <c r="I585" i="2"/>
  <c r="I597" i="2"/>
  <c r="I609" i="2"/>
  <c r="I621" i="2"/>
  <c r="I6" i="2"/>
  <c r="I18" i="2"/>
  <c r="I30" i="2"/>
  <c r="I198" i="2"/>
  <c r="I210" i="2"/>
  <c r="I222" i="2"/>
  <c r="I12" i="2"/>
  <c r="I24" i="2"/>
  <c r="I36" i="2"/>
  <c r="I204" i="2"/>
  <c r="I216" i="2"/>
  <c r="I228" i="2"/>
  <c r="I396" i="2"/>
  <c r="I408" i="2"/>
  <c r="I420" i="2"/>
  <c r="I432" i="2"/>
  <c r="I444" i="2"/>
  <c r="I456" i="2"/>
  <c r="I468" i="2"/>
  <c r="I480" i="2"/>
  <c r="I492" i="2"/>
  <c r="I504" i="2"/>
  <c r="I462" i="2"/>
  <c r="I450" i="2"/>
  <c r="I438" i="2"/>
  <c r="I426" i="2"/>
  <c r="I414" i="2"/>
  <c r="I402" i="2"/>
  <c r="I498" i="2"/>
  <c r="I390" i="2"/>
  <c r="I486" i="2"/>
  <c r="I474" i="2"/>
  <c r="I85" i="2"/>
  <c r="I105" i="2"/>
  <c r="I125" i="2"/>
  <c r="I145" i="2"/>
  <c r="I165" i="2"/>
  <c r="I185" i="2"/>
  <c r="I277" i="2"/>
  <c r="I297" i="2"/>
  <c r="I317" i="2"/>
  <c r="I337" i="2"/>
  <c r="I357" i="2"/>
  <c r="I377" i="2"/>
  <c r="I637" i="2"/>
  <c r="I657" i="2"/>
  <c r="I677" i="2"/>
  <c r="I697" i="2"/>
  <c r="I717" i="2"/>
  <c r="I737" i="2"/>
  <c r="I757" i="2"/>
  <c r="I777" i="2"/>
  <c r="I797" i="2"/>
  <c r="I817" i="2"/>
  <c r="I837" i="2"/>
  <c r="I857" i="2"/>
  <c r="I877" i="2"/>
  <c r="I897" i="2"/>
  <c r="I917" i="2"/>
  <c r="I937" i="2"/>
  <c r="I957" i="2"/>
  <c r="I977" i="2"/>
  <c r="I997" i="2"/>
  <c r="I1017" i="2"/>
  <c r="I94" i="2"/>
  <c r="I114" i="2"/>
  <c r="I134" i="2"/>
  <c r="I154" i="2"/>
  <c r="I174" i="2"/>
  <c r="I194" i="2"/>
  <c r="I286" i="2"/>
  <c r="I306" i="2"/>
  <c r="I326" i="2"/>
  <c r="I366" i="2"/>
  <c r="I646" i="2"/>
  <c r="I686" i="2"/>
  <c r="I706" i="2"/>
  <c r="I726" i="2"/>
  <c r="I746" i="2"/>
  <c r="I766" i="2"/>
  <c r="I786" i="2"/>
  <c r="I806" i="2"/>
  <c r="I826" i="2"/>
  <c r="I846" i="2"/>
  <c r="I866" i="2"/>
  <c r="I886" i="2"/>
  <c r="I906" i="2"/>
  <c r="I926" i="2"/>
  <c r="I946" i="2"/>
  <c r="I386" i="2"/>
  <c r="I666" i="2"/>
  <c r="I986" i="2"/>
  <c r="I1006" i="2"/>
  <c r="I1026" i="2"/>
  <c r="I966" i="2"/>
  <c r="I346" i="2"/>
  <c r="I92" i="2"/>
  <c r="I112" i="2"/>
  <c r="I132" i="2"/>
  <c r="I152" i="2"/>
  <c r="I172" i="2"/>
  <c r="I192" i="2"/>
  <c r="I284" i="2"/>
  <c r="I304" i="2"/>
  <c r="I324" i="2"/>
  <c r="I344" i="2"/>
  <c r="I364" i="2"/>
  <c r="I384" i="2"/>
  <c r="I644" i="2"/>
  <c r="I684" i="2"/>
  <c r="I704" i="2"/>
  <c r="I724" i="2"/>
  <c r="I744" i="2"/>
  <c r="I764" i="2"/>
  <c r="I784" i="2"/>
  <c r="I804" i="2"/>
  <c r="I824" i="2"/>
  <c r="I844" i="2"/>
  <c r="I864" i="2"/>
  <c r="I884" i="2"/>
  <c r="I904" i="2"/>
  <c r="I924" i="2"/>
  <c r="I1004" i="2"/>
  <c r="I664" i="2"/>
  <c r="I984" i="2"/>
  <c r="I1024" i="2"/>
  <c r="I944" i="2"/>
  <c r="I964" i="2"/>
  <c r="I10" i="2"/>
  <c r="I22" i="2"/>
  <c r="I34" i="2"/>
  <c r="I202" i="2"/>
  <c r="I214" i="2"/>
  <c r="I226" i="2"/>
  <c r="I16" i="2"/>
  <c r="I28" i="2"/>
  <c r="I196" i="2"/>
  <c r="I208" i="2"/>
  <c r="I220" i="2"/>
  <c r="I388" i="2"/>
  <c r="I400" i="2"/>
  <c r="I412" i="2"/>
  <c r="I424" i="2"/>
  <c r="I436" i="2"/>
  <c r="I448" i="2"/>
  <c r="I460" i="2"/>
  <c r="I472" i="2"/>
  <c r="I484" i="2"/>
  <c r="I496" i="2"/>
  <c r="I430" i="2"/>
  <c r="I418" i="2"/>
  <c r="I406" i="2"/>
  <c r="I502" i="2"/>
  <c r="I394" i="2"/>
  <c r="I490" i="2"/>
  <c r="I478" i="2"/>
  <c r="I466" i="2"/>
  <c r="I454" i="2"/>
  <c r="I442" i="2"/>
  <c r="I88" i="2"/>
  <c r="I108" i="2"/>
  <c r="I128" i="2"/>
  <c r="I148" i="2"/>
  <c r="I168" i="2"/>
  <c r="I188" i="2"/>
  <c r="I280" i="2"/>
  <c r="I360" i="2"/>
  <c r="I380" i="2"/>
  <c r="I300" i="2"/>
  <c r="I320" i="2"/>
  <c r="I340" i="2"/>
  <c r="I660" i="2"/>
  <c r="I680" i="2"/>
  <c r="I700" i="2"/>
  <c r="I720" i="2"/>
  <c r="I740" i="2"/>
  <c r="I760" i="2"/>
  <c r="I780" i="2"/>
  <c r="I800" i="2"/>
  <c r="I820" i="2"/>
  <c r="I840" i="2"/>
  <c r="I860" i="2"/>
  <c r="I880" i="2"/>
  <c r="I900" i="2"/>
  <c r="I920" i="2"/>
  <c r="I640" i="2"/>
  <c r="I940" i="2"/>
  <c r="I1000" i="2"/>
  <c r="I980" i="2"/>
  <c r="I1020" i="2"/>
  <c r="I960" i="2"/>
  <c r="I83" i="2"/>
  <c r="I103" i="2"/>
  <c r="I123" i="2"/>
  <c r="I143" i="2"/>
  <c r="I163" i="2"/>
  <c r="I183" i="2"/>
  <c r="I275" i="2"/>
  <c r="I295" i="2"/>
  <c r="I315" i="2"/>
  <c r="I335" i="2"/>
  <c r="I355" i="2"/>
  <c r="I375" i="2"/>
  <c r="I635" i="2"/>
  <c r="I655" i="2"/>
  <c r="I675" i="2"/>
  <c r="I695" i="2"/>
  <c r="I715" i="2"/>
  <c r="I735" i="2"/>
  <c r="I755" i="2"/>
  <c r="I775" i="2"/>
  <c r="I795" i="2"/>
  <c r="I815" i="2"/>
  <c r="I835" i="2"/>
  <c r="I855" i="2"/>
  <c r="I875" i="2"/>
  <c r="I895" i="2"/>
  <c r="I915" i="2"/>
  <c r="I935" i="2"/>
  <c r="I955" i="2"/>
  <c r="I975" i="2"/>
  <c r="I995" i="2"/>
  <c r="I1015" i="2"/>
  <c r="I42" i="2"/>
  <c r="I54" i="2"/>
  <c r="I66" i="2"/>
  <c r="I234" i="2"/>
  <c r="I246" i="2"/>
  <c r="I258" i="2"/>
  <c r="I48" i="2"/>
  <c r="I60" i="2"/>
  <c r="I72" i="2"/>
  <c r="I240" i="2"/>
  <c r="I252" i="2"/>
  <c r="I264" i="2"/>
  <c r="I516" i="2"/>
  <c r="I528" i="2"/>
  <c r="I540" i="2"/>
  <c r="I552" i="2"/>
  <c r="I600" i="2"/>
  <c r="I546" i="2"/>
  <c r="I558" i="2"/>
  <c r="I606" i="2"/>
  <c r="I534" i="2"/>
  <c r="I564" i="2"/>
  <c r="I612" i="2"/>
  <c r="I522" i="2"/>
  <c r="I570" i="2"/>
  <c r="I618" i="2"/>
  <c r="I510" i="2"/>
  <c r="I576" i="2"/>
  <c r="I624" i="2"/>
  <c r="I582" i="2"/>
  <c r="I588" i="2"/>
  <c r="I594" i="2"/>
  <c r="I50" i="2"/>
  <c r="I62" i="2"/>
  <c r="I74" i="2"/>
  <c r="I242" i="2"/>
  <c r="I254" i="2"/>
  <c r="I266" i="2"/>
  <c r="I44" i="2"/>
  <c r="I56" i="2"/>
  <c r="I68" i="2"/>
  <c r="I236" i="2"/>
  <c r="I248" i="2"/>
  <c r="I260" i="2"/>
  <c r="I512" i="2"/>
  <c r="I524" i="2"/>
  <c r="I536" i="2"/>
  <c r="I548" i="2"/>
  <c r="I584" i="2"/>
  <c r="I590" i="2"/>
  <c r="I596" i="2"/>
  <c r="I554" i="2"/>
  <c r="I602" i="2"/>
  <c r="I542" i="2"/>
  <c r="I560" i="2"/>
  <c r="I608" i="2"/>
  <c r="I530" i="2"/>
  <c r="I566" i="2"/>
  <c r="I614" i="2"/>
  <c r="I518" i="2"/>
  <c r="I572" i="2"/>
  <c r="I620" i="2"/>
  <c r="I626" i="2"/>
  <c r="I578" i="2"/>
  <c r="I84" i="2"/>
  <c r="I104" i="2"/>
  <c r="I124" i="2"/>
  <c r="I144" i="2"/>
  <c r="I164" i="2"/>
  <c r="I184" i="2"/>
  <c r="I276" i="2"/>
  <c r="I316" i="2"/>
  <c r="I336" i="2"/>
  <c r="I356" i="2"/>
  <c r="I376" i="2"/>
  <c r="I656" i="2"/>
  <c r="I296" i="2"/>
  <c r="I676" i="2"/>
  <c r="I696" i="2"/>
  <c r="I716" i="2"/>
  <c r="I736" i="2"/>
  <c r="I756" i="2"/>
  <c r="I776" i="2"/>
  <c r="I796" i="2"/>
  <c r="I816" i="2"/>
  <c r="I836" i="2"/>
  <c r="I856" i="2"/>
  <c r="I876" i="2"/>
  <c r="I896" i="2"/>
  <c r="I916" i="2"/>
  <c r="I636" i="2"/>
  <c r="I956" i="2"/>
  <c r="I996" i="2"/>
  <c r="I936" i="2"/>
  <c r="I976" i="2"/>
  <c r="I1016" i="2"/>
  <c r="I90" i="2"/>
  <c r="I110" i="2"/>
  <c r="I130" i="2"/>
  <c r="I150" i="2"/>
  <c r="I170" i="2"/>
  <c r="I190" i="2"/>
  <c r="I282" i="2"/>
  <c r="I302" i="2"/>
  <c r="I322" i="2"/>
  <c r="I342" i="2"/>
  <c r="I682" i="2"/>
  <c r="I702" i="2"/>
  <c r="I722" i="2"/>
  <c r="I742" i="2"/>
  <c r="I762" i="2"/>
  <c r="I782" i="2"/>
  <c r="I802" i="2"/>
  <c r="I822" i="2"/>
  <c r="I842" i="2"/>
  <c r="I862" i="2"/>
  <c r="I882" i="2"/>
  <c r="I902" i="2"/>
  <c r="I922" i="2"/>
  <c r="I942" i="2"/>
  <c r="I642" i="2"/>
  <c r="I362" i="2"/>
  <c r="I382" i="2"/>
  <c r="I662" i="2"/>
  <c r="I982" i="2"/>
  <c r="I1002" i="2"/>
  <c r="I1022" i="2"/>
  <c r="I962" i="2"/>
  <c r="I5" i="2"/>
  <c r="I17" i="2"/>
  <c r="I29" i="2"/>
  <c r="I197" i="2"/>
  <c r="I209" i="2"/>
  <c r="I221" i="2"/>
  <c r="I11" i="2"/>
  <c r="I23" i="2"/>
  <c r="I35" i="2"/>
  <c r="I203" i="2"/>
  <c r="I215" i="2"/>
  <c r="I227" i="2"/>
  <c r="I395" i="2"/>
  <c r="I407" i="2"/>
  <c r="I419" i="2"/>
  <c r="I431" i="2"/>
  <c r="I443" i="2"/>
  <c r="I455" i="2"/>
  <c r="I467" i="2"/>
  <c r="I479" i="2"/>
  <c r="I491" i="2"/>
  <c r="I503" i="2"/>
  <c r="I389" i="2"/>
  <c r="I401" i="2"/>
  <c r="I413" i="2"/>
  <c r="I425" i="2"/>
  <c r="I437" i="2"/>
  <c r="I449" i="2"/>
  <c r="I461" i="2"/>
  <c r="I473" i="2"/>
  <c r="I485" i="2"/>
  <c r="I497" i="2"/>
  <c r="I78" i="2"/>
  <c r="I98" i="2"/>
  <c r="I118" i="2"/>
  <c r="I138" i="2"/>
  <c r="I158" i="2"/>
  <c r="I178" i="2"/>
  <c r="I270" i="2"/>
  <c r="I290" i="2"/>
  <c r="I310" i="2"/>
  <c r="I330" i="2"/>
  <c r="I690" i="2"/>
  <c r="I710" i="2"/>
  <c r="I730" i="2"/>
  <c r="I750" i="2"/>
  <c r="I770" i="2"/>
  <c r="I790" i="2"/>
  <c r="I810" i="2"/>
  <c r="I830" i="2"/>
  <c r="I850" i="2"/>
  <c r="I870" i="2"/>
  <c r="I890" i="2"/>
  <c r="I910" i="2"/>
  <c r="I930" i="2"/>
  <c r="I950" i="2"/>
  <c r="I670" i="2"/>
  <c r="I350" i="2"/>
  <c r="I370" i="2"/>
  <c r="I630" i="2"/>
  <c r="I970" i="2"/>
  <c r="I990" i="2"/>
  <c r="I1010" i="2"/>
  <c r="I650" i="2"/>
  <c r="I86" i="2"/>
  <c r="I106" i="2"/>
  <c r="I126" i="2"/>
  <c r="I146" i="2"/>
  <c r="I166" i="2"/>
  <c r="I186" i="2"/>
  <c r="I278" i="2"/>
  <c r="I298" i="2"/>
  <c r="I318" i="2"/>
  <c r="I338" i="2"/>
  <c r="I678" i="2"/>
  <c r="I698" i="2"/>
  <c r="I718" i="2"/>
  <c r="I738" i="2"/>
  <c r="I758" i="2"/>
  <c r="I778" i="2"/>
  <c r="I798" i="2"/>
  <c r="I818" i="2"/>
  <c r="I838" i="2"/>
  <c r="I858" i="2"/>
  <c r="I878" i="2"/>
  <c r="I898" i="2"/>
  <c r="I918" i="2"/>
  <c r="I938" i="2"/>
  <c r="I638" i="2"/>
  <c r="I658" i="2"/>
  <c r="I358" i="2"/>
  <c r="I978" i="2"/>
  <c r="I998" i="2"/>
  <c r="I1018" i="2"/>
  <c r="I958" i="2"/>
  <c r="I378" i="2"/>
  <c r="I91" i="2"/>
  <c r="I111" i="2"/>
  <c r="I131" i="2"/>
  <c r="I151" i="2"/>
  <c r="I171" i="2"/>
  <c r="I191" i="2"/>
  <c r="I283" i="2"/>
  <c r="I303" i="2"/>
  <c r="I323" i="2"/>
  <c r="I343" i="2"/>
  <c r="I363" i="2"/>
  <c r="I383" i="2"/>
  <c r="I643" i="2"/>
  <c r="I663" i="2"/>
  <c r="I683" i="2"/>
  <c r="I703" i="2"/>
  <c r="I723" i="2"/>
  <c r="I743" i="2"/>
  <c r="I763" i="2"/>
  <c r="I783" i="2"/>
  <c r="I803" i="2"/>
  <c r="I823" i="2"/>
  <c r="I843" i="2"/>
  <c r="I863" i="2"/>
  <c r="I883" i="2"/>
  <c r="I903" i="2"/>
  <c r="I923" i="2"/>
  <c r="I943" i="2"/>
  <c r="I963" i="2"/>
  <c r="I983" i="2"/>
  <c r="I1003" i="2"/>
  <c r="I1023" i="2"/>
  <c r="E205" i="2"/>
  <c r="E241" i="2"/>
  <c r="E289" i="2"/>
  <c r="E293" i="2"/>
  <c r="E297" i="2"/>
  <c r="E301" i="2"/>
  <c r="E305" i="2"/>
  <c r="E202" i="2"/>
  <c r="E206" i="2"/>
  <c r="E238" i="2"/>
  <c r="E242" i="2"/>
  <c r="E290" i="2"/>
  <c r="E294" i="2"/>
  <c r="E298" i="2"/>
  <c r="E302" i="2"/>
  <c r="E306" i="2"/>
  <c r="E203" i="2"/>
  <c r="E207" i="2"/>
  <c r="E239" i="2"/>
  <c r="K239" i="2" s="1"/>
  <c r="U239" i="2" s="1"/>
  <c r="E243" i="2"/>
  <c r="E204" i="2"/>
  <c r="E291" i="2"/>
  <c r="E296" i="2"/>
  <c r="E307" i="2"/>
  <c r="E292" i="2"/>
  <c r="K292" i="2" s="1"/>
  <c r="U292" i="2" s="1"/>
  <c r="E303" i="2"/>
  <c r="E295" i="2"/>
  <c r="E300" i="2"/>
  <c r="E299" i="2"/>
  <c r="E240" i="2"/>
  <c r="E288" i="2"/>
  <c r="E304" i="2"/>
  <c r="E25" i="2"/>
  <c r="E61" i="2"/>
  <c r="E137" i="2"/>
  <c r="E141" i="2"/>
  <c r="E145" i="2"/>
  <c r="K145" i="2" s="1"/>
  <c r="U145" i="2" s="1"/>
  <c r="E149" i="2"/>
  <c r="E153" i="2"/>
  <c r="E22" i="2"/>
  <c r="E26" i="2"/>
  <c r="E58" i="2"/>
  <c r="E62" i="2"/>
  <c r="E138" i="2"/>
  <c r="K138" i="2" s="1"/>
  <c r="U138" i="2" s="1"/>
  <c r="E142" i="2"/>
  <c r="K142" i="2" s="1"/>
  <c r="U142" i="2" s="1"/>
  <c r="E146" i="2"/>
  <c r="E150" i="2"/>
  <c r="E154" i="2"/>
  <c r="E23" i="2"/>
  <c r="E27" i="2"/>
  <c r="E59" i="2"/>
  <c r="E63" i="2"/>
  <c r="E139" i="2"/>
  <c r="K139" i="2" s="1"/>
  <c r="E143" i="2"/>
  <c r="E147" i="2"/>
  <c r="E151" i="2"/>
  <c r="E155" i="2"/>
  <c r="E140" i="2"/>
  <c r="E148" i="2"/>
  <c r="E136" i="2"/>
  <c r="E60" i="2"/>
  <c r="E24" i="2"/>
  <c r="E152" i="2"/>
  <c r="E144" i="2"/>
  <c r="E424" i="2"/>
  <c r="E428" i="2"/>
  <c r="E544" i="2"/>
  <c r="E548" i="2"/>
  <c r="E425" i="2"/>
  <c r="E429" i="2"/>
  <c r="E545" i="2"/>
  <c r="E549" i="2"/>
  <c r="E427" i="2"/>
  <c r="K427" i="2" s="1"/>
  <c r="U427" i="2" s="1"/>
  <c r="E547" i="2"/>
  <c r="E546" i="2"/>
  <c r="E748" i="2"/>
  <c r="E752" i="2"/>
  <c r="E756" i="2"/>
  <c r="E760" i="2"/>
  <c r="E764" i="2"/>
  <c r="E426" i="2"/>
  <c r="E749" i="2"/>
  <c r="E753" i="2"/>
  <c r="K753" i="2" s="1"/>
  <c r="U753" i="2" s="1"/>
  <c r="E757" i="2"/>
  <c r="K757" i="2" s="1"/>
  <c r="U757" i="2" s="1"/>
  <c r="E761" i="2"/>
  <c r="E765" i="2"/>
  <c r="E750" i="2"/>
  <c r="E754" i="2"/>
  <c r="E758" i="2"/>
  <c r="E762" i="2"/>
  <c r="E766" i="2"/>
  <c r="E751" i="2"/>
  <c r="K751" i="2" s="1"/>
  <c r="E755" i="2"/>
  <c r="E759" i="2"/>
  <c r="E763" i="2"/>
  <c r="E767" i="2"/>
  <c r="E504" i="2"/>
  <c r="E505" i="2"/>
  <c r="E503" i="2"/>
  <c r="E507" i="2"/>
  <c r="E624" i="2"/>
  <c r="K624" i="2" s="1"/>
  <c r="E502" i="2"/>
  <c r="E625" i="2"/>
  <c r="E622" i="2"/>
  <c r="E626" i="2"/>
  <c r="E506" i="2"/>
  <c r="E623" i="2"/>
  <c r="E627" i="2"/>
  <c r="E1008" i="2"/>
  <c r="E1024" i="2"/>
  <c r="E1026" i="2"/>
  <c r="K1026" i="2" s="1"/>
  <c r="U1026" i="2" s="1"/>
  <c r="E1011" i="2"/>
  <c r="E1015" i="2"/>
  <c r="E1019" i="2"/>
  <c r="E1023" i="2"/>
  <c r="E1027" i="2"/>
  <c r="E1020" i="2"/>
  <c r="E1012" i="2"/>
  <c r="E1010" i="2"/>
  <c r="K1010" i="2" s="1"/>
  <c r="E1016" i="2"/>
  <c r="K1016" i="2" s="1"/>
  <c r="U1016" i="2" s="1"/>
  <c r="E1022" i="2"/>
  <c r="E1009" i="2"/>
  <c r="E1013" i="2"/>
  <c r="E1017" i="2"/>
  <c r="E1021" i="2"/>
  <c r="E1025" i="2"/>
  <c r="E1018" i="2"/>
  <c r="E1014" i="2"/>
  <c r="I4" i="2"/>
  <c r="E5" i="2"/>
  <c r="E9" i="2"/>
  <c r="E41" i="2"/>
  <c r="E45" i="2"/>
  <c r="E77" i="2"/>
  <c r="E81" i="2"/>
  <c r="E85" i="2"/>
  <c r="E89" i="2"/>
  <c r="E93" i="2"/>
  <c r="K93" i="2" s="1"/>
  <c r="U93" i="2" s="1"/>
  <c r="E6" i="2"/>
  <c r="E42" i="2"/>
  <c r="E78" i="2"/>
  <c r="E82" i="2"/>
  <c r="E86" i="2"/>
  <c r="E90" i="2"/>
  <c r="E94" i="2"/>
  <c r="E7" i="2"/>
  <c r="E43" i="2"/>
  <c r="E79" i="2"/>
  <c r="E83" i="2"/>
  <c r="E87" i="2"/>
  <c r="E91" i="2"/>
  <c r="E95" i="2"/>
  <c r="E44" i="2"/>
  <c r="E76" i="2"/>
  <c r="K76" i="2" s="1"/>
  <c r="U76" i="2" s="1"/>
  <c r="E84" i="2"/>
  <c r="E8" i="2"/>
  <c r="E40" i="2"/>
  <c r="E92" i="2"/>
  <c r="E88" i="2"/>
  <c r="E80" i="2"/>
  <c r="E460" i="2"/>
  <c r="E464" i="2"/>
  <c r="E580" i="2"/>
  <c r="E584" i="2"/>
  <c r="E461" i="2"/>
  <c r="K461" i="2" s="1"/>
  <c r="U461" i="2" s="1"/>
  <c r="E465" i="2"/>
  <c r="K465" i="2" s="1"/>
  <c r="U465" i="2" s="1"/>
  <c r="E581" i="2"/>
  <c r="E585" i="2"/>
  <c r="E463" i="2"/>
  <c r="E583" i="2"/>
  <c r="E868" i="2"/>
  <c r="E872" i="2"/>
  <c r="E876" i="2"/>
  <c r="E880" i="2"/>
  <c r="E884" i="2"/>
  <c r="E869" i="2"/>
  <c r="E873" i="2"/>
  <c r="K873" i="2" s="1"/>
  <c r="U873" i="2" s="1"/>
  <c r="E877" i="2"/>
  <c r="K877" i="2" s="1"/>
  <c r="U877" i="2" s="1"/>
  <c r="E881" i="2"/>
  <c r="E885" i="2"/>
  <c r="E870" i="2"/>
  <c r="E874" i="2"/>
  <c r="E878" i="2"/>
  <c r="E882" i="2"/>
  <c r="E886" i="2"/>
  <c r="E582" i="2"/>
  <c r="E871" i="2"/>
  <c r="E875" i="2"/>
  <c r="E879" i="2"/>
  <c r="E883" i="2"/>
  <c r="E887" i="2"/>
  <c r="E462" i="2"/>
  <c r="K462" i="2" s="1"/>
  <c r="E29" i="2"/>
  <c r="E33" i="2"/>
  <c r="E65" i="2"/>
  <c r="E69" i="2"/>
  <c r="K69" i="2" s="1"/>
  <c r="E157" i="2"/>
  <c r="E161" i="2"/>
  <c r="K161" i="2" s="1"/>
  <c r="U161" i="2" s="1"/>
  <c r="E165" i="2"/>
  <c r="E169" i="2"/>
  <c r="E173" i="2"/>
  <c r="E30" i="2"/>
  <c r="E66" i="2"/>
  <c r="K66" i="2" s="1"/>
  <c r="U66" i="2" s="1"/>
  <c r="E158" i="2"/>
  <c r="E162" i="2"/>
  <c r="E166" i="2"/>
  <c r="E170" i="2"/>
  <c r="E174" i="2"/>
  <c r="E31" i="2"/>
  <c r="E67" i="2"/>
  <c r="K67" i="2" s="1"/>
  <c r="E159" i="2"/>
  <c r="E163" i="2"/>
  <c r="E167" i="2"/>
  <c r="E171" i="2"/>
  <c r="E175" i="2"/>
  <c r="E172" i="2"/>
  <c r="E32" i="2"/>
  <c r="E64" i="2"/>
  <c r="K64" i="2" s="1"/>
  <c r="E160" i="2"/>
  <c r="E168" i="2"/>
  <c r="E28" i="2"/>
  <c r="E156" i="2"/>
  <c r="K156" i="2" s="1"/>
  <c r="E68" i="2"/>
  <c r="E164" i="2"/>
  <c r="E420" i="2"/>
  <c r="E540" i="2"/>
  <c r="E421" i="2"/>
  <c r="E541" i="2"/>
  <c r="E419" i="2"/>
  <c r="E423" i="2"/>
  <c r="E539" i="2"/>
  <c r="E543" i="2"/>
  <c r="K543" i="2" s="1"/>
  <c r="E418" i="2"/>
  <c r="E728" i="2"/>
  <c r="K728" i="2" s="1"/>
  <c r="U728" i="2" s="1"/>
  <c r="E732" i="2"/>
  <c r="E736" i="2"/>
  <c r="E740" i="2"/>
  <c r="E744" i="2"/>
  <c r="E729" i="2"/>
  <c r="E733" i="2"/>
  <c r="E737" i="2"/>
  <c r="E741" i="2"/>
  <c r="K741" i="2" s="1"/>
  <c r="U741" i="2" s="1"/>
  <c r="E745" i="2"/>
  <c r="K745" i="2" s="1"/>
  <c r="U745" i="2" s="1"/>
  <c r="E542" i="2"/>
  <c r="E730" i="2"/>
  <c r="K730" i="2" s="1"/>
  <c r="E734" i="2"/>
  <c r="K734" i="2" s="1"/>
  <c r="E738" i="2"/>
  <c r="E742" i="2"/>
  <c r="E746" i="2"/>
  <c r="E422" i="2"/>
  <c r="E538" i="2"/>
  <c r="E731" i="2"/>
  <c r="E735" i="2"/>
  <c r="E739" i="2"/>
  <c r="E743" i="2"/>
  <c r="E747" i="2"/>
  <c r="E492" i="2"/>
  <c r="E612" i="2"/>
  <c r="E493" i="2"/>
  <c r="E491" i="2"/>
  <c r="E495" i="2"/>
  <c r="E490" i="2"/>
  <c r="E613" i="2"/>
  <c r="E614" i="2"/>
  <c r="E610" i="2"/>
  <c r="E615" i="2"/>
  <c r="E494" i="2"/>
  <c r="E976" i="2"/>
  <c r="E971" i="2"/>
  <c r="E975" i="2"/>
  <c r="K975" i="2" s="1"/>
  <c r="U975" i="2" s="1"/>
  <c r="E979" i="2"/>
  <c r="K979" i="2" s="1"/>
  <c r="U979" i="2" s="1"/>
  <c r="E983" i="2"/>
  <c r="E987" i="2"/>
  <c r="E968" i="2"/>
  <c r="E984" i="2"/>
  <c r="E974" i="2"/>
  <c r="E611" i="2"/>
  <c r="E980" i="2"/>
  <c r="K980" i="2" s="1"/>
  <c r="U980" i="2" s="1"/>
  <c r="E982" i="2"/>
  <c r="E972" i="2"/>
  <c r="K972" i="2" s="1"/>
  <c r="U972" i="2" s="1"/>
  <c r="E970" i="2"/>
  <c r="E978" i="2"/>
  <c r="E969" i="2"/>
  <c r="E973" i="2"/>
  <c r="E977" i="2"/>
  <c r="E981" i="2"/>
  <c r="E985" i="2"/>
  <c r="E986" i="2"/>
  <c r="E388" i="2"/>
  <c r="E392" i="2"/>
  <c r="E508" i="2"/>
  <c r="E512" i="2"/>
  <c r="E389" i="2"/>
  <c r="E393" i="2"/>
  <c r="E509" i="2"/>
  <c r="E513" i="2"/>
  <c r="K513" i="2" s="1"/>
  <c r="E391" i="2"/>
  <c r="E511" i="2"/>
  <c r="E628" i="2"/>
  <c r="E632" i="2"/>
  <c r="E636" i="2"/>
  <c r="E640" i="2"/>
  <c r="E644" i="2"/>
  <c r="E629" i="2"/>
  <c r="E633" i="2"/>
  <c r="E637" i="2"/>
  <c r="E641" i="2"/>
  <c r="E645" i="2"/>
  <c r="E510" i="2"/>
  <c r="E630" i="2"/>
  <c r="E634" i="2"/>
  <c r="E638" i="2"/>
  <c r="E642" i="2"/>
  <c r="K642" i="2" s="1"/>
  <c r="E646" i="2"/>
  <c r="E390" i="2"/>
  <c r="E631" i="2"/>
  <c r="E635" i="2"/>
  <c r="K635" i="2" s="1"/>
  <c r="E639" i="2"/>
  <c r="K639" i="2" s="1"/>
  <c r="E643" i="2"/>
  <c r="E647" i="2"/>
  <c r="E396" i="2"/>
  <c r="E516" i="2"/>
  <c r="E397" i="2"/>
  <c r="E517" i="2"/>
  <c r="E395" i="2"/>
  <c r="K395" i="2" s="1"/>
  <c r="E399" i="2"/>
  <c r="K399" i="2" s="1"/>
  <c r="E515" i="2"/>
  <c r="E519" i="2"/>
  <c r="E514" i="2"/>
  <c r="E648" i="2"/>
  <c r="E652" i="2"/>
  <c r="E656" i="2"/>
  <c r="K656" i="2" s="1"/>
  <c r="E660" i="2"/>
  <c r="K660" i="2" s="1"/>
  <c r="E664" i="2"/>
  <c r="E394" i="2"/>
  <c r="E649" i="2"/>
  <c r="K649" i="2" s="1"/>
  <c r="E653" i="2"/>
  <c r="E657" i="2"/>
  <c r="E661" i="2"/>
  <c r="E665" i="2"/>
  <c r="E650" i="2"/>
  <c r="E654" i="2"/>
  <c r="E658" i="2"/>
  <c r="E662" i="2"/>
  <c r="E666" i="2"/>
  <c r="E518" i="2"/>
  <c r="E651" i="2"/>
  <c r="E655" i="2"/>
  <c r="E659" i="2"/>
  <c r="E663" i="2"/>
  <c r="K663" i="2" s="1"/>
  <c r="E667" i="2"/>
  <c r="E398" i="2"/>
  <c r="K398" i="2" s="1"/>
  <c r="U398" i="2" s="1"/>
  <c r="E432" i="2"/>
  <c r="K432" i="2" s="1"/>
  <c r="U432" i="2" s="1"/>
  <c r="E552" i="2"/>
  <c r="E433" i="2"/>
  <c r="K433" i="2" s="1"/>
  <c r="U433" i="2" s="1"/>
  <c r="E553" i="2"/>
  <c r="E431" i="2"/>
  <c r="E435" i="2"/>
  <c r="E551" i="2"/>
  <c r="E555" i="2"/>
  <c r="E768" i="2"/>
  <c r="E772" i="2"/>
  <c r="E776" i="2"/>
  <c r="K776" i="2" s="1"/>
  <c r="U776" i="2" s="1"/>
  <c r="E780" i="2"/>
  <c r="E784" i="2"/>
  <c r="E554" i="2"/>
  <c r="E769" i="2"/>
  <c r="E773" i="2"/>
  <c r="E777" i="2"/>
  <c r="E781" i="2"/>
  <c r="E785" i="2"/>
  <c r="E434" i="2"/>
  <c r="E770" i="2"/>
  <c r="E774" i="2"/>
  <c r="E778" i="2"/>
  <c r="E782" i="2"/>
  <c r="K782" i="2" s="1"/>
  <c r="E786" i="2"/>
  <c r="E550" i="2"/>
  <c r="E771" i="2"/>
  <c r="E775" i="2"/>
  <c r="K775" i="2" s="1"/>
  <c r="E779" i="2"/>
  <c r="K779" i="2" s="1"/>
  <c r="E783" i="2"/>
  <c r="E787" i="2"/>
  <c r="E430" i="2"/>
  <c r="E468" i="2"/>
  <c r="E588" i="2"/>
  <c r="E469" i="2"/>
  <c r="E589" i="2"/>
  <c r="E467" i="2"/>
  <c r="E471" i="2"/>
  <c r="E888" i="2"/>
  <c r="E892" i="2"/>
  <c r="E896" i="2"/>
  <c r="K896" i="2" s="1"/>
  <c r="U896" i="2" s="1"/>
  <c r="E900" i="2"/>
  <c r="E904" i="2"/>
  <c r="E470" i="2"/>
  <c r="E590" i="2"/>
  <c r="E889" i="2"/>
  <c r="E893" i="2"/>
  <c r="E897" i="2"/>
  <c r="E901" i="2"/>
  <c r="E905" i="2"/>
  <c r="E466" i="2"/>
  <c r="E586" i="2"/>
  <c r="E591" i="2"/>
  <c r="E890" i="2"/>
  <c r="E894" i="2"/>
  <c r="E898" i="2"/>
  <c r="E902" i="2"/>
  <c r="E906" i="2"/>
  <c r="E587" i="2"/>
  <c r="E891" i="2"/>
  <c r="E903" i="2"/>
  <c r="E899" i="2"/>
  <c r="E907" i="2"/>
  <c r="E895" i="2"/>
  <c r="E412" i="2"/>
  <c r="E416" i="2"/>
  <c r="E532" i="2"/>
  <c r="E536" i="2"/>
  <c r="E413" i="2"/>
  <c r="E417" i="2"/>
  <c r="E533" i="2"/>
  <c r="E537" i="2"/>
  <c r="E415" i="2"/>
  <c r="E535" i="2"/>
  <c r="E708" i="2"/>
  <c r="E712" i="2"/>
  <c r="E716" i="2"/>
  <c r="E720" i="2"/>
  <c r="E724" i="2"/>
  <c r="E534" i="2"/>
  <c r="E709" i="2"/>
  <c r="E713" i="2"/>
  <c r="E717" i="2"/>
  <c r="E721" i="2"/>
  <c r="E725" i="2"/>
  <c r="E414" i="2"/>
  <c r="E710" i="2"/>
  <c r="E714" i="2"/>
  <c r="E718" i="2"/>
  <c r="E722" i="2"/>
  <c r="E726" i="2"/>
  <c r="E711" i="2"/>
  <c r="E715" i="2"/>
  <c r="E719" i="2"/>
  <c r="E723" i="2"/>
  <c r="E727" i="2"/>
  <c r="E229" i="2"/>
  <c r="E265" i="2"/>
  <c r="E226" i="2"/>
  <c r="E230" i="2"/>
  <c r="E262" i="2"/>
  <c r="E266" i="2"/>
  <c r="K266" i="2" s="1"/>
  <c r="E227" i="2"/>
  <c r="E231" i="2"/>
  <c r="E263" i="2"/>
  <c r="E267" i="2"/>
  <c r="E368" i="2"/>
  <c r="E372" i="2"/>
  <c r="K372" i="2" s="1"/>
  <c r="U372" i="2" s="1"/>
  <c r="E376" i="2"/>
  <c r="E380" i="2"/>
  <c r="E384" i="2"/>
  <c r="E264" i="2"/>
  <c r="E369" i="2"/>
  <c r="E373" i="2"/>
  <c r="E377" i="2"/>
  <c r="E381" i="2"/>
  <c r="E385" i="2"/>
  <c r="K385" i="2" s="1"/>
  <c r="E228" i="2"/>
  <c r="E371" i="2"/>
  <c r="E375" i="2"/>
  <c r="E379" i="2"/>
  <c r="E383" i="2"/>
  <c r="E387" i="2"/>
  <c r="E386" i="2"/>
  <c r="E374" i="2"/>
  <c r="E382" i="2"/>
  <c r="E370" i="2"/>
  <c r="E378" i="2"/>
  <c r="K378" i="2" s="1"/>
  <c r="U378" i="2" s="1"/>
  <c r="E17" i="2"/>
  <c r="E21" i="2"/>
  <c r="E53" i="2"/>
  <c r="K53" i="2" s="1"/>
  <c r="E57" i="2"/>
  <c r="E117" i="2"/>
  <c r="E121" i="2"/>
  <c r="E125" i="2"/>
  <c r="E129" i="2"/>
  <c r="E133" i="2"/>
  <c r="E18" i="2"/>
  <c r="E54" i="2"/>
  <c r="E118" i="2"/>
  <c r="E122" i="2"/>
  <c r="E126" i="2"/>
  <c r="E130" i="2"/>
  <c r="E134" i="2"/>
  <c r="E19" i="2"/>
  <c r="K19" i="2" s="1"/>
  <c r="E55" i="2"/>
  <c r="E119" i="2"/>
  <c r="E123" i="2"/>
  <c r="E127" i="2"/>
  <c r="E131" i="2"/>
  <c r="E135" i="2"/>
  <c r="E128" i="2"/>
  <c r="E20" i="2"/>
  <c r="K20" i="2" s="1"/>
  <c r="E52" i="2"/>
  <c r="E116" i="2"/>
  <c r="E124" i="2"/>
  <c r="E132" i="2"/>
  <c r="E56" i="2"/>
  <c r="E120" i="2"/>
  <c r="E16" i="2"/>
  <c r="K16" i="2" s="1"/>
  <c r="E444" i="2"/>
  <c r="E564" i="2"/>
  <c r="E445" i="2"/>
  <c r="E565" i="2"/>
  <c r="K565" i="2" s="1"/>
  <c r="E443" i="2"/>
  <c r="E447" i="2"/>
  <c r="E563" i="2"/>
  <c r="E567" i="2"/>
  <c r="E808" i="2"/>
  <c r="E812" i="2"/>
  <c r="E816" i="2"/>
  <c r="E820" i="2"/>
  <c r="E824" i="2"/>
  <c r="E566" i="2"/>
  <c r="E809" i="2"/>
  <c r="K809" i="2" s="1"/>
  <c r="U809" i="2" s="1"/>
  <c r="E813" i="2"/>
  <c r="E817" i="2"/>
  <c r="E821" i="2"/>
  <c r="E825" i="2"/>
  <c r="E446" i="2"/>
  <c r="E562" i="2"/>
  <c r="E810" i="2"/>
  <c r="E814" i="2"/>
  <c r="E818" i="2"/>
  <c r="E822" i="2"/>
  <c r="E826" i="2"/>
  <c r="E442" i="2"/>
  <c r="E811" i="2"/>
  <c r="E815" i="2"/>
  <c r="E819" i="2"/>
  <c r="E823" i="2"/>
  <c r="E827" i="2"/>
  <c r="E496" i="2"/>
  <c r="E500" i="2"/>
  <c r="E497" i="2"/>
  <c r="E501" i="2"/>
  <c r="E499" i="2"/>
  <c r="E616" i="2"/>
  <c r="E620" i="2"/>
  <c r="E617" i="2"/>
  <c r="E621" i="2"/>
  <c r="K621" i="2" s="1"/>
  <c r="E498" i="2"/>
  <c r="E618" i="2"/>
  <c r="E619" i="2"/>
  <c r="E992" i="2"/>
  <c r="E998" i="2"/>
  <c r="E991" i="2"/>
  <c r="E995" i="2"/>
  <c r="E999" i="2"/>
  <c r="E1003" i="2"/>
  <c r="E1007" i="2"/>
  <c r="E1000" i="2"/>
  <c r="E1002" i="2"/>
  <c r="E996" i="2"/>
  <c r="E988" i="2"/>
  <c r="E1004" i="2"/>
  <c r="E994" i="2"/>
  <c r="E1006" i="2"/>
  <c r="E989" i="2"/>
  <c r="E993" i="2"/>
  <c r="E997" i="2"/>
  <c r="E1001" i="2"/>
  <c r="E1005" i="2"/>
  <c r="K1005" i="2" s="1"/>
  <c r="E990" i="2"/>
  <c r="E197" i="2"/>
  <c r="E201" i="2"/>
  <c r="E233" i="2"/>
  <c r="E237" i="2"/>
  <c r="E269" i="2"/>
  <c r="E273" i="2"/>
  <c r="E277" i="2"/>
  <c r="E281" i="2"/>
  <c r="K281" i="2" s="1"/>
  <c r="U281" i="2" s="1"/>
  <c r="E285" i="2"/>
  <c r="E198" i="2"/>
  <c r="E234" i="2"/>
  <c r="E270" i="2"/>
  <c r="E274" i="2"/>
  <c r="E278" i="2"/>
  <c r="E282" i="2"/>
  <c r="K282" i="2" s="1"/>
  <c r="E286" i="2"/>
  <c r="K286" i="2" s="1"/>
  <c r="E199" i="2"/>
  <c r="E235" i="2"/>
  <c r="E271" i="2"/>
  <c r="E236" i="2"/>
  <c r="E268" i="2"/>
  <c r="E275" i="2"/>
  <c r="E280" i="2"/>
  <c r="K280" i="2" s="1"/>
  <c r="U280" i="2" s="1"/>
  <c r="E200" i="2"/>
  <c r="E232" i="2"/>
  <c r="E276" i="2"/>
  <c r="E287" i="2"/>
  <c r="E196" i="2"/>
  <c r="E279" i="2"/>
  <c r="E284" i="2"/>
  <c r="E272" i="2"/>
  <c r="E283" i="2"/>
  <c r="E37" i="2"/>
  <c r="E73" i="2"/>
  <c r="E177" i="2"/>
  <c r="E181" i="2"/>
  <c r="E185" i="2"/>
  <c r="E189" i="2"/>
  <c r="E193" i="2"/>
  <c r="K193" i="2" s="1"/>
  <c r="U193" i="2" s="1"/>
  <c r="E34" i="2"/>
  <c r="E38" i="2"/>
  <c r="E70" i="2"/>
  <c r="E74" i="2"/>
  <c r="K74" i="2" s="1"/>
  <c r="E178" i="2"/>
  <c r="E182" i="2"/>
  <c r="E186" i="2"/>
  <c r="K186" i="2" s="1"/>
  <c r="U186" i="2" s="1"/>
  <c r="E190" i="2"/>
  <c r="E194" i="2"/>
  <c r="E35" i="2"/>
  <c r="K35" i="2" s="1"/>
  <c r="E39" i="2"/>
  <c r="K39" i="2" s="1"/>
  <c r="E71" i="2"/>
  <c r="E75" i="2"/>
  <c r="E179" i="2"/>
  <c r="E183" i="2"/>
  <c r="K183" i="2" s="1"/>
  <c r="E187" i="2"/>
  <c r="K187" i="2" s="1"/>
  <c r="E191" i="2"/>
  <c r="E195" i="2"/>
  <c r="E192" i="2"/>
  <c r="E180" i="2"/>
  <c r="E72" i="2"/>
  <c r="E188" i="2"/>
  <c r="E36" i="2"/>
  <c r="E184" i="2"/>
  <c r="E176" i="2"/>
  <c r="E209" i="2"/>
  <c r="E213" i="2"/>
  <c r="E245" i="2"/>
  <c r="E249" i="2"/>
  <c r="E309" i="2"/>
  <c r="E313" i="2"/>
  <c r="E317" i="2"/>
  <c r="E321" i="2"/>
  <c r="E325" i="2"/>
  <c r="E210" i="2"/>
  <c r="E246" i="2"/>
  <c r="E310" i="2"/>
  <c r="E314" i="2"/>
  <c r="E318" i="2"/>
  <c r="E322" i="2"/>
  <c r="E326" i="2"/>
  <c r="E211" i="2"/>
  <c r="E247" i="2"/>
  <c r="E312" i="2"/>
  <c r="E323" i="2"/>
  <c r="E212" i="2"/>
  <c r="E244" i="2"/>
  <c r="E308" i="2"/>
  <c r="E319" i="2"/>
  <c r="E324" i="2"/>
  <c r="E248" i="2"/>
  <c r="E311" i="2"/>
  <c r="E316" i="2"/>
  <c r="E327" i="2"/>
  <c r="E208" i="2"/>
  <c r="E320" i="2"/>
  <c r="E315" i="2"/>
  <c r="E221" i="2"/>
  <c r="E225" i="2"/>
  <c r="E257" i="2"/>
  <c r="E261" i="2"/>
  <c r="E222" i="2"/>
  <c r="E258" i="2"/>
  <c r="K258" i="2" s="1"/>
  <c r="E223" i="2"/>
  <c r="E259" i="2"/>
  <c r="E224" i="2"/>
  <c r="E256" i="2"/>
  <c r="E348" i="2"/>
  <c r="E352" i="2"/>
  <c r="E356" i="2"/>
  <c r="E360" i="2"/>
  <c r="E364" i="2"/>
  <c r="E349" i="2"/>
  <c r="E353" i="2"/>
  <c r="E357" i="2"/>
  <c r="E361" i="2"/>
  <c r="E365" i="2"/>
  <c r="K365" i="2" s="1"/>
  <c r="E220" i="2"/>
  <c r="E260" i="2"/>
  <c r="E351" i="2"/>
  <c r="E355" i="2"/>
  <c r="E359" i="2"/>
  <c r="E363" i="2"/>
  <c r="E367" i="2"/>
  <c r="E354" i="2"/>
  <c r="E362" i="2"/>
  <c r="E350" i="2"/>
  <c r="E358" i="2"/>
  <c r="E366" i="2"/>
  <c r="E436" i="2"/>
  <c r="K436" i="2" s="1"/>
  <c r="E440" i="2"/>
  <c r="K440" i="2" s="1"/>
  <c r="U440" i="2" s="1"/>
  <c r="E556" i="2"/>
  <c r="E560" i="2"/>
  <c r="E437" i="2"/>
  <c r="E441" i="2"/>
  <c r="E557" i="2"/>
  <c r="E561" i="2"/>
  <c r="E439" i="2"/>
  <c r="E559" i="2"/>
  <c r="K559" i="2" s="1"/>
  <c r="E788" i="2"/>
  <c r="E792" i="2"/>
  <c r="E796" i="2"/>
  <c r="E800" i="2"/>
  <c r="E804" i="2"/>
  <c r="E438" i="2"/>
  <c r="E789" i="2"/>
  <c r="E793" i="2"/>
  <c r="E797" i="2"/>
  <c r="E801" i="2"/>
  <c r="E805" i="2"/>
  <c r="E790" i="2"/>
  <c r="E794" i="2"/>
  <c r="E798" i="2"/>
  <c r="E802" i="2"/>
  <c r="K802" i="2" s="1"/>
  <c r="E806" i="2"/>
  <c r="E791" i="2"/>
  <c r="E795" i="2"/>
  <c r="E799" i="2"/>
  <c r="E803" i="2"/>
  <c r="E807" i="2"/>
  <c r="E558" i="2"/>
  <c r="E472" i="2"/>
  <c r="E476" i="2"/>
  <c r="E592" i="2"/>
  <c r="E596" i="2"/>
  <c r="E473" i="2"/>
  <c r="E477" i="2"/>
  <c r="E475" i="2"/>
  <c r="E908" i="2"/>
  <c r="E912" i="2"/>
  <c r="E916" i="2"/>
  <c r="K916" i="2" s="1"/>
  <c r="U916" i="2" s="1"/>
  <c r="E594" i="2"/>
  <c r="E909" i="2"/>
  <c r="K909" i="2" s="1"/>
  <c r="U909" i="2" s="1"/>
  <c r="E913" i="2"/>
  <c r="E595" i="2"/>
  <c r="E474" i="2"/>
  <c r="E597" i="2"/>
  <c r="E914" i="2"/>
  <c r="E924" i="2"/>
  <c r="E919" i="2"/>
  <c r="E923" i="2"/>
  <c r="E927" i="2"/>
  <c r="E910" i="2"/>
  <c r="K910" i="2" s="1"/>
  <c r="E915" i="2"/>
  <c r="E920" i="2"/>
  <c r="E926" i="2"/>
  <c r="K926" i="2" s="1"/>
  <c r="E918" i="2"/>
  <c r="E911" i="2"/>
  <c r="E917" i="2"/>
  <c r="K917" i="2" s="1"/>
  <c r="U917" i="2" s="1"/>
  <c r="E921" i="2"/>
  <c r="E925" i="2"/>
  <c r="E593" i="2"/>
  <c r="K593" i="2" s="1"/>
  <c r="U593" i="2" s="1"/>
  <c r="E922" i="2"/>
  <c r="E13" i="2"/>
  <c r="E49" i="2"/>
  <c r="K49" i="2" s="1"/>
  <c r="E97" i="2"/>
  <c r="K97" i="2" s="1"/>
  <c r="U97" i="2" s="1"/>
  <c r="E101" i="2"/>
  <c r="E105" i="2"/>
  <c r="E109" i="2"/>
  <c r="E113" i="2"/>
  <c r="E10" i="2"/>
  <c r="E14" i="2"/>
  <c r="E46" i="2"/>
  <c r="K46" i="2" s="1"/>
  <c r="U46" i="2" s="1"/>
  <c r="E50" i="2"/>
  <c r="E98" i="2"/>
  <c r="E102" i="2"/>
  <c r="E106" i="2"/>
  <c r="E110" i="2"/>
  <c r="E114" i="2"/>
  <c r="E11" i="2"/>
  <c r="E15" i="2"/>
  <c r="E47" i="2"/>
  <c r="E51" i="2"/>
  <c r="E99" i="2"/>
  <c r="E103" i="2"/>
  <c r="E107" i="2"/>
  <c r="E111" i="2"/>
  <c r="E115" i="2"/>
  <c r="E12" i="2"/>
  <c r="E108" i="2"/>
  <c r="E96" i="2"/>
  <c r="E104" i="2"/>
  <c r="E100" i="2"/>
  <c r="E48" i="2"/>
  <c r="K48" i="2" s="1"/>
  <c r="U48" i="2" s="1"/>
  <c r="E112" i="2"/>
  <c r="E400" i="2"/>
  <c r="E404" i="2"/>
  <c r="E520" i="2"/>
  <c r="E524" i="2"/>
  <c r="E401" i="2"/>
  <c r="E405" i="2"/>
  <c r="E521" i="2"/>
  <c r="E525" i="2"/>
  <c r="E403" i="2"/>
  <c r="E523" i="2"/>
  <c r="E668" i="2"/>
  <c r="E672" i="2"/>
  <c r="E676" i="2"/>
  <c r="E680" i="2"/>
  <c r="K680" i="2" s="1"/>
  <c r="E684" i="2"/>
  <c r="K684" i="2" s="1"/>
  <c r="U684" i="2" s="1"/>
  <c r="E522" i="2"/>
  <c r="K522" i="2" s="1"/>
  <c r="U522" i="2" s="1"/>
  <c r="E669" i="2"/>
  <c r="E673" i="2"/>
  <c r="E677" i="2"/>
  <c r="E681" i="2"/>
  <c r="E685" i="2"/>
  <c r="E402" i="2"/>
  <c r="E670" i="2"/>
  <c r="E674" i="2"/>
  <c r="E678" i="2"/>
  <c r="E682" i="2"/>
  <c r="E686" i="2"/>
  <c r="E671" i="2"/>
  <c r="E675" i="2"/>
  <c r="E679" i="2"/>
  <c r="E683" i="2"/>
  <c r="K683" i="2" s="1"/>
  <c r="E687" i="2"/>
  <c r="K687" i="2" s="1"/>
  <c r="E448" i="2"/>
  <c r="E452" i="2"/>
  <c r="E568" i="2"/>
  <c r="K568" i="2" s="1"/>
  <c r="E572" i="2"/>
  <c r="E449" i="2"/>
  <c r="E453" i="2"/>
  <c r="E569" i="2"/>
  <c r="E573" i="2"/>
  <c r="E451" i="2"/>
  <c r="E571" i="2"/>
  <c r="E450" i="2"/>
  <c r="E828" i="2"/>
  <c r="E832" i="2"/>
  <c r="E836" i="2"/>
  <c r="K836" i="2" s="1"/>
  <c r="U836" i="2" s="1"/>
  <c r="E840" i="2"/>
  <c r="E844" i="2"/>
  <c r="E829" i="2"/>
  <c r="E833" i="2"/>
  <c r="E837" i="2"/>
  <c r="E841" i="2"/>
  <c r="E845" i="2"/>
  <c r="E830" i="2"/>
  <c r="E834" i="2"/>
  <c r="E838" i="2"/>
  <c r="E842" i="2"/>
  <c r="E846" i="2"/>
  <c r="E570" i="2"/>
  <c r="E831" i="2"/>
  <c r="E835" i="2"/>
  <c r="E839" i="2"/>
  <c r="E843" i="2"/>
  <c r="K843" i="2" s="1"/>
  <c r="U843" i="2" s="1"/>
  <c r="E847" i="2"/>
  <c r="K847" i="2" s="1"/>
  <c r="U847" i="2" s="1"/>
  <c r="E480" i="2"/>
  <c r="E600" i="2"/>
  <c r="E481" i="2"/>
  <c r="E479" i="2"/>
  <c r="K479" i="2" s="1"/>
  <c r="E483" i="2"/>
  <c r="K483" i="2" s="1"/>
  <c r="U483" i="2" s="1"/>
  <c r="E482" i="2"/>
  <c r="E598" i="2"/>
  <c r="E603" i="2"/>
  <c r="E599" i="2"/>
  <c r="E478" i="2"/>
  <c r="E601" i="2"/>
  <c r="E602" i="2"/>
  <c r="E944" i="2"/>
  <c r="E934" i="2"/>
  <c r="E931" i="2"/>
  <c r="E935" i="2"/>
  <c r="E939" i="2"/>
  <c r="E943" i="2"/>
  <c r="E947" i="2"/>
  <c r="E946" i="2"/>
  <c r="E928" i="2"/>
  <c r="E932" i="2"/>
  <c r="E936" i="2"/>
  <c r="E940" i="2"/>
  <c r="E942" i="2"/>
  <c r="E929" i="2"/>
  <c r="E933" i="2"/>
  <c r="E937" i="2"/>
  <c r="E941" i="2"/>
  <c r="E945" i="2"/>
  <c r="E930" i="2"/>
  <c r="K930" i="2" s="1"/>
  <c r="E938" i="2"/>
  <c r="K938" i="2" s="1"/>
  <c r="E217" i="2"/>
  <c r="E253" i="2"/>
  <c r="E329" i="2"/>
  <c r="K329" i="2" s="1"/>
  <c r="E333" i="2"/>
  <c r="E337" i="2"/>
  <c r="E341" i="2"/>
  <c r="E214" i="2"/>
  <c r="E218" i="2"/>
  <c r="E250" i="2"/>
  <c r="E254" i="2"/>
  <c r="E330" i="2"/>
  <c r="E334" i="2"/>
  <c r="E338" i="2"/>
  <c r="E342" i="2"/>
  <c r="E215" i="2"/>
  <c r="E219" i="2"/>
  <c r="E251" i="2"/>
  <c r="E255" i="2"/>
  <c r="E328" i="2"/>
  <c r="E339" i="2"/>
  <c r="E344" i="2"/>
  <c r="E335" i="2"/>
  <c r="E340" i="2"/>
  <c r="E345" i="2"/>
  <c r="E252" i="2"/>
  <c r="E216" i="2"/>
  <c r="E332" i="2"/>
  <c r="E343" i="2"/>
  <c r="E347" i="2"/>
  <c r="E336" i="2"/>
  <c r="E331" i="2"/>
  <c r="E346" i="2"/>
  <c r="E408" i="2"/>
  <c r="E528" i="2"/>
  <c r="E409" i="2"/>
  <c r="E529" i="2"/>
  <c r="E407" i="2"/>
  <c r="E411" i="2"/>
  <c r="E527" i="2"/>
  <c r="K527" i="2" s="1"/>
  <c r="E531" i="2"/>
  <c r="E688" i="2"/>
  <c r="E692" i="2"/>
  <c r="E696" i="2"/>
  <c r="E700" i="2"/>
  <c r="E704" i="2"/>
  <c r="E406" i="2"/>
  <c r="E689" i="2"/>
  <c r="E693" i="2"/>
  <c r="K693" i="2" s="1"/>
  <c r="U693" i="2" s="1"/>
  <c r="E697" i="2"/>
  <c r="K697" i="2" s="1"/>
  <c r="U697" i="2" s="1"/>
  <c r="E701" i="2"/>
  <c r="E705" i="2"/>
  <c r="E530" i="2"/>
  <c r="E690" i="2"/>
  <c r="E694" i="2"/>
  <c r="E698" i="2"/>
  <c r="E702" i="2"/>
  <c r="E706" i="2"/>
  <c r="E410" i="2"/>
  <c r="E691" i="2"/>
  <c r="E695" i="2"/>
  <c r="E699" i="2"/>
  <c r="E703" i="2"/>
  <c r="E707" i="2"/>
  <c r="E526" i="2"/>
  <c r="E484" i="2"/>
  <c r="E488" i="2"/>
  <c r="E604" i="2"/>
  <c r="E608" i="2"/>
  <c r="E485" i="2"/>
  <c r="E489" i="2"/>
  <c r="E487" i="2"/>
  <c r="E607" i="2"/>
  <c r="E609" i="2"/>
  <c r="E605" i="2"/>
  <c r="E486" i="2"/>
  <c r="E606" i="2"/>
  <c r="K606" i="2" s="1"/>
  <c r="E960" i="2"/>
  <c r="E966" i="2"/>
  <c r="E951" i="2"/>
  <c r="E955" i="2"/>
  <c r="E959" i="2"/>
  <c r="E963" i="2"/>
  <c r="E967" i="2"/>
  <c r="E952" i="2"/>
  <c r="E948" i="2"/>
  <c r="E964" i="2"/>
  <c r="E954" i="2"/>
  <c r="E956" i="2"/>
  <c r="E950" i="2"/>
  <c r="E949" i="2"/>
  <c r="E953" i="2"/>
  <c r="E957" i="2"/>
  <c r="E961" i="2"/>
  <c r="E965" i="2"/>
  <c r="E958" i="2"/>
  <c r="K958" i="2" s="1"/>
  <c r="E962" i="2"/>
  <c r="K962" i="2" s="1"/>
  <c r="E456" i="2"/>
  <c r="E576" i="2"/>
  <c r="E457" i="2"/>
  <c r="E577" i="2"/>
  <c r="E455" i="2"/>
  <c r="E459" i="2"/>
  <c r="E575" i="2"/>
  <c r="E578" i="2"/>
  <c r="K578" i="2" s="1"/>
  <c r="E848" i="2"/>
  <c r="E852" i="2"/>
  <c r="E856" i="2"/>
  <c r="E860" i="2"/>
  <c r="E864" i="2"/>
  <c r="E458" i="2"/>
  <c r="E579" i="2"/>
  <c r="E849" i="2"/>
  <c r="E853" i="2"/>
  <c r="E857" i="2"/>
  <c r="E861" i="2"/>
  <c r="E865" i="2"/>
  <c r="E574" i="2"/>
  <c r="E850" i="2"/>
  <c r="E854" i="2"/>
  <c r="E858" i="2"/>
  <c r="E862" i="2"/>
  <c r="E866" i="2"/>
  <c r="E454" i="2"/>
  <c r="E851" i="2"/>
  <c r="E855" i="2"/>
  <c r="E859" i="2"/>
  <c r="E863" i="2"/>
  <c r="E867" i="2"/>
  <c r="E4" i="2"/>
  <c r="K4" i="2" s="1"/>
  <c r="P17" i="1"/>
  <c r="K927" i="2" l="1"/>
  <c r="U927" i="2" s="1"/>
  <c r="K212" i="2"/>
  <c r="U212" i="2" s="1"/>
  <c r="K127" i="2"/>
  <c r="K122" i="2"/>
  <c r="U122" i="2" s="1"/>
  <c r="K374" i="2"/>
  <c r="U374" i="2" s="1"/>
  <c r="J76" i="2"/>
  <c r="J116" i="2"/>
  <c r="J156" i="2"/>
  <c r="J268" i="2"/>
  <c r="J308" i="2"/>
  <c r="J348" i="2"/>
  <c r="J628" i="2"/>
  <c r="J668" i="2"/>
  <c r="J96" i="2"/>
  <c r="J136" i="2"/>
  <c r="J176" i="2"/>
  <c r="J288" i="2"/>
  <c r="J328" i="2"/>
  <c r="J368" i="2"/>
  <c r="J648" i="2"/>
  <c r="J688" i="2"/>
  <c r="J728" i="2"/>
  <c r="J768" i="2"/>
  <c r="J808" i="2"/>
  <c r="J848" i="2"/>
  <c r="J888" i="2"/>
  <c r="J928" i="2"/>
  <c r="J968" i="2"/>
  <c r="J788" i="2"/>
  <c r="J1008" i="2"/>
  <c r="J828" i="2"/>
  <c r="J868" i="2"/>
  <c r="J908" i="2"/>
  <c r="J748" i="2"/>
  <c r="J948" i="2"/>
  <c r="J988" i="2"/>
  <c r="F391" i="2"/>
  <c r="F511" i="2"/>
  <c r="F631" i="2"/>
  <c r="F639" i="2"/>
  <c r="F647" i="2"/>
  <c r="F392" i="2"/>
  <c r="F512" i="2"/>
  <c r="F632" i="2"/>
  <c r="F640" i="2"/>
  <c r="F393" i="2"/>
  <c r="F513" i="2"/>
  <c r="F633" i="2"/>
  <c r="F641" i="2"/>
  <c r="J708" i="2"/>
  <c r="F634" i="2"/>
  <c r="F642" i="2"/>
  <c r="F389" i="2"/>
  <c r="F509" i="2"/>
  <c r="F629" i="2"/>
  <c r="F637" i="2"/>
  <c r="F645" i="2"/>
  <c r="F638" i="2"/>
  <c r="F643" i="2"/>
  <c r="F630" i="2"/>
  <c r="F644" i="2"/>
  <c r="F510" i="2"/>
  <c r="F628" i="2"/>
  <c r="F388" i="2"/>
  <c r="F508" i="2"/>
  <c r="F646" i="2"/>
  <c r="F390" i="2"/>
  <c r="F635" i="2"/>
  <c r="F636" i="2"/>
  <c r="U479" i="2"/>
  <c r="U64" i="2"/>
  <c r="U74" i="2"/>
  <c r="K690" i="2"/>
  <c r="U690" i="2" s="1"/>
  <c r="K347" i="2"/>
  <c r="U347" i="2" s="1"/>
  <c r="K344" i="2"/>
  <c r="U344" i="2" s="1"/>
  <c r="K337" i="2"/>
  <c r="U337" i="2" s="1"/>
  <c r="K99" i="2"/>
  <c r="U99" i="2" s="1"/>
  <c r="K102" i="2"/>
  <c r="U102" i="2" s="1"/>
  <c r="K105" i="2"/>
  <c r="U105" i="2" s="1"/>
  <c r="K921" i="2"/>
  <c r="U921" i="2" s="1"/>
  <c r="K913" i="2"/>
  <c r="U913" i="2" s="1"/>
  <c r="K752" i="2"/>
  <c r="U752" i="2" s="1"/>
  <c r="K339" i="2"/>
  <c r="U339" i="2" s="1"/>
  <c r="K334" i="2"/>
  <c r="U334" i="2" s="1"/>
  <c r="K333" i="2"/>
  <c r="U333" i="2" s="1"/>
  <c r="K96" i="2"/>
  <c r="U96" i="2" s="1"/>
  <c r="K101" i="2"/>
  <c r="U101" i="2" s="1"/>
  <c r="K352" i="2"/>
  <c r="U352" i="2" s="1"/>
  <c r="K470" i="2"/>
  <c r="U470" i="2" s="1"/>
  <c r="K919" i="2"/>
  <c r="U919" i="2" s="1"/>
  <c r="K571" i="2"/>
  <c r="U571" i="2" s="1"/>
  <c r="K452" i="2"/>
  <c r="U452" i="2" s="1"/>
  <c r="K924" i="2"/>
  <c r="U924" i="2" s="1"/>
  <c r="K806" i="2"/>
  <c r="U806" i="2" s="1"/>
  <c r="K235" i="2"/>
  <c r="U235" i="2" s="1"/>
  <c r="K21" i="2"/>
  <c r="U21" i="2" s="1"/>
  <c r="K905" i="2"/>
  <c r="U905" i="2" s="1"/>
  <c r="U67" i="2"/>
  <c r="K445" i="2"/>
  <c r="U445" i="2" s="1"/>
  <c r="K456" i="2"/>
  <c r="U456" i="2" s="1"/>
  <c r="K252" i="2"/>
  <c r="U252" i="2" s="1"/>
  <c r="K251" i="2"/>
  <c r="U251" i="2" s="1"/>
  <c r="K939" i="2"/>
  <c r="U939" i="2" s="1"/>
  <c r="K599" i="2"/>
  <c r="U599" i="2" s="1"/>
  <c r="K842" i="2"/>
  <c r="U842" i="2" s="1"/>
  <c r="K451" i="2"/>
  <c r="U451" i="2" s="1"/>
  <c r="K115" i="2"/>
  <c r="U115" i="2" s="1"/>
  <c r="K912" i="2"/>
  <c r="U912" i="2" s="1"/>
  <c r="K359" i="2"/>
  <c r="U359" i="2" s="1"/>
  <c r="K353" i="2"/>
  <c r="U353" i="2" s="1"/>
  <c r="K211" i="2"/>
  <c r="U211" i="2" s="1"/>
  <c r="K38" i="2"/>
  <c r="U38" i="2" s="1"/>
  <c r="K37" i="2"/>
  <c r="U37" i="2" s="1"/>
  <c r="K232" i="2"/>
  <c r="U232" i="2" s="1"/>
  <c r="K199" i="2"/>
  <c r="U199" i="2" s="1"/>
  <c r="U19" i="2"/>
  <c r="K332" i="2"/>
  <c r="U332" i="2" s="1"/>
  <c r="K955" i="2"/>
  <c r="U955" i="2" s="1"/>
  <c r="K345" i="2"/>
  <c r="U345" i="2" s="1"/>
  <c r="K219" i="2"/>
  <c r="K603" i="2"/>
  <c r="U603" i="2" s="1"/>
  <c r="K573" i="2"/>
  <c r="U573" i="2" s="1"/>
  <c r="K674" i="2"/>
  <c r="U674" i="2" s="1"/>
  <c r="K112" i="2"/>
  <c r="U112" i="2" s="1"/>
  <c r="K114" i="2"/>
  <c r="U114" i="2" s="1"/>
  <c r="K908" i="2"/>
  <c r="U908" i="2" s="1"/>
  <c r="K259" i="2"/>
  <c r="U259" i="2" s="1"/>
  <c r="K200" i="2"/>
  <c r="U200" i="2" s="1"/>
  <c r="K231" i="2"/>
  <c r="U231" i="2" s="1"/>
  <c r="K714" i="2"/>
  <c r="U714" i="2" s="1"/>
  <c r="K457" i="2"/>
  <c r="U457" i="2" s="1"/>
  <c r="K367" i="2"/>
  <c r="U367" i="2" s="1"/>
  <c r="K854" i="2"/>
  <c r="U854" i="2" s="1"/>
  <c r="K579" i="2"/>
  <c r="U579" i="2" s="1"/>
  <c r="K575" i="2"/>
  <c r="U575" i="2" s="1"/>
  <c r="K698" i="2"/>
  <c r="U698" i="2" s="1"/>
  <c r="K331" i="2"/>
  <c r="U331" i="2" s="1"/>
  <c r="K340" i="2"/>
  <c r="U340" i="2" s="1"/>
  <c r="K215" i="2"/>
  <c r="U215" i="2" s="1"/>
  <c r="K598" i="2"/>
  <c r="U598" i="2" s="1"/>
  <c r="K834" i="2"/>
  <c r="U834" i="2" s="1"/>
  <c r="K569" i="2"/>
  <c r="U569" i="2" s="1"/>
  <c r="K107" i="2"/>
  <c r="U107" i="2" s="1"/>
  <c r="K113" i="2"/>
  <c r="U113" i="2" s="1"/>
  <c r="K915" i="2"/>
  <c r="U915" i="2" s="1"/>
  <c r="K557" i="2"/>
  <c r="U557" i="2" s="1"/>
  <c r="K358" i="2"/>
  <c r="U358" i="2" s="1"/>
  <c r="K351" i="2"/>
  <c r="U351" i="2" s="1"/>
  <c r="K364" i="2"/>
  <c r="U364" i="2" s="1"/>
  <c r="K320" i="2"/>
  <c r="U320" i="2" s="1"/>
  <c r="K308" i="2"/>
  <c r="U308" i="2" s="1"/>
  <c r="K120" i="2"/>
  <c r="U120" i="2" s="1"/>
  <c r="K135" i="2"/>
  <c r="U135" i="2" s="1"/>
  <c r="K130" i="2"/>
  <c r="U130" i="2" s="1"/>
  <c r="K370" i="2"/>
  <c r="U370" i="2" s="1"/>
  <c r="K907" i="2"/>
  <c r="U907" i="2" s="1"/>
  <c r="K394" i="2"/>
  <c r="U394" i="2" s="1"/>
  <c r="K729" i="2"/>
  <c r="U729" i="2" s="1"/>
  <c r="K763" i="2"/>
  <c r="U763" i="2" s="1"/>
  <c r="K545" i="2"/>
  <c r="U545" i="2" s="1"/>
  <c r="K288" i="2"/>
  <c r="U288" i="2" s="1"/>
  <c r="K933" i="2"/>
  <c r="U933" i="2" s="1"/>
  <c r="K850" i="2"/>
  <c r="U850" i="2" s="1"/>
  <c r="K458" i="2"/>
  <c r="U458" i="2" s="1"/>
  <c r="K459" i="2"/>
  <c r="U459" i="2" s="1"/>
  <c r="K694" i="2"/>
  <c r="U694" i="2" s="1"/>
  <c r="K341" i="2"/>
  <c r="U341" i="2" s="1"/>
  <c r="K945" i="2"/>
  <c r="U945" i="2" s="1"/>
  <c r="K932" i="2"/>
  <c r="U932" i="2" s="1"/>
  <c r="K453" i="2"/>
  <c r="U453" i="2" s="1"/>
  <c r="K100" i="2"/>
  <c r="U100" i="2" s="1"/>
  <c r="K109" i="2"/>
  <c r="U109" i="2" s="1"/>
  <c r="K595" i="2"/>
  <c r="U595" i="2" s="1"/>
  <c r="K441" i="2"/>
  <c r="U441" i="2" s="1"/>
  <c r="K208" i="2"/>
  <c r="U208" i="2" s="1"/>
  <c r="K244" i="2"/>
  <c r="U244" i="2" s="1"/>
  <c r="K121" i="2"/>
  <c r="U121" i="2" s="1"/>
  <c r="K899" i="2"/>
  <c r="U899" i="2" s="1"/>
  <c r="K889" i="2"/>
  <c r="U889" i="2" s="1"/>
  <c r="K739" i="2"/>
  <c r="U739" i="2" s="1"/>
  <c r="K678" i="2"/>
  <c r="U678" i="2" s="1"/>
  <c r="K737" i="2"/>
  <c r="U737" i="2" s="1"/>
  <c r="K460" i="2"/>
  <c r="U460" i="2" s="1"/>
  <c r="K426" i="2"/>
  <c r="U426" i="2" s="1"/>
  <c r="K26" i="2"/>
  <c r="U26" i="2" s="1"/>
  <c r="K25" i="2"/>
  <c r="U25" i="2" s="1"/>
  <c r="K366" i="2"/>
  <c r="U366" i="2" s="1"/>
  <c r="K437" i="2"/>
  <c r="U437" i="2" s="1"/>
  <c r="K376" i="2"/>
  <c r="U376" i="2" s="1"/>
  <c r="K467" i="2"/>
  <c r="U467" i="2" s="1"/>
  <c r="K510" i="2"/>
  <c r="U510" i="2" s="1"/>
  <c r="K636" i="2"/>
  <c r="U636" i="2" s="1"/>
  <c r="K761" i="2"/>
  <c r="U761" i="2" s="1"/>
  <c r="K204" i="2"/>
  <c r="U204" i="2" s="1"/>
  <c r="U621" i="2"/>
  <c r="K317" i="2"/>
  <c r="U317" i="2" s="1"/>
  <c r="K814" i="2"/>
  <c r="U814" i="2" s="1"/>
  <c r="K563" i="2"/>
  <c r="U563" i="2" s="1"/>
  <c r="K533" i="2"/>
  <c r="U533" i="2" s="1"/>
  <c r="K893" i="2"/>
  <c r="U893" i="2" s="1"/>
  <c r="K888" i="2"/>
  <c r="U888" i="2" s="1"/>
  <c r="K887" i="2"/>
  <c r="U887" i="2" s="1"/>
  <c r="K81" i="2"/>
  <c r="U81" i="2" s="1"/>
  <c r="K110" i="2"/>
  <c r="U110" i="2" s="1"/>
  <c r="K482" i="2"/>
  <c r="U482" i="2" s="1"/>
  <c r="K313" i="2"/>
  <c r="U313" i="2" s="1"/>
  <c r="K36" i="2"/>
  <c r="U36" i="2" s="1"/>
  <c r="K447" i="2"/>
  <c r="U447" i="2" s="1"/>
  <c r="K719" i="2"/>
  <c r="U719" i="2" s="1"/>
  <c r="K417" i="2"/>
  <c r="U417" i="2" s="1"/>
  <c r="K87" i="2"/>
  <c r="U87" i="2" s="1"/>
  <c r="K82" i="2"/>
  <c r="U82" i="2" s="1"/>
  <c r="K800" i="2"/>
  <c r="U800" i="2" s="1"/>
  <c r="K260" i="2"/>
  <c r="U260" i="2" s="1"/>
  <c r="K616" i="2"/>
  <c r="U616" i="2" s="1"/>
  <c r="K131" i="2"/>
  <c r="U131" i="2" s="1"/>
  <c r="K126" i="2"/>
  <c r="U126" i="2" s="1"/>
  <c r="K382" i="2"/>
  <c r="U382" i="2" s="1"/>
  <c r="K414" i="2"/>
  <c r="U414" i="2" s="1"/>
  <c r="K471" i="2"/>
  <c r="U471" i="2" s="1"/>
  <c r="K640" i="2"/>
  <c r="U640" i="2" s="1"/>
  <c r="K759" i="2"/>
  <c r="U759" i="2" s="1"/>
  <c r="K429" i="2"/>
  <c r="U429" i="2" s="1"/>
  <c r="K61" i="2"/>
  <c r="U61" i="2" s="1"/>
  <c r="K207" i="2"/>
  <c r="U207" i="2" s="1"/>
  <c r="U642" i="2"/>
  <c r="K125" i="2"/>
  <c r="U125" i="2" s="1"/>
  <c r="K227" i="2"/>
  <c r="U227" i="2" s="1"/>
  <c r="K710" i="2"/>
  <c r="U710" i="2" s="1"/>
  <c r="K150" i="2"/>
  <c r="U150" i="2" s="1"/>
  <c r="K838" i="2"/>
  <c r="U838" i="2" s="1"/>
  <c r="K558" i="2"/>
  <c r="U558" i="2" s="1"/>
  <c r="K355" i="2"/>
  <c r="U355" i="2" s="1"/>
  <c r="K128" i="2"/>
  <c r="U128" i="2" s="1"/>
  <c r="K897" i="2"/>
  <c r="U897" i="2" s="1"/>
  <c r="K614" i="2"/>
  <c r="U614" i="2" s="1"/>
  <c r="K747" i="2"/>
  <c r="U747" i="2" s="1"/>
  <c r="K764" i="2"/>
  <c r="U764" i="2" s="1"/>
  <c r="K549" i="2"/>
  <c r="U549" i="2" s="1"/>
  <c r="K57" i="2"/>
  <c r="U57" i="2" s="1"/>
  <c r="K891" i="2"/>
  <c r="U891" i="2" s="1"/>
  <c r="K553" i="2"/>
  <c r="U553" i="2" s="1"/>
  <c r="K731" i="2"/>
  <c r="U731" i="2" s="1"/>
  <c r="K534" i="2"/>
  <c r="U534" i="2" s="1"/>
  <c r="K773" i="2"/>
  <c r="U773" i="2" s="1"/>
  <c r="K986" i="2"/>
  <c r="U986" i="2" s="1"/>
  <c r="K164" i="2"/>
  <c r="U164" i="2" s="1"/>
  <c r="K882" i="2"/>
  <c r="U882" i="2" s="1"/>
  <c r="K767" i="2"/>
  <c r="U767" i="2" s="1"/>
  <c r="K154" i="2"/>
  <c r="U154" i="2" s="1"/>
  <c r="K202" i="2"/>
  <c r="U202" i="2" s="1"/>
  <c r="U660" i="2"/>
  <c r="U365" i="2"/>
  <c r="U962" i="2"/>
  <c r="U527" i="2"/>
  <c r="U624" i="2"/>
  <c r="U751" i="2"/>
  <c r="U782" i="2"/>
  <c r="U568" i="2"/>
  <c r="U329" i="2"/>
  <c r="U687" i="2"/>
  <c r="U35" i="2"/>
  <c r="U683" i="2"/>
  <c r="U219" i="2"/>
  <c r="U802" i="2"/>
  <c r="U930" i="2"/>
  <c r="U127" i="2"/>
  <c r="U910" i="2"/>
  <c r="U938" i="2"/>
  <c r="U578" i="2"/>
  <c r="U775" i="2"/>
  <c r="U680" i="2"/>
  <c r="U730" i="2"/>
  <c r="U385" i="2"/>
  <c r="U635" i="2"/>
  <c r="U258" i="2"/>
  <c r="U183" i="2"/>
  <c r="U53" i="2"/>
  <c r="U734" i="2"/>
  <c r="U69" i="2"/>
  <c r="U958" i="2"/>
  <c r="U49" i="2"/>
  <c r="U779" i="2"/>
  <c r="U399" i="2"/>
  <c r="U663" i="2"/>
  <c r="U926" i="2"/>
  <c r="U1010" i="2"/>
  <c r="U282" i="2"/>
  <c r="U20" i="2"/>
  <c r="U649" i="2"/>
  <c r="U156" i="2"/>
  <c r="U543" i="2"/>
  <c r="U139" i="2"/>
  <c r="U639" i="2"/>
  <c r="U395" i="2"/>
  <c r="U513" i="2"/>
  <c r="U559" i="2"/>
  <c r="U656" i="2"/>
  <c r="U286" i="2"/>
  <c r="U436" i="2"/>
  <c r="U1005" i="2"/>
  <c r="U187" i="2"/>
  <c r="U606" i="2"/>
  <c r="U462" i="2"/>
  <c r="U266" i="2"/>
  <c r="U39" i="2"/>
  <c r="U16" i="2"/>
  <c r="U565" i="2"/>
  <c r="K951" i="2"/>
  <c r="U951" i="2" s="1"/>
  <c r="K487" i="2"/>
  <c r="U487" i="2" s="1"/>
  <c r="K214" i="2"/>
  <c r="U214" i="2" s="1"/>
  <c r="K936" i="2"/>
  <c r="U936" i="2" s="1"/>
  <c r="K931" i="2"/>
  <c r="U931" i="2" s="1"/>
  <c r="K840" i="2"/>
  <c r="U840" i="2" s="1"/>
  <c r="K475" i="2"/>
  <c r="U475" i="2" s="1"/>
  <c r="K807" i="2"/>
  <c r="U807" i="2" s="1"/>
  <c r="K804" i="2"/>
  <c r="U804" i="2" s="1"/>
  <c r="K223" i="2"/>
  <c r="U223" i="2" s="1"/>
  <c r="K184" i="2"/>
  <c r="U184" i="2" s="1"/>
  <c r="K371" i="2"/>
  <c r="U371" i="2" s="1"/>
  <c r="K384" i="2"/>
  <c r="U384" i="2" s="1"/>
  <c r="K787" i="2"/>
  <c r="U787" i="2" s="1"/>
  <c r="K769" i="2"/>
  <c r="U769" i="2" s="1"/>
  <c r="K643" i="2"/>
  <c r="U643" i="2" s="1"/>
  <c r="K634" i="2"/>
  <c r="U634" i="2" s="1"/>
  <c r="K982" i="2"/>
  <c r="U982" i="2" s="1"/>
  <c r="K170" i="2"/>
  <c r="U170" i="2" s="1"/>
  <c r="K878" i="2"/>
  <c r="U878" i="2" s="1"/>
  <c r="K152" i="2"/>
  <c r="U152" i="2" s="1"/>
  <c r="K147" i="2"/>
  <c r="U147" i="2" s="1"/>
  <c r="K153" i="2"/>
  <c r="U153" i="2" s="1"/>
  <c r="K577" i="2"/>
  <c r="U577" i="2" s="1"/>
  <c r="K672" i="2"/>
  <c r="U672" i="2" s="1"/>
  <c r="K792" i="2"/>
  <c r="U792" i="2" s="1"/>
  <c r="K947" i="2"/>
  <c r="U947" i="2" s="1"/>
  <c r="K233" i="2"/>
  <c r="U233" i="2" s="1"/>
  <c r="K254" i="2"/>
  <c r="U254" i="2" s="1"/>
  <c r="K929" i="2"/>
  <c r="U929" i="2" s="1"/>
  <c r="K478" i="2"/>
  <c r="U478" i="2" s="1"/>
  <c r="K846" i="2"/>
  <c r="U846" i="2" s="1"/>
  <c r="K673" i="2"/>
  <c r="U673" i="2" s="1"/>
  <c r="K476" i="2"/>
  <c r="U476" i="2" s="1"/>
  <c r="K793" i="2"/>
  <c r="U793" i="2" s="1"/>
  <c r="K256" i="2"/>
  <c r="U256" i="2" s="1"/>
  <c r="K198" i="2"/>
  <c r="U198" i="2" s="1"/>
  <c r="K201" i="2"/>
  <c r="U201" i="2" s="1"/>
  <c r="K373" i="2"/>
  <c r="U373" i="2" s="1"/>
  <c r="K267" i="2"/>
  <c r="U267" i="2" s="1"/>
  <c r="K484" i="2"/>
  <c r="U484" i="2" s="1"/>
  <c r="K480" i="2"/>
  <c r="U480" i="2" s="1"/>
  <c r="K224" i="2"/>
  <c r="U224" i="2" s="1"/>
  <c r="K209" i="2"/>
  <c r="U209" i="2" s="1"/>
  <c r="K379" i="2"/>
  <c r="U379" i="2" s="1"/>
  <c r="K369" i="2"/>
  <c r="U369" i="2" s="1"/>
  <c r="K263" i="2"/>
  <c r="U263" i="2" s="1"/>
  <c r="K777" i="2"/>
  <c r="U777" i="2" s="1"/>
  <c r="K514" i="2"/>
  <c r="U514" i="2" s="1"/>
  <c r="K388" i="2"/>
  <c r="U388" i="2" s="1"/>
  <c r="K155" i="2"/>
  <c r="U155" i="2" s="1"/>
  <c r="K206" i="2"/>
  <c r="U206" i="2" s="1"/>
  <c r="K205" i="2"/>
  <c r="U205" i="2" s="1"/>
  <c r="U4" i="2"/>
  <c r="K667" i="2"/>
  <c r="U667" i="2" s="1"/>
  <c r="K654" i="2"/>
  <c r="U654" i="2" s="1"/>
  <c r="K923" i="2"/>
  <c r="U923" i="2" s="1"/>
  <c r="K596" i="2"/>
  <c r="U596" i="2" s="1"/>
  <c r="K124" i="2"/>
  <c r="U124" i="2" s="1"/>
  <c r="K123" i="2"/>
  <c r="U123" i="2" s="1"/>
  <c r="K118" i="2"/>
  <c r="U118" i="2" s="1"/>
  <c r="K386" i="2"/>
  <c r="U386" i="2" s="1"/>
  <c r="K780" i="2"/>
  <c r="U780" i="2" s="1"/>
  <c r="K748" i="2"/>
  <c r="U748" i="2" s="1"/>
  <c r="K243" i="2"/>
  <c r="U243" i="2" s="1"/>
  <c r="K682" i="2"/>
  <c r="U682" i="2" s="1"/>
  <c r="K363" i="2"/>
  <c r="U363" i="2" s="1"/>
  <c r="K248" i="2"/>
  <c r="U248" i="2" s="1"/>
  <c r="K18" i="2"/>
  <c r="U18" i="2" s="1"/>
  <c r="K722" i="2"/>
  <c r="U722" i="2" s="1"/>
  <c r="K58" i="2"/>
  <c r="U58" i="2" s="1"/>
  <c r="K894" i="2"/>
  <c r="U894" i="2" s="1"/>
  <c r="K515" i="2"/>
  <c r="U515" i="2" s="1"/>
  <c r="K644" i="2"/>
  <c r="U644" i="2" s="1"/>
  <c r="K985" i="2"/>
  <c r="U985" i="2" s="1"/>
  <c r="K165" i="2"/>
  <c r="U165" i="2" s="1"/>
  <c r="K581" i="2"/>
  <c r="U581" i="2" s="1"/>
  <c r="K963" i="2"/>
  <c r="U963" i="2" s="1"/>
  <c r="K765" i="2"/>
  <c r="U765" i="2" s="1"/>
  <c r="K587" i="2"/>
  <c r="U587" i="2" s="1"/>
  <c r="K65" i="2"/>
  <c r="U65" i="2" s="1"/>
  <c r="K772" i="2"/>
  <c r="U772" i="2" s="1"/>
  <c r="K853" i="2"/>
  <c r="U853" i="2" s="1"/>
  <c r="K848" i="2"/>
  <c r="U848" i="2" s="1"/>
  <c r="K950" i="2"/>
  <c r="U950" i="2" s="1"/>
  <c r="K609" i="2"/>
  <c r="U609" i="2" s="1"/>
  <c r="K688" i="2"/>
  <c r="U688" i="2" s="1"/>
  <c r="K942" i="2"/>
  <c r="U942" i="2" s="1"/>
  <c r="K829" i="2"/>
  <c r="U829" i="2" s="1"/>
  <c r="K285" i="2"/>
  <c r="U285" i="2" s="1"/>
  <c r="K994" i="2"/>
  <c r="U994" i="2" s="1"/>
  <c r="K999" i="2"/>
  <c r="U999" i="2" s="1"/>
  <c r="K133" i="2"/>
  <c r="U133" i="2" s="1"/>
  <c r="K718" i="2"/>
  <c r="U718" i="2" s="1"/>
  <c r="K415" i="2"/>
  <c r="U415" i="2" s="1"/>
  <c r="K970" i="2"/>
  <c r="U970" i="2" s="1"/>
  <c r="K746" i="2"/>
  <c r="U746" i="2" s="1"/>
  <c r="K418" i="2"/>
  <c r="U418" i="2" s="1"/>
  <c r="K420" i="2"/>
  <c r="U420" i="2" s="1"/>
  <c r="K463" i="2"/>
  <c r="U463" i="2" s="1"/>
  <c r="K1015" i="2"/>
  <c r="U1015" i="2" s="1"/>
  <c r="K424" i="2"/>
  <c r="U424" i="2" s="1"/>
  <c r="K23" i="2"/>
  <c r="U23" i="2" s="1"/>
  <c r="K296" i="2"/>
  <c r="U296" i="2" s="1"/>
  <c r="K402" i="2"/>
  <c r="U402" i="2" s="1"/>
  <c r="K803" i="2"/>
  <c r="U803" i="2" s="1"/>
  <c r="K996" i="2"/>
  <c r="U996" i="2" s="1"/>
  <c r="K998" i="2"/>
  <c r="U998" i="2" s="1"/>
  <c r="K228" i="2"/>
  <c r="U228" i="2" s="1"/>
  <c r="K890" i="2"/>
  <c r="U890" i="2" s="1"/>
  <c r="K664" i="2"/>
  <c r="U664" i="2" s="1"/>
  <c r="K874" i="2"/>
  <c r="U874" i="2" s="1"/>
  <c r="K149" i="2"/>
  <c r="U149" i="2" s="1"/>
  <c r="K937" i="2"/>
  <c r="U937" i="2" s="1"/>
  <c r="K602" i="2"/>
  <c r="U602" i="2" s="1"/>
  <c r="K572" i="2"/>
  <c r="U572" i="2" s="1"/>
  <c r="K795" i="2"/>
  <c r="U795" i="2" s="1"/>
  <c r="K801" i="2"/>
  <c r="U801" i="2" s="1"/>
  <c r="K237" i="2"/>
  <c r="U237" i="2" s="1"/>
  <c r="K1000" i="2"/>
  <c r="U1000" i="2" s="1"/>
  <c r="K446" i="2"/>
  <c r="U446" i="2" s="1"/>
  <c r="K820" i="2"/>
  <c r="U820" i="2" s="1"/>
  <c r="K381" i="2"/>
  <c r="U381" i="2" s="1"/>
  <c r="K512" i="2"/>
  <c r="U512" i="2" s="1"/>
  <c r="K168" i="2"/>
  <c r="U168" i="2" s="1"/>
  <c r="K163" i="2"/>
  <c r="U163" i="2" s="1"/>
  <c r="K136" i="2"/>
  <c r="U136" i="2" s="1"/>
  <c r="K141" i="2"/>
  <c r="U141" i="2" s="1"/>
  <c r="K686" i="2"/>
  <c r="U686" i="2" s="1"/>
  <c r="K668" i="2"/>
  <c r="U668" i="2" s="1"/>
  <c r="K788" i="2"/>
  <c r="U788" i="2" s="1"/>
  <c r="K556" i="2"/>
  <c r="U556" i="2" s="1"/>
  <c r="K246" i="2"/>
  <c r="U246" i="2" s="1"/>
  <c r="K816" i="2"/>
  <c r="U816" i="2" s="1"/>
  <c r="K387" i="2"/>
  <c r="U387" i="2" s="1"/>
  <c r="K377" i="2"/>
  <c r="U377" i="2" s="1"/>
  <c r="K771" i="2"/>
  <c r="U771" i="2" s="1"/>
  <c r="K785" i="2"/>
  <c r="U785" i="2" s="1"/>
  <c r="K641" i="2"/>
  <c r="U641" i="2" s="1"/>
  <c r="K628" i="2"/>
  <c r="U628" i="2" s="1"/>
  <c r="K137" i="2"/>
  <c r="U137" i="2" s="1"/>
  <c r="K516" i="2"/>
  <c r="U516" i="2" s="1"/>
  <c r="K140" i="2"/>
  <c r="U140" i="2" s="1"/>
  <c r="K238" i="2"/>
  <c r="U238" i="2" s="1"/>
  <c r="K241" i="2"/>
  <c r="U241" i="2" s="1"/>
  <c r="K171" i="2"/>
  <c r="U171" i="2" s="1"/>
  <c r="K166" i="2"/>
  <c r="U166" i="2" s="1"/>
  <c r="K491" i="2"/>
  <c r="U491" i="2" s="1"/>
  <c r="K783" i="2"/>
  <c r="U783" i="2" s="1"/>
  <c r="K554" i="2"/>
  <c r="U554" i="2" s="1"/>
  <c r="K630" i="2"/>
  <c r="U630" i="2" s="1"/>
  <c r="K490" i="2"/>
  <c r="U490" i="2" s="1"/>
  <c r="K143" i="2"/>
  <c r="U143" i="2" s="1"/>
  <c r="K146" i="2"/>
  <c r="U146" i="2" s="1"/>
  <c r="K959" i="2"/>
  <c r="U959" i="2" s="1"/>
  <c r="K448" i="2"/>
  <c r="U448" i="2" s="1"/>
  <c r="K14" i="2"/>
  <c r="U14" i="2" s="1"/>
  <c r="K13" i="2"/>
  <c r="U13" i="2" s="1"/>
  <c r="K439" i="2"/>
  <c r="U439" i="2" s="1"/>
  <c r="K324" i="2"/>
  <c r="U324" i="2" s="1"/>
  <c r="K325" i="2"/>
  <c r="U325" i="2" s="1"/>
  <c r="K444" i="2"/>
  <c r="U444" i="2" s="1"/>
  <c r="K709" i="2"/>
  <c r="U709" i="2" s="1"/>
  <c r="K901" i="2"/>
  <c r="U901" i="2" s="1"/>
  <c r="K32" i="2"/>
  <c r="U32" i="2" s="1"/>
  <c r="K31" i="2"/>
  <c r="U31" i="2" s="1"/>
  <c r="K526" i="2"/>
  <c r="U526" i="2" s="1"/>
  <c r="K10" i="2"/>
  <c r="U10" i="2" s="1"/>
  <c r="K438" i="2"/>
  <c r="U438" i="2" s="1"/>
  <c r="K319" i="2"/>
  <c r="U319" i="2" s="1"/>
  <c r="K326" i="2"/>
  <c r="U326" i="2" s="1"/>
  <c r="K321" i="2"/>
  <c r="U321" i="2" s="1"/>
  <c r="K567" i="2"/>
  <c r="U567" i="2" s="1"/>
  <c r="K727" i="2"/>
  <c r="U727" i="2" s="1"/>
  <c r="K537" i="2"/>
  <c r="U537" i="2" s="1"/>
  <c r="K892" i="2"/>
  <c r="U892" i="2" s="1"/>
  <c r="K733" i="2"/>
  <c r="U733" i="2" s="1"/>
  <c r="K80" i="2"/>
  <c r="U80" i="2" s="1"/>
  <c r="K95" i="2"/>
  <c r="U95" i="2" s="1"/>
  <c r="K327" i="2"/>
  <c r="U327" i="2" s="1"/>
  <c r="K314" i="2"/>
  <c r="U314" i="2" s="1"/>
  <c r="K309" i="2"/>
  <c r="U309" i="2" s="1"/>
  <c r="K725" i="2"/>
  <c r="U725" i="2" s="1"/>
  <c r="K879" i="2"/>
  <c r="U879" i="2" s="1"/>
  <c r="K354" i="2"/>
  <c r="U354" i="2" s="1"/>
  <c r="K711" i="2"/>
  <c r="U711" i="2" s="1"/>
  <c r="K541" i="2"/>
  <c r="U541" i="2" s="1"/>
  <c r="K885" i="2"/>
  <c r="U885" i="2" s="1"/>
  <c r="K41" i="2"/>
  <c r="U41" i="2" s="1"/>
  <c r="K946" i="2"/>
  <c r="U946" i="2" s="1"/>
  <c r="K75" i="2"/>
  <c r="U75" i="2" s="1"/>
  <c r="K592" i="2"/>
  <c r="U592" i="2" s="1"/>
  <c r="K311" i="2"/>
  <c r="U311" i="2" s="1"/>
  <c r="K312" i="2"/>
  <c r="U312" i="2" s="1"/>
  <c r="K71" i="2"/>
  <c r="U71" i="2" s="1"/>
  <c r="K368" i="2"/>
  <c r="U368" i="2" s="1"/>
  <c r="K732" i="2"/>
  <c r="U732" i="2" s="1"/>
  <c r="K421" i="2"/>
  <c r="U421" i="2" s="1"/>
  <c r="K9" i="2"/>
  <c r="U9" i="2" s="1"/>
  <c r="K957" i="2"/>
  <c r="U957" i="2" s="1"/>
  <c r="K952" i="2"/>
  <c r="U952" i="2" s="1"/>
  <c r="K434" i="2"/>
  <c r="U434" i="2" s="1"/>
  <c r="K665" i="2"/>
  <c r="U665" i="2" s="1"/>
  <c r="K632" i="2"/>
  <c r="U632" i="2" s="1"/>
  <c r="K22" i="2"/>
  <c r="U22" i="2" s="1"/>
  <c r="K822" i="2"/>
  <c r="U822" i="2" s="1"/>
  <c r="K17" i="2"/>
  <c r="U17" i="2" s="1"/>
  <c r="K786" i="2"/>
  <c r="U786" i="2" s="1"/>
  <c r="K29" i="2"/>
  <c r="U29" i="2" s="1"/>
  <c r="K94" i="2"/>
  <c r="U94" i="2" s="1"/>
  <c r="K89" i="2"/>
  <c r="U89" i="2" s="1"/>
  <c r="K203" i="2"/>
  <c r="U203" i="2" s="1"/>
  <c r="K869" i="2"/>
  <c r="U869" i="2" s="1"/>
  <c r="K85" i="2"/>
  <c r="U85" i="2" s="1"/>
  <c r="K190" i="2"/>
  <c r="U190" i="2" s="1"/>
  <c r="K620" i="2"/>
  <c r="U620" i="2" s="1"/>
  <c r="K823" i="2"/>
  <c r="U823" i="2" s="1"/>
  <c r="K738" i="2"/>
  <c r="U738" i="2" s="1"/>
  <c r="K760" i="2"/>
  <c r="U760" i="2" s="1"/>
  <c r="K755" i="2"/>
  <c r="U755" i="2" s="1"/>
  <c r="K98" i="2"/>
  <c r="U98" i="2" s="1"/>
  <c r="K196" i="2"/>
  <c r="U196" i="2" s="1"/>
  <c r="K79" i="2"/>
  <c r="U79" i="2" s="1"/>
  <c r="K175" i="2"/>
  <c r="U175" i="2" s="1"/>
  <c r="K631" i="2"/>
  <c r="U631" i="2" s="1"/>
  <c r="K589" i="2"/>
  <c r="U589" i="2" s="1"/>
  <c r="K249" i="2"/>
  <c r="U249" i="2" s="1"/>
  <c r="K33" i="2"/>
  <c r="U33" i="2" s="1"/>
  <c r="K464" i="2"/>
  <c r="U464" i="2" s="1"/>
  <c r="K272" i="2"/>
  <c r="U272" i="2" s="1"/>
  <c r="K277" i="2"/>
  <c r="U277" i="2" s="1"/>
  <c r="K988" i="2"/>
  <c r="U988" i="2" s="1"/>
  <c r="K991" i="2"/>
  <c r="U991" i="2" s="1"/>
  <c r="K509" i="2"/>
  <c r="U509" i="2" s="1"/>
  <c r="K539" i="2"/>
  <c r="U539" i="2" s="1"/>
  <c r="K966" i="2"/>
  <c r="U966" i="2" s="1"/>
  <c r="K489" i="2"/>
  <c r="U489" i="2" s="1"/>
  <c r="K703" i="2"/>
  <c r="U703" i="2" s="1"/>
  <c r="K934" i="2"/>
  <c r="U934" i="2" s="1"/>
  <c r="K839" i="2"/>
  <c r="U839" i="2" s="1"/>
  <c r="K679" i="2"/>
  <c r="U679" i="2" s="1"/>
  <c r="K790" i="2"/>
  <c r="U790" i="2" s="1"/>
  <c r="K360" i="2"/>
  <c r="U360" i="2" s="1"/>
  <c r="K284" i="2"/>
  <c r="U284" i="2" s="1"/>
  <c r="K273" i="2"/>
  <c r="U273" i="2" s="1"/>
  <c r="K1001" i="2"/>
  <c r="U1001" i="2" s="1"/>
  <c r="K774" i="2"/>
  <c r="U774" i="2" s="1"/>
  <c r="K393" i="2"/>
  <c r="U393" i="2" s="1"/>
  <c r="K423" i="2"/>
  <c r="U423" i="2" s="1"/>
  <c r="K863" i="2"/>
  <c r="U863" i="2" s="1"/>
  <c r="K855" i="2"/>
  <c r="U855" i="2" s="1"/>
  <c r="K864" i="2"/>
  <c r="U864" i="2" s="1"/>
  <c r="K704" i="2"/>
  <c r="U704" i="2" s="1"/>
  <c r="K944" i="2"/>
  <c r="U944" i="2" s="1"/>
  <c r="K845" i="2"/>
  <c r="U845" i="2" s="1"/>
  <c r="K685" i="2"/>
  <c r="U685" i="2" s="1"/>
  <c r="K401" i="2"/>
  <c r="U401" i="2" s="1"/>
  <c r="K279" i="2"/>
  <c r="U279" i="2" s="1"/>
  <c r="K268" i="2"/>
  <c r="U268" i="2" s="1"/>
  <c r="K274" i="2"/>
  <c r="U274" i="2" s="1"/>
  <c r="K269" i="2"/>
  <c r="U269" i="2" s="1"/>
  <c r="K997" i="2"/>
  <c r="U997" i="2" s="1"/>
  <c r="K960" i="2"/>
  <c r="U960" i="2" s="1"/>
  <c r="K608" i="2"/>
  <c r="U608" i="2" s="1"/>
  <c r="K695" i="2"/>
  <c r="U695" i="2" s="1"/>
  <c r="K831" i="2"/>
  <c r="U831" i="2" s="1"/>
  <c r="K671" i="2"/>
  <c r="U671" i="2" s="1"/>
  <c r="K51" i="2"/>
  <c r="U51" i="2" s="1"/>
  <c r="K993" i="2"/>
  <c r="U993" i="2" s="1"/>
  <c r="K861" i="2"/>
  <c r="U861" i="2" s="1"/>
  <c r="K486" i="2"/>
  <c r="U486" i="2" s="1"/>
  <c r="K837" i="2"/>
  <c r="U837" i="2" s="1"/>
  <c r="K677" i="2"/>
  <c r="U677" i="2" s="1"/>
  <c r="K47" i="2"/>
  <c r="U47" i="2" s="1"/>
  <c r="K594" i="2"/>
  <c r="U594" i="2" s="1"/>
  <c r="K287" i="2"/>
  <c r="U287" i="2" s="1"/>
  <c r="K271" i="2"/>
  <c r="U271" i="2" s="1"/>
  <c r="K989" i="2"/>
  <c r="U989" i="2" s="1"/>
  <c r="K1007" i="2"/>
  <c r="U1007" i="2" s="1"/>
  <c r="K532" i="2"/>
  <c r="U532" i="2" s="1"/>
  <c r="K397" i="2"/>
  <c r="U397" i="2" s="1"/>
  <c r="K493" i="2"/>
  <c r="U493" i="2" s="1"/>
  <c r="K852" i="2"/>
  <c r="U852" i="2" s="1"/>
  <c r="K605" i="2"/>
  <c r="U605" i="2" s="1"/>
  <c r="K410" i="2"/>
  <c r="U410" i="2" s="1"/>
  <c r="K701" i="2"/>
  <c r="U701" i="2" s="1"/>
  <c r="K692" i="2"/>
  <c r="U692" i="2" s="1"/>
  <c r="K12" i="2"/>
  <c r="U12" i="2" s="1"/>
  <c r="K15" i="2"/>
  <c r="U15" i="2" s="1"/>
  <c r="K535" i="2"/>
  <c r="U535" i="2" s="1"/>
  <c r="K416" i="2"/>
  <c r="U416" i="2" s="1"/>
  <c r="K111" i="2"/>
  <c r="U111" i="2" s="1"/>
  <c r="K920" i="2"/>
  <c r="U920" i="2" s="1"/>
  <c r="K818" i="2"/>
  <c r="U818" i="2" s="1"/>
  <c r="K895" i="2"/>
  <c r="U895" i="2" s="1"/>
  <c r="K658" i="2"/>
  <c r="U658" i="2" s="1"/>
  <c r="K335" i="2"/>
  <c r="U335" i="2" s="1"/>
  <c r="K342" i="2"/>
  <c r="U342" i="2" s="1"/>
  <c r="K830" i="2"/>
  <c r="U830" i="2" s="1"/>
  <c r="K103" i="2"/>
  <c r="U103" i="2" s="1"/>
  <c r="K106" i="2"/>
  <c r="U106" i="2" s="1"/>
  <c r="K350" i="2"/>
  <c r="U350" i="2" s="1"/>
  <c r="K566" i="2"/>
  <c r="U566" i="2" s="1"/>
  <c r="K56" i="2"/>
  <c r="U56" i="2" s="1"/>
  <c r="K720" i="2"/>
  <c r="U720" i="2" s="1"/>
  <c r="K744" i="2"/>
  <c r="U744" i="2" s="1"/>
  <c r="K92" i="2"/>
  <c r="U92" i="2" s="1"/>
  <c r="K77" i="2"/>
  <c r="U77" i="2" s="1"/>
  <c r="K1025" i="2"/>
  <c r="U1025" i="2" s="1"/>
  <c r="K502" i="2"/>
  <c r="U502" i="2" s="1"/>
  <c r="K756" i="2"/>
  <c r="U756" i="2" s="1"/>
  <c r="K240" i="2"/>
  <c r="U240" i="2" s="1"/>
  <c r="K743" i="2"/>
  <c r="U743" i="2" s="1"/>
  <c r="K455" i="2"/>
  <c r="U455" i="2" s="1"/>
  <c r="K338" i="2"/>
  <c r="U338" i="2" s="1"/>
  <c r="K104" i="2"/>
  <c r="U104" i="2" s="1"/>
  <c r="K362" i="2"/>
  <c r="U362" i="2" s="1"/>
  <c r="K356" i="2"/>
  <c r="U356" i="2" s="1"/>
  <c r="K903" i="2"/>
  <c r="U903" i="2" s="1"/>
  <c r="K590" i="2"/>
  <c r="U590" i="2" s="1"/>
  <c r="K735" i="2"/>
  <c r="U735" i="2" s="1"/>
  <c r="K45" i="2"/>
  <c r="U45" i="2" s="1"/>
  <c r="K425" i="2"/>
  <c r="U425" i="2" s="1"/>
  <c r="K300" i="2"/>
  <c r="U300" i="2" s="1"/>
  <c r="K343" i="2"/>
  <c r="U343" i="2" s="1"/>
  <c r="K236" i="2"/>
  <c r="U236" i="2" s="1"/>
  <c r="K330" i="2"/>
  <c r="U330" i="2" s="1"/>
  <c r="K108" i="2"/>
  <c r="U108" i="2" s="1"/>
  <c r="K618" i="2"/>
  <c r="U618" i="2" s="1"/>
  <c r="K54" i="2"/>
  <c r="U54" i="2" s="1"/>
  <c r="K717" i="2"/>
  <c r="U717" i="2" s="1"/>
  <c r="K904" i="2"/>
  <c r="U904" i="2" s="1"/>
  <c r="K871" i="2"/>
  <c r="U871" i="2" s="1"/>
  <c r="K6" i="2"/>
  <c r="U6" i="2" s="1"/>
  <c r="K546" i="2"/>
  <c r="U546" i="2" s="1"/>
  <c r="K62" i="2"/>
  <c r="U62" i="2" s="1"/>
  <c r="K778" i="2"/>
  <c r="U778" i="2" s="1"/>
  <c r="K613" i="2"/>
  <c r="U613" i="2" s="1"/>
  <c r="K1018" i="2"/>
  <c r="U1018" i="2" s="1"/>
  <c r="K750" i="2"/>
  <c r="U750" i="2" s="1"/>
  <c r="K880" i="2"/>
  <c r="U880" i="2" s="1"/>
  <c r="K716" i="2"/>
  <c r="U716" i="2" s="1"/>
  <c r="K431" i="2"/>
  <c r="U431" i="2" s="1"/>
  <c r="K650" i="2"/>
  <c r="U650" i="2" s="1"/>
  <c r="K876" i="2"/>
  <c r="U876" i="2" s="1"/>
  <c r="K40" i="2"/>
  <c r="U40" i="2" s="1"/>
  <c r="K316" i="2"/>
  <c r="U316" i="2" s="1"/>
  <c r="K517" i="2"/>
  <c r="U517" i="2" s="1"/>
  <c r="K8" i="2"/>
  <c r="U8" i="2" s="1"/>
  <c r="K497" i="2"/>
  <c r="U497" i="2" s="1"/>
  <c r="K442" i="2"/>
  <c r="U442" i="2" s="1"/>
  <c r="K538" i="2"/>
  <c r="U538" i="2" s="1"/>
  <c r="K43" i="2"/>
  <c r="U43" i="2" s="1"/>
  <c r="K906" i="2"/>
  <c r="U906" i="2" s="1"/>
  <c r="K552" i="2"/>
  <c r="U552" i="2" s="1"/>
  <c r="K7" i="2"/>
  <c r="U7" i="2" s="1"/>
  <c r="K60" i="2"/>
  <c r="U60" i="2" s="1"/>
  <c r="K158" i="2"/>
  <c r="U158" i="2" s="1"/>
  <c r="K548" i="2"/>
  <c r="U548" i="2" s="1"/>
  <c r="K580" i="2"/>
  <c r="U580" i="2" s="1"/>
  <c r="K295" i="2"/>
  <c r="U295" i="2" s="1"/>
  <c r="K542" i="2"/>
  <c r="U542" i="2" s="1"/>
  <c r="K862" i="2"/>
  <c r="U862" i="2" s="1"/>
  <c r="K706" i="2"/>
  <c r="U706" i="2" s="1"/>
  <c r="K250" i="2"/>
  <c r="U250" i="2" s="1"/>
  <c r="K400" i="2"/>
  <c r="U400" i="2" s="1"/>
  <c r="K472" i="2"/>
  <c r="U472" i="2" s="1"/>
  <c r="K789" i="2"/>
  <c r="U789" i="2" s="1"/>
  <c r="K221" i="2"/>
  <c r="U221" i="2" s="1"/>
  <c r="K197" i="2"/>
  <c r="U197" i="2" s="1"/>
  <c r="K496" i="2"/>
  <c r="U496" i="2" s="1"/>
  <c r="K808" i="2"/>
  <c r="U808" i="2" s="1"/>
  <c r="K902" i="2"/>
  <c r="U902" i="2" s="1"/>
  <c r="K468" i="2"/>
  <c r="U468" i="2" s="1"/>
  <c r="K768" i="2"/>
  <c r="U768" i="2" s="1"/>
  <c r="K666" i="2"/>
  <c r="U666" i="2" s="1"/>
  <c r="K396" i="2"/>
  <c r="U396" i="2" s="1"/>
  <c r="K633" i="2"/>
  <c r="U633" i="2" s="1"/>
  <c r="K391" i="2"/>
  <c r="U391" i="2" s="1"/>
  <c r="K492" i="2"/>
  <c r="U492" i="2" s="1"/>
  <c r="K173" i="2"/>
  <c r="U173" i="2" s="1"/>
  <c r="K217" i="2"/>
  <c r="U217" i="2" s="1"/>
  <c r="K403" i="2"/>
  <c r="U403" i="2" s="1"/>
  <c r="K858" i="2"/>
  <c r="U858" i="2" s="1"/>
  <c r="K956" i="2"/>
  <c r="U956" i="2" s="1"/>
  <c r="K607" i="2"/>
  <c r="U607" i="2" s="1"/>
  <c r="K702" i="2"/>
  <c r="U702" i="2" s="1"/>
  <c r="K218" i="2"/>
  <c r="U218" i="2" s="1"/>
  <c r="K940" i="2"/>
  <c r="U940" i="2" s="1"/>
  <c r="K935" i="2"/>
  <c r="U935" i="2" s="1"/>
  <c r="K561" i="2"/>
  <c r="U561" i="2" s="1"/>
  <c r="K349" i="2"/>
  <c r="U349" i="2" s="1"/>
  <c r="K191" i="2"/>
  <c r="U191" i="2" s="1"/>
  <c r="K34" i="2"/>
  <c r="U34" i="2" s="1"/>
  <c r="K990" i="2"/>
  <c r="U990" i="2" s="1"/>
  <c r="K1004" i="2"/>
  <c r="U1004" i="2" s="1"/>
  <c r="K813" i="2"/>
  <c r="U813" i="2" s="1"/>
  <c r="K134" i="2"/>
  <c r="U134" i="2" s="1"/>
  <c r="K129" i="2"/>
  <c r="U129" i="2" s="1"/>
  <c r="K375" i="2"/>
  <c r="U375" i="2" s="1"/>
  <c r="K264" i="2"/>
  <c r="U264" i="2" s="1"/>
  <c r="K898" i="2"/>
  <c r="U898" i="2" s="1"/>
  <c r="K662" i="2"/>
  <c r="U662" i="2" s="1"/>
  <c r="K519" i="2"/>
  <c r="U519" i="2" s="1"/>
  <c r="K647" i="2"/>
  <c r="U647" i="2" s="1"/>
  <c r="K629" i="2"/>
  <c r="U629" i="2" s="1"/>
  <c r="K983" i="2"/>
  <c r="U983" i="2" s="1"/>
  <c r="K742" i="2"/>
  <c r="U742" i="2" s="1"/>
  <c r="K172" i="2"/>
  <c r="U172" i="2" s="1"/>
  <c r="K174" i="2"/>
  <c r="U174" i="2" s="1"/>
  <c r="K169" i="2"/>
  <c r="U169" i="2" s="1"/>
  <c r="K585" i="2"/>
  <c r="U585" i="2" s="1"/>
  <c r="K144" i="2"/>
  <c r="U144" i="2" s="1"/>
  <c r="K151" i="2"/>
  <c r="U151" i="2" s="1"/>
  <c r="K574" i="2"/>
  <c r="U574" i="2" s="1"/>
  <c r="K961" i="2"/>
  <c r="U961" i="2" s="1"/>
  <c r="K948" i="2"/>
  <c r="U948" i="2" s="1"/>
  <c r="K407" i="2"/>
  <c r="U407" i="2" s="1"/>
  <c r="K941" i="2"/>
  <c r="U941" i="2" s="1"/>
  <c r="K928" i="2"/>
  <c r="U928" i="2" s="1"/>
  <c r="K449" i="2"/>
  <c r="U449" i="2" s="1"/>
  <c r="K676" i="2"/>
  <c r="U676" i="2" s="1"/>
  <c r="K473" i="2"/>
  <c r="U473" i="2" s="1"/>
  <c r="K799" i="2"/>
  <c r="U799" i="2" s="1"/>
  <c r="K805" i="2"/>
  <c r="U805" i="2" s="1"/>
  <c r="K796" i="2"/>
  <c r="U796" i="2" s="1"/>
  <c r="K220" i="2"/>
  <c r="U220" i="2" s="1"/>
  <c r="K188" i="2"/>
  <c r="U188" i="2" s="1"/>
  <c r="K1002" i="2"/>
  <c r="U1002" i="2" s="1"/>
  <c r="K815" i="2"/>
  <c r="U815" i="2" s="1"/>
  <c r="K824" i="2"/>
  <c r="U824" i="2" s="1"/>
  <c r="K132" i="2"/>
  <c r="U132" i="2" s="1"/>
  <c r="K117" i="2"/>
  <c r="U117" i="2" s="1"/>
  <c r="K591" i="2"/>
  <c r="U591" i="2" s="1"/>
  <c r="K784" i="2"/>
  <c r="U784" i="2" s="1"/>
  <c r="K611" i="2"/>
  <c r="U611" i="2" s="1"/>
  <c r="K495" i="2"/>
  <c r="U495" i="2" s="1"/>
  <c r="K167" i="2"/>
  <c r="U167" i="2" s="1"/>
  <c r="K162" i="2"/>
  <c r="U162" i="2" s="1"/>
  <c r="K157" i="2"/>
  <c r="U157" i="2" s="1"/>
  <c r="K870" i="2"/>
  <c r="U870" i="2" s="1"/>
  <c r="K178" i="2"/>
  <c r="U178" i="2" s="1"/>
  <c r="K953" i="2"/>
  <c r="U953" i="2" s="1"/>
  <c r="K967" i="2"/>
  <c r="U967" i="2" s="1"/>
  <c r="K604" i="2"/>
  <c r="U604" i="2" s="1"/>
  <c r="K911" i="2"/>
  <c r="U911" i="2" s="1"/>
  <c r="K791" i="2"/>
  <c r="U791" i="2" s="1"/>
  <c r="K797" i="2"/>
  <c r="U797" i="2" s="1"/>
  <c r="K361" i="2"/>
  <c r="U361" i="2" s="1"/>
  <c r="K245" i="2"/>
  <c r="U245" i="2" s="1"/>
  <c r="K234" i="2"/>
  <c r="U234" i="2" s="1"/>
  <c r="K116" i="2"/>
  <c r="U116" i="2" s="1"/>
  <c r="K119" i="2"/>
  <c r="U119" i="2" s="1"/>
  <c r="K466" i="2"/>
  <c r="U466" i="2" s="1"/>
  <c r="K469" i="2"/>
  <c r="U469" i="2" s="1"/>
  <c r="K661" i="2"/>
  <c r="U661" i="2" s="1"/>
  <c r="K508" i="2"/>
  <c r="U508" i="2" s="1"/>
  <c r="K984" i="2"/>
  <c r="U984" i="2" s="1"/>
  <c r="K160" i="2"/>
  <c r="U160" i="2" s="1"/>
  <c r="K159" i="2"/>
  <c r="U159" i="2" s="1"/>
  <c r="K503" i="2"/>
  <c r="U503" i="2" s="1"/>
  <c r="K148" i="2"/>
  <c r="U148" i="2" s="1"/>
  <c r="K242" i="2"/>
  <c r="U242" i="2" s="1"/>
  <c r="K925" i="2"/>
  <c r="U925" i="2" s="1"/>
  <c r="K524" i="2"/>
  <c r="U524" i="2" s="1"/>
  <c r="K655" i="2"/>
  <c r="U655" i="2" s="1"/>
  <c r="K866" i="2"/>
  <c r="U866" i="2" s="1"/>
  <c r="K576" i="2"/>
  <c r="U576" i="2" s="1"/>
  <c r="K949" i="2"/>
  <c r="U949" i="2" s="1"/>
  <c r="K488" i="2"/>
  <c r="U488" i="2" s="1"/>
  <c r="K528" i="2"/>
  <c r="U528" i="2" s="1"/>
  <c r="K216" i="2"/>
  <c r="U216" i="2" s="1"/>
  <c r="K255" i="2"/>
  <c r="U255" i="2" s="1"/>
  <c r="K253" i="2"/>
  <c r="U253" i="2" s="1"/>
  <c r="K943" i="2"/>
  <c r="U943" i="2" s="1"/>
  <c r="K357" i="2"/>
  <c r="U357" i="2" s="1"/>
  <c r="K247" i="2"/>
  <c r="U247" i="2" s="1"/>
  <c r="K210" i="2"/>
  <c r="U210" i="2" s="1"/>
  <c r="K213" i="2"/>
  <c r="U213" i="2" s="1"/>
  <c r="K70" i="2"/>
  <c r="U70" i="2" s="1"/>
  <c r="K73" i="2"/>
  <c r="U73" i="2" s="1"/>
  <c r="K1006" i="2"/>
  <c r="U1006" i="2" s="1"/>
  <c r="K498" i="2"/>
  <c r="U498" i="2" s="1"/>
  <c r="K826" i="2"/>
  <c r="U826" i="2" s="1"/>
  <c r="K821" i="2"/>
  <c r="U821" i="2" s="1"/>
  <c r="K812" i="2"/>
  <c r="U812" i="2" s="1"/>
  <c r="K564" i="2"/>
  <c r="U564" i="2" s="1"/>
  <c r="K383" i="2"/>
  <c r="U383" i="2" s="1"/>
  <c r="K550" i="2"/>
  <c r="U550" i="2" s="1"/>
  <c r="K781" i="2"/>
  <c r="U781" i="2" s="1"/>
  <c r="K518" i="2"/>
  <c r="U518" i="2" s="1"/>
  <c r="K648" i="2"/>
  <c r="U648" i="2" s="1"/>
  <c r="K646" i="2"/>
  <c r="U646" i="2" s="1"/>
  <c r="K637" i="2"/>
  <c r="U637" i="2" s="1"/>
  <c r="K511" i="2"/>
  <c r="U511" i="2" s="1"/>
  <c r="K392" i="2"/>
  <c r="U392" i="2" s="1"/>
  <c r="K978" i="2"/>
  <c r="U978" i="2" s="1"/>
  <c r="K615" i="2"/>
  <c r="U615" i="2" s="1"/>
  <c r="K30" i="2"/>
  <c r="U30" i="2" s="1"/>
  <c r="K582" i="2"/>
  <c r="U582" i="2" s="1"/>
  <c r="K583" i="2"/>
  <c r="U583" i="2" s="1"/>
  <c r="K749" i="2"/>
  <c r="U749" i="2" s="1"/>
  <c r="K525" i="2"/>
  <c r="U525" i="2" s="1"/>
  <c r="K798" i="2"/>
  <c r="U798" i="2" s="1"/>
  <c r="K315" i="2"/>
  <c r="U315" i="2" s="1"/>
  <c r="K617" i="2"/>
  <c r="U617" i="2" s="1"/>
  <c r="K555" i="2"/>
  <c r="U555" i="2" s="1"/>
  <c r="K1014" i="2"/>
  <c r="U1014" i="2" s="1"/>
  <c r="K1011" i="2"/>
  <c r="U1011" i="2" s="1"/>
  <c r="K307" i="2"/>
  <c r="U307" i="2" s="1"/>
  <c r="K670" i="2"/>
  <c r="U670" i="2" s="1"/>
  <c r="K521" i="2"/>
  <c r="U521" i="2" s="1"/>
  <c r="K474" i="2"/>
  <c r="U474" i="2" s="1"/>
  <c r="K794" i="2"/>
  <c r="U794" i="2" s="1"/>
  <c r="K322" i="2"/>
  <c r="U322" i="2" s="1"/>
  <c r="K723" i="2"/>
  <c r="U723" i="2" s="1"/>
  <c r="K724" i="2"/>
  <c r="U724" i="2" s="1"/>
  <c r="K551" i="2"/>
  <c r="U551" i="2" s="1"/>
  <c r="K68" i="2"/>
  <c r="U68" i="2" s="1"/>
  <c r="K884" i="2"/>
  <c r="U884" i="2" s="1"/>
  <c r="K88" i="2"/>
  <c r="U88" i="2" s="1"/>
  <c r="K91" i="2"/>
  <c r="U91" i="2" s="1"/>
  <c r="K86" i="2"/>
  <c r="U86" i="2" s="1"/>
  <c r="K625" i="2"/>
  <c r="U625" i="2" s="1"/>
  <c r="K302" i="2"/>
  <c r="U302" i="2" s="1"/>
  <c r="K305" i="2"/>
  <c r="U305" i="2" s="1"/>
  <c r="K867" i="2"/>
  <c r="U867" i="2" s="1"/>
  <c r="K707" i="2"/>
  <c r="U707" i="2" s="1"/>
  <c r="K689" i="2"/>
  <c r="U689" i="2" s="1"/>
  <c r="K859" i="2"/>
  <c r="U859" i="2" s="1"/>
  <c r="K965" i="2"/>
  <c r="U965" i="2" s="1"/>
  <c r="K964" i="2"/>
  <c r="U964" i="2" s="1"/>
  <c r="K406" i="2"/>
  <c r="U406" i="2" s="1"/>
  <c r="K336" i="2"/>
  <c r="U336" i="2" s="1"/>
  <c r="K405" i="2"/>
  <c r="U405" i="2" s="1"/>
  <c r="K318" i="2"/>
  <c r="U318" i="2" s="1"/>
  <c r="K810" i="2"/>
  <c r="U810" i="2" s="1"/>
  <c r="K380" i="2"/>
  <c r="U380" i="2" s="1"/>
  <c r="K435" i="2"/>
  <c r="U435" i="2" s="1"/>
  <c r="K1012" i="2"/>
  <c r="U1012" i="2" s="1"/>
  <c r="K291" i="2"/>
  <c r="U291" i="2" s="1"/>
  <c r="K298" i="2"/>
  <c r="U298" i="2" s="1"/>
  <c r="K301" i="2"/>
  <c r="U301" i="2" s="1"/>
  <c r="K699" i="2"/>
  <c r="U699" i="2" s="1"/>
  <c r="K562" i="2"/>
  <c r="U562" i="2" s="1"/>
  <c r="K443" i="2"/>
  <c r="U443" i="2" s="1"/>
  <c r="K715" i="2"/>
  <c r="U715" i="2" s="1"/>
  <c r="K413" i="2"/>
  <c r="U413" i="2" s="1"/>
  <c r="K740" i="2"/>
  <c r="U740" i="2" s="1"/>
  <c r="K28" i="2"/>
  <c r="U28" i="2" s="1"/>
  <c r="K1021" i="2"/>
  <c r="U1021" i="2" s="1"/>
  <c r="K1008" i="2"/>
  <c r="U1008" i="2" s="1"/>
  <c r="K299" i="2"/>
  <c r="U299" i="2" s="1"/>
  <c r="K294" i="2"/>
  <c r="U294" i="2" s="1"/>
  <c r="K849" i="2"/>
  <c r="U849" i="2" s="1"/>
  <c r="K346" i="2"/>
  <c r="U346" i="2" s="1"/>
  <c r="K954" i="2"/>
  <c r="U954" i="2" s="1"/>
  <c r="K851" i="2"/>
  <c r="U851" i="2" s="1"/>
  <c r="K865" i="2"/>
  <c r="U865" i="2" s="1"/>
  <c r="K530" i="2"/>
  <c r="U530" i="2" s="1"/>
  <c r="K529" i="2"/>
  <c r="U529" i="2" s="1"/>
  <c r="K323" i="2"/>
  <c r="U323" i="2" s="1"/>
  <c r="K310" i="2"/>
  <c r="U310" i="2" s="1"/>
  <c r="K72" i="2"/>
  <c r="U72" i="2" s="1"/>
  <c r="K501" i="2"/>
  <c r="U501" i="2" s="1"/>
  <c r="K721" i="2"/>
  <c r="U721" i="2" s="1"/>
  <c r="K712" i="2"/>
  <c r="U712" i="2" s="1"/>
  <c r="K586" i="2"/>
  <c r="U586" i="2" s="1"/>
  <c r="K872" i="2"/>
  <c r="U872" i="2" s="1"/>
  <c r="K1027" i="2"/>
  <c r="U1027" i="2" s="1"/>
  <c r="K290" i="2"/>
  <c r="U290" i="2" s="1"/>
  <c r="K293" i="2"/>
  <c r="U293" i="2" s="1"/>
  <c r="K691" i="2"/>
  <c r="U691" i="2" s="1"/>
  <c r="K705" i="2"/>
  <c r="U705" i="2" s="1"/>
  <c r="K409" i="2"/>
  <c r="U409" i="2" s="1"/>
  <c r="K570" i="2"/>
  <c r="U570" i="2" s="1"/>
  <c r="K450" i="2"/>
  <c r="U450" i="2" s="1"/>
  <c r="K50" i="2"/>
  <c r="U50" i="2" s="1"/>
  <c r="K348" i="2"/>
  <c r="U348" i="2" s="1"/>
  <c r="K708" i="2"/>
  <c r="U708" i="2" s="1"/>
  <c r="K494" i="2"/>
  <c r="U494" i="2" s="1"/>
  <c r="K881" i="2"/>
  <c r="U881" i="2" s="1"/>
  <c r="K868" i="2"/>
  <c r="U868" i="2" s="1"/>
  <c r="K1013" i="2"/>
  <c r="U1013" i="2" s="1"/>
  <c r="K1023" i="2"/>
  <c r="U1023" i="2" s="1"/>
  <c r="K544" i="2"/>
  <c r="U544" i="2" s="1"/>
  <c r="K59" i="2"/>
  <c r="U59" i="2" s="1"/>
  <c r="K857" i="2"/>
  <c r="U857" i="2" s="1"/>
  <c r="K600" i="2"/>
  <c r="U600" i="2" s="1"/>
  <c r="K52" i="2"/>
  <c r="U52" i="2" s="1"/>
  <c r="K55" i="2"/>
  <c r="U55" i="2" s="1"/>
  <c r="K713" i="2"/>
  <c r="U713" i="2" s="1"/>
  <c r="K900" i="2"/>
  <c r="U900" i="2" s="1"/>
  <c r="K1009" i="2"/>
  <c r="U1009" i="2" s="1"/>
  <c r="K1019" i="2"/>
  <c r="U1019" i="2" s="1"/>
  <c r="K506" i="2"/>
  <c r="U506" i="2" s="1"/>
  <c r="K505" i="2"/>
  <c r="U505" i="2" s="1"/>
  <c r="K547" i="2"/>
  <c r="U547" i="2" s="1"/>
  <c r="K428" i="2"/>
  <c r="U428" i="2" s="1"/>
  <c r="K27" i="2"/>
  <c r="U27" i="2" s="1"/>
  <c r="K303" i="2"/>
  <c r="U303" i="2" s="1"/>
  <c r="K195" i="2"/>
  <c r="U195" i="2" s="1"/>
  <c r="K817" i="2"/>
  <c r="U817" i="2" s="1"/>
  <c r="K229" i="2"/>
  <c r="U229" i="2" s="1"/>
  <c r="K412" i="2"/>
  <c r="U412" i="2" s="1"/>
  <c r="K653" i="2"/>
  <c r="U653" i="2" s="1"/>
  <c r="K987" i="2"/>
  <c r="U987" i="2" s="1"/>
  <c r="K610" i="2"/>
  <c r="U610" i="2" s="1"/>
  <c r="K886" i="2"/>
  <c r="U886" i="2" s="1"/>
  <c r="K44" i="2"/>
  <c r="U44" i="2" s="1"/>
  <c r="K1022" i="2"/>
  <c r="U1022" i="2" s="1"/>
  <c r="K626" i="2"/>
  <c r="U626" i="2" s="1"/>
  <c r="K504" i="2"/>
  <c r="U504" i="2" s="1"/>
  <c r="K758" i="2"/>
  <c r="U758" i="2" s="1"/>
  <c r="K408" i="2"/>
  <c r="U408" i="2" s="1"/>
  <c r="K669" i="2"/>
  <c r="U669" i="2" s="1"/>
  <c r="K11" i="2"/>
  <c r="U11" i="2" s="1"/>
  <c r="K914" i="2"/>
  <c r="U914" i="2" s="1"/>
  <c r="K531" i="2"/>
  <c r="U531" i="2" s="1"/>
  <c r="K844" i="2"/>
  <c r="U844" i="2" s="1"/>
  <c r="K922" i="2"/>
  <c r="U922" i="2" s="1"/>
  <c r="K597" i="2"/>
  <c r="U597" i="2" s="1"/>
  <c r="K176" i="2"/>
  <c r="U176" i="2" s="1"/>
  <c r="K194" i="2"/>
  <c r="U194" i="2" s="1"/>
  <c r="K283" i="2"/>
  <c r="U283" i="2" s="1"/>
  <c r="K995" i="2"/>
  <c r="U995" i="2" s="1"/>
  <c r="K827" i="2"/>
  <c r="U827" i="2" s="1"/>
  <c r="K430" i="2"/>
  <c r="U430" i="2" s="1"/>
  <c r="K638" i="2"/>
  <c r="U638" i="2" s="1"/>
  <c r="K90" i="2"/>
  <c r="U90" i="2" s="1"/>
  <c r="K622" i="2"/>
  <c r="U622" i="2" s="1"/>
  <c r="K754" i="2"/>
  <c r="U754" i="2" s="1"/>
  <c r="K304" i="2"/>
  <c r="U304" i="2" s="1"/>
  <c r="K306" i="2"/>
  <c r="U306" i="2" s="1"/>
  <c r="K411" i="2"/>
  <c r="U411" i="2" s="1"/>
  <c r="K477" i="2"/>
  <c r="U477" i="2" s="1"/>
  <c r="K189" i="2"/>
  <c r="U189" i="2" s="1"/>
  <c r="K275" i="2"/>
  <c r="U275" i="2" s="1"/>
  <c r="K278" i="2"/>
  <c r="U278" i="2" s="1"/>
  <c r="K819" i="2"/>
  <c r="U819" i="2" s="1"/>
  <c r="K981" i="2"/>
  <c r="U981" i="2" s="1"/>
  <c r="K883" i="2"/>
  <c r="U883" i="2" s="1"/>
  <c r="K1024" i="2"/>
  <c r="U1024" i="2" s="1"/>
  <c r="K24" i="2"/>
  <c r="U24" i="2" s="1"/>
  <c r="K485" i="2"/>
  <c r="U485" i="2" s="1"/>
  <c r="K835" i="2"/>
  <c r="U835" i="2" s="1"/>
  <c r="K832" i="2"/>
  <c r="U832" i="2" s="1"/>
  <c r="K675" i="2"/>
  <c r="U675" i="2" s="1"/>
  <c r="K222" i="2"/>
  <c r="U222" i="2" s="1"/>
  <c r="K179" i="2"/>
  <c r="U179" i="2" s="1"/>
  <c r="K182" i="2"/>
  <c r="U182" i="2" s="1"/>
  <c r="K185" i="2"/>
  <c r="U185" i="2" s="1"/>
  <c r="K992" i="2"/>
  <c r="U992" i="2" s="1"/>
  <c r="K499" i="2"/>
  <c r="U499" i="2" s="1"/>
  <c r="K262" i="2"/>
  <c r="U262" i="2" s="1"/>
  <c r="K770" i="2"/>
  <c r="U770" i="2" s="1"/>
  <c r="K659" i="2"/>
  <c r="U659" i="2" s="1"/>
  <c r="K389" i="2"/>
  <c r="U389" i="2" s="1"/>
  <c r="K977" i="2"/>
  <c r="U977" i="2" s="1"/>
  <c r="K971" i="2"/>
  <c r="U971" i="2" s="1"/>
  <c r="K419" i="2"/>
  <c r="U419" i="2" s="1"/>
  <c r="K83" i="2"/>
  <c r="U83" i="2" s="1"/>
  <c r="K78" i="2"/>
  <c r="U78" i="2" s="1"/>
  <c r="K1020" i="2"/>
  <c r="U1020" i="2" s="1"/>
  <c r="K297" i="2"/>
  <c r="U297" i="2" s="1"/>
  <c r="K860" i="2"/>
  <c r="U860" i="2" s="1"/>
  <c r="K700" i="2"/>
  <c r="U700" i="2" s="1"/>
  <c r="K841" i="2"/>
  <c r="U841" i="2" s="1"/>
  <c r="K828" i="2"/>
  <c r="U828" i="2" s="1"/>
  <c r="K681" i="2"/>
  <c r="U681" i="2" s="1"/>
  <c r="K560" i="2"/>
  <c r="U560" i="2" s="1"/>
  <c r="K261" i="2"/>
  <c r="U261" i="2" s="1"/>
  <c r="K181" i="2"/>
  <c r="U181" i="2" s="1"/>
  <c r="K270" i="2"/>
  <c r="U270" i="2" s="1"/>
  <c r="K619" i="2"/>
  <c r="U619" i="2" s="1"/>
  <c r="K811" i="2"/>
  <c r="U811" i="2" s="1"/>
  <c r="K230" i="2"/>
  <c r="U230" i="2" s="1"/>
  <c r="K536" i="2"/>
  <c r="U536" i="2" s="1"/>
  <c r="K645" i="2"/>
  <c r="U645" i="2" s="1"/>
  <c r="K973" i="2"/>
  <c r="U973" i="2" s="1"/>
  <c r="K974" i="2"/>
  <c r="U974" i="2" s="1"/>
  <c r="K976" i="2"/>
  <c r="U976" i="2" s="1"/>
  <c r="K736" i="2"/>
  <c r="U736" i="2" s="1"/>
  <c r="K875" i="2"/>
  <c r="U875" i="2" s="1"/>
  <c r="K584" i="2"/>
  <c r="U584" i="2" s="1"/>
  <c r="K42" i="2"/>
  <c r="U42" i="2" s="1"/>
  <c r="K1017" i="2"/>
  <c r="U1017" i="2" s="1"/>
  <c r="K627" i="2"/>
  <c r="U627" i="2" s="1"/>
  <c r="K507" i="2"/>
  <c r="U507" i="2" s="1"/>
  <c r="K63" i="2"/>
  <c r="U63" i="2" s="1"/>
  <c r="K454" i="2"/>
  <c r="U454" i="2" s="1"/>
  <c r="K856" i="2"/>
  <c r="U856" i="2" s="1"/>
  <c r="K696" i="2"/>
  <c r="U696" i="2" s="1"/>
  <c r="K328" i="2"/>
  <c r="U328" i="2" s="1"/>
  <c r="K601" i="2"/>
  <c r="U601" i="2" s="1"/>
  <c r="K481" i="2"/>
  <c r="U481" i="2" s="1"/>
  <c r="K520" i="2"/>
  <c r="U520" i="2" s="1"/>
  <c r="K257" i="2"/>
  <c r="U257" i="2" s="1"/>
  <c r="K180" i="2"/>
  <c r="U180" i="2" s="1"/>
  <c r="K177" i="2"/>
  <c r="U177" i="2" s="1"/>
  <c r="K825" i="2"/>
  <c r="U825" i="2" s="1"/>
  <c r="K226" i="2"/>
  <c r="U226" i="2" s="1"/>
  <c r="K726" i="2"/>
  <c r="U726" i="2" s="1"/>
  <c r="K651" i="2"/>
  <c r="U651" i="2" s="1"/>
  <c r="K652" i="2"/>
  <c r="U652" i="2" s="1"/>
  <c r="K390" i="2"/>
  <c r="U390" i="2" s="1"/>
  <c r="K969" i="2"/>
  <c r="U969" i="2" s="1"/>
  <c r="K84" i="2"/>
  <c r="U84" i="2" s="1"/>
  <c r="K623" i="2"/>
  <c r="U623" i="2" s="1"/>
  <c r="K766" i="2"/>
  <c r="U766" i="2" s="1"/>
  <c r="K289" i="2"/>
  <c r="U289" i="2" s="1"/>
  <c r="K833" i="2"/>
  <c r="U833" i="2" s="1"/>
  <c r="K523" i="2"/>
  <c r="U523" i="2" s="1"/>
  <c r="K404" i="2"/>
  <c r="U404" i="2" s="1"/>
  <c r="K918" i="2"/>
  <c r="U918" i="2" s="1"/>
  <c r="K225" i="2"/>
  <c r="U225" i="2" s="1"/>
  <c r="K192" i="2"/>
  <c r="U192" i="2" s="1"/>
  <c r="K276" i="2"/>
  <c r="U276" i="2" s="1"/>
  <c r="K1003" i="2"/>
  <c r="U1003" i="2" s="1"/>
  <c r="K500" i="2"/>
  <c r="U500" i="2" s="1"/>
  <c r="K265" i="2"/>
  <c r="U265" i="2" s="1"/>
  <c r="K588" i="2"/>
  <c r="U588" i="2" s="1"/>
  <c r="K657" i="2"/>
  <c r="U657" i="2" s="1"/>
  <c r="K968" i="2"/>
  <c r="U968" i="2" s="1"/>
  <c r="K612" i="2"/>
  <c r="U612" i="2" s="1"/>
  <c r="K422" i="2"/>
  <c r="U422" i="2" s="1"/>
  <c r="K540" i="2"/>
  <c r="U540" i="2" s="1"/>
  <c r="K5" i="2"/>
  <c r="U5" i="2" s="1"/>
  <c r="K762" i="2"/>
  <c r="U76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<sst xmlns="http://schemas.openxmlformats.org/spreadsheetml/2006/main" count="208" uniqueCount="44">
  <si>
    <t>Input A</t>
  </si>
  <si>
    <t>Input a</t>
  </si>
  <si>
    <t>Input b</t>
  </si>
  <si>
    <t>Output c</t>
  </si>
  <si>
    <t>DEC Value</t>
  </si>
  <si>
    <t>Overflow</t>
  </si>
  <si>
    <t>over_mul_under</t>
  </si>
  <si>
    <t>Normal</t>
  </si>
  <si>
    <t>Underflow</t>
  </si>
  <si>
    <t>NaN</t>
  </si>
  <si>
    <t>Status</t>
  </si>
  <si>
    <t>Sign</t>
  </si>
  <si>
    <t>Exponent</t>
  </si>
  <si>
    <t>Fraction</t>
  </si>
  <si>
    <t>BIN Value</t>
  </si>
  <si>
    <t>0</t>
  </si>
  <si>
    <t>00000000</t>
  </si>
  <si>
    <t>00000000000000000000000</t>
  </si>
  <si>
    <t>1</t>
  </si>
  <si>
    <t>00000000000000000000001</t>
  </si>
  <si>
    <t>01000000000000000000010</t>
  </si>
  <si>
    <t>11111111111111111111111</t>
  </si>
  <si>
    <t>BIN</t>
  </si>
  <si>
    <t>DEC</t>
  </si>
  <si>
    <t>11111111</t>
  </si>
  <si>
    <t>Value</t>
  </si>
  <si>
    <t>00000001</t>
  </si>
  <si>
    <t>01111111</t>
  </si>
  <si>
    <t>10000000000000000000000</t>
  </si>
  <si>
    <t>01111110</t>
  </si>
  <si>
    <t>010001100</t>
  </si>
  <si>
    <t>10000001110011010110111</t>
  </si>
  <si>
    <t>11111110</t>
  </si>
  <si>
    <t>01100000111100000100010</t>
  </si>
  <si>
    <t>11111111111111111111110</t>
  </si>
  <si>
    <t>Input ID</t>
  </si>
  <si>
    <t>Case ID</t>
  </si>
  <si>
    <t>Input Number</t>
  </si>
  <si>
    <t>Input B</t>
  </si>
  <si>
    <t>Error</t>
  </si>
  <si>
    <t>Expected Output</t>
  </si>
  <si>
    <t>Actual Output</t>
  </si>
  <si>
    <t>catalogue</t>
  </si>
  <si>
    <t>Flag Correctness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</si>
</sst>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5" xfId="0" applyBorder="1"/>
    <xf numFmtId="0" fontId="0" fillId="0" borderId="19" xfId="0" applyBorder="1" applyAlignment="1">
      <alignment horizontal="center"/>
    </xf>
    <xf numFmtId="0" fontId="0" fillId="0" borderId="1" xfId="0" quotePrefix="1" applyBorder="1"/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9" xfId="0" quotePrefix="1" applyBorder="1"/>
    <xf numFmtId="0" fontId="0" fillId="0" borderId="17" xfId="0" quotePrefix="1" applyBorder="1"/>
    <xf numFmtId="0" fontId="0" fillId="0" borderId="26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quotePrefix="1" applyFill="1" applyBorder="1"/>
    <xf numFmtId="0" fontId="0" fillId="0" borderId="2" xfId="0" quotePrefix="1" applyBorder="1"/>
    <xf numFmtId="0" fontId="0" fillId="0" borderId="2" xfId="0" quotePrefix="1" applyFill="1" applyBorder="1"/>
    <xf numFmtId="0" fontId="0" fillId="0" borderId="13" xfId="0" applyBorder="1" applyAlignment="1">
      <alignment horizontal="center"/>
    </xf>
    <xf numFmtId="0" fontId="0" fillId="0" borderId="12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26" xfId="0" quotePrefix="1" applyBorder="1"/>
    <xf numFmtId="0" fontId="0" fillId="0" borderId="28" xfId="0" applyBorder="1"/>
    <xf numFmtId="0" fontId="0" fillId="0" borderId="1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/>
    <xf numFmtId="0" fontId="0" fillId="0" borderId="27" xfId="0" applyBorder="1"/>
    <xf numFmtId="0" fontId="0" fillId="0" borderId="28" xfId="0" quotePrefix="1" applyBorder="1"/>
    <xf numFmtId="0" fontId="0" fillId="0" borderId="31" xfId="0" applyBorder="1" applyAlignment="1">
      <alignment horizontal="center"/>
    </xf>
    <xf numFmtId="0" fontId="0" fillId="0" borderId="11" xfId="0" applyBorder="1" applyAlignment="1">
      <alignment vertical="top"/>
    </xf>
    <xf numFmtId="0" fontId="0" fillId="0" borderId="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6" xfId="0" quotePrefix="1" applyFill="1" applyBorder="1"/>
    <xf numFmtId="0" fontId="0" fillId="2" borderId="8" xfId="0" quotePrefix="1" applyFill="1" applyBorder="1"/>
    <xf numFmtId="0" fontId="0" fillId="0" borderId="36" xfId="0" applyBorder="1"/>
    <xf numFmtId="0" fontId="0" fillId="0" borderId="22" xfId="0" applyBorder="1"/>
    <xf numFmtId="0" fontId="0" fillId="0" borderId="20" xfId="0" applyBorder="1"/>
    <xf numFmtId="0" fontId="0" fillId="0" borderId="32" xfId="0" applyBorder="1"/>
    <xf numFmtId="0" fontId="0" fillId="0" borderId="36" xfId="0" applyBorder="1" applyAlignment="1">
      <alignment horizontal="center"/>
    </xf>
    <xf numFmtId="0" fontId="0" fillId="0" borderId="35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3" xfId="0" applyBorder="1"/>
    <xf numFmtId="0" fontId="0" fillId="0" borderId="35" xfId="0" applyBorder="1"/>
    <xf numFmtId="0" fontId="0" fillId="2" borderId="1" xfId="0" applyFill="1" applyBorder="1"/>
    <xf numFmtId="0" fontId="0" fillId="2" borderId="1" xfId="0" applyFill="1" applyBorder="1" applyAlignment="1"/>
    <xf numFmtId="0" fontId="0" fillId="2" borderId="1" xfId="0" applyFill="1" applyBorder="1" applyAlignment="1">
      <alignment horizontal="center"/>
    </xf>
    <xf numFmtId="0" fontId="0" fillId="2" borderId="9" xfId="0" applyFill="1" applyBorder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3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D635E-B4FF-4A23-855E-294189159EC7}">
  <dimension ref="B2:T36"/>
  <sheetViews>
    <sheetView workbookViewId="0">
      <selection activeCell="B3" sqref="B3:B4"/>
    </sheetView>
  </sheetViews>
  <sheetFormatPr defaultRowHeight="16.5" x14ac:dyDescent="0.3"/>
  <cols>
    <col min="3" max="3" width="9.5" bestFit="1" customWidth="1"/>
    <col min="5" max="5" width="9.5" bestFit="1" customWidth="1"/>
    <col min="7" max="7" width="9.5" bestFit="1" customWidth="1"/>
    <col min="9" max="9" width="14" bestFit="1" customWidth="1"/>
    <col min="12" max="12" width="10.125" customWidth="1"/>
    <col min="13" max="13" width="4.5" bestFit="1" customWidth="1"/>
    <col min="15" max="15" width="24.25" bestFit="1" customWidth="1"/>
    <col min="16" max="16" width="33.625" bestFit="1" customWidth="1"/>
    <col min="17" max="17" width="4.5" bestFit="1" customWidth="1"/>
    <col min="18" max="18" width="8.625" bestFit="1" customWidth="1"/>
    <col min="19" max="19" width="7.5" bestFit="1" customWidth="1"/>
    <col min="20" max="20" width="12.125" bestFit="1" customWidth="1"/>
  </cols>
  <sheetData>
    <row r="2" spans="2:20" ht="17.25" thickBot="1" x14ac:dyDescent="0.35">
      <c r="K2" t="s">
        <v>37</v>
      </c>
    </row>
    <row r="3" spans="2:20" x14ac:dyDescent="0.3">
      <c r="B3" s="16" t="s">
        <v>42</v>
      </c>
      <c r="C3" s="43" t="s">
        <v>1</v>
      </c>
      <c r="D3" s="7"/>
      <c r="E3" s="5" t="s">
        <v>2</v>
      </c>
      <c r="F3" s="7"/>
      <c r="G3" s="5" t="s">
        <v>3</v>
      </c>
      <c r="H3" s="7"/>
      <c r="I3" s="17" t="s">
        <v>6</v>
      </c>
      <c r="K3" s="16" t="s">
        <v>35</v>
      </c>
      <c r="L3" s="27" t="s">
        <v>10</v>
      </c>
      <c r="M3" s="25" t="s">
        <v>22</v>
      </c>
      <c r="N3" s="26"/>
      <c r="O3" s="26"/>
      <c r="P3" s="27"/>
      <c r="Q3" s="25" t="s">
        <v>23</v>
      </c>
      <c r="R3" s="26"/>
      <c r="S3" s="26"/>
      <c r="T3" s="27"/>
    </row>
    <row r="4" spans="2:20" ht="17.25" thickBot="1" x14ac:dyDescent="0.35">
      <c r="B4" s="37"/>
      <c r="C4" s="41" t="s">
        <v>10</v>
      </c>
      <c r="D4" s="12" t="s">
        <v>36</v>
      </c>
      <c r="E4" s="10" t="s">
        <v>10</v>
      </c>
      <c r="F4" s="12" t="s">
        <v>36</v>
      </c>
      <c r="G4" s="10" t="s">
        <v>10</v>
      </c>
      <c r="H4" s="12" t="s">
        <v>36</v>
      </c>
      <c r="I4" s="22"/>
      <c r="K4" s="42"/>
      <c r="L4" s="47"/>
      <c r="M4" s="31" t="s">
        <v>11</v>
      </c>
      <c r="N4" s="32" t="s">
        <v>12</v>
      </c>
      <c r="O4" s="32" t="s">
        <v>13</v>
      </c>
      <c r="P4" s="33" t="s">
        <v>25</v>
      </c>
      <c r="Q4" s="31" t="s">
        <v>11</v>
      </c>
      <c r="R4" s="32" t="s">
        <v>12</v>
      </c>
      <c r="S4" s="32" t="s">
        <v>13</v>
      </c>
      <c r="T4" s="33" t="s">
        <v>25</v>
      </c>
    </row>
    <row r="5" spans="2:20" x14ac:dyDescent="0.3">
      <c r="B5" s="21">
        <v>1</v>
      </c>
      <c r="C5" s="4" t="s">
        <v>8</v>
      </c>
      <c r="D5" s="9"/>
      <c r="E5" s="8" t="s">
        <v>8</v>
      </c>
      <c r="F5" s="9"/>
      <c r="G5" s="8" t="s">
        <v>8</v>
      </c>
      <c r="H5" s="9"/>
      <c r="I5" s="14">
        <v>0</v>
      </c>
      <c r="K5" s="44">
        <v>1</v>
      </c>
      <c r="L5" s="48" t="s">
        <v>8</v>
      </c>
      <c r="M5" s="40" t="s">
        <v>15</v>
      </c>
      <c r="N5" s="29" t="s">
        <v>16</v>
      </c>
      <c r="O5" s="29" t="s">
        <v>19</v>
      </c>
      <c r="P5" s="20" t="str">
        <f>_xlfn.TEXTJOIN("",,$M5,$N5,$O5)</f>
        <v>00000000000000000000000000000001</v>
      </c>
      <c r="Q5" s="18">
        <f>BIN2DEC($M5)</f>
        <v>0</v>
      </c>
      <c r="R5" s="19">
        <f>BIN2DEC($N5)</f>
        <v>0</v>
      </c>
      <c r="S5" s="19" cm="1">
        <f t="array" aca="1" ref="S5" ca="1">SUMPRODUCT(MID($O5,ROW(INDIRECT("1:23")),1)*2^(-ROW(INDIRECT("1:23"))))</f>
        <v>1.1920928955078125E-7</v>
      </c>
      <c r="T5" s="20">
        <f ca="1">IF($R5=0,
   (-1)^$Q5 * $S5 * 2^(-126),
   (-1)^$Q5 * (1 + $S5) * 2^($R5 - 127)
)</f>
        <v>1.4012984643248171E-45</v>
      </c>
    </row>
    <row r="6" spans="2:20" x14ac:dyDescent="0.3">
      <c r="B6" s="14">
        <v>2</v>
      </c>
      <c r="C6" s="4" t="s">
        <v>8</v>
      </c>
      <c r="D6" s="9"/>
      <c r="E6" s="8" t="s">
        <v>5</v>
      </c>
      <c r="F6" s="9"/>
      <c r="G6" s="8" t="s">
        <v>9</v>
      </c>
      <c r="H6" s="9"/>
      <c r="I6" s="14">
        <v>1</v>
      </c>
      <c r="K6" s="44">
        <v>2</v>
      </c>
      <c r="L6" s="38" t="s">
        <v>8</v>
      </c>
      <c r="M6" s="35" t="s">
        <v>15</v>
      </c>
      <c r="N6" s="23" t="s">
        <v>16</v>
      </c>
      <c r="O6" s="23" t="s">
        <v>20</v>
      </c>
      <c r="P6" s="9" t="str">
        <f>_xlfn.TEXTJOIN("",,$M6,$N6,$O6)</f>
        <v>00000000001000000000000000000010</v>
      </c>
      <c r="Q6" s="8">
        <f>BIN2DEC($M6)</f>
        <v>0</v>
      </c>
      <c r="R6" s="3">
        <f>BIN2DEC($N6)</f>
        <v>0</v>
      </c>
      <c r="S6" s="3" cm="1">
        <f t="array" aca="1" ref="S6" ca="1">SUMPRODUCT(MID($O6,ROW(INDIRECT("1:23")),1)*2^(-ROW(INDIRECT("1:23"))))</f>
        <v>0.2500002384185791</v>
      </c>
      <c r="T6" s="9">
        <f ca="1">IF($R6=0,
   (-1)^$Q6 * $S6 * 2^(-126),
   (-1)^$Q6 * (1 + $S6) * 2^($R6 - 127)
)</f>
        <v>2.9387386796526474E-39</v>
      </c>
    </row>
    <row r="7" spans="2:20" x14ac:dyDescent="0.3">
      <c r="B7" s="14">
        <v>3</v>
      </c>
      <c r="C7" s="4" t="s">
        <v>8</v>
      </c>
      <c r="D7" s="9"/>
      <c r="E7" s="8" t="s">
        <v>7</v>
      </c>
      <c r="F7" s="9"/>
      <c r="G7" s="8" t="s">
        <v>8</v>
      </c>
      <c r="H7" s="9"/>
      <c r="I7" s="14">
        <v>0</v>
      </c>
      <c r="K7" s="44">
        <v>3</v>
      </c>
      <c r="L7" s="38" t="s">
        <v>8</v>
      </c>
      <c r="M7" s="35" t="s">
        <v>15</v>
      </c>
      <c r="N7" s="23" t="s">
        <v>16</v>
      </c>
      <c r="O7" s="23" t="s">
        <v>21</v>
      </c>
      <c r="P7" s="9" t="str">
        <f>_xlfn.TEXTJOIN("",,$M7,$N7,$O7)</f>
        <v>00000000011111111111111111111111</v>
      </c>
      <c r="Q7" s="8">
        <f>BIN2DEC($M7)</f>
        <v>0</v>
      </c>
      <c r="R7" s="3">
        <f>BIN2DEC($N7)</f>
        <v>0</v>
      </c>
      <c r="S7" s="3" cm="1">
        <f t="array" aca="1" ref="S7" ca="1">SUMPRODUCT(MID($O7,ROW(INDIRECT("1:23")),1)*2^(-ROW(INDIRECT("1:23"))))</f>
        <v>0.99999988079071045</v>
      </c>
      <c r="T7" s="9">
        <f ca="1">IF($R7=0,
   (-1)^$Q7 * $S7 * 2^(-126),
   (-1)^$Q7 * (1 + $S7) * 2^($R7 - 127)
)</f>
        <v>1.1754942106924411E-38</v>
      </c>
    </row>
    <row r="8" spans="2:20" x14ac:dyDescent="0.3">
      <c r="B8" s="14">
        <v>4</v>
      </c>
      <c r="C8" s="4" t="s">
        <v>5</v>
      </c>
      <c r="D8" s="9"/>
      <c r="E8" s="8" t="s">
        <v>8</v>
      </c>
      <c r="F8" s="9"/>
      <c r="G8" s="8" t="s">
        <v>9</v>
      </c>
      <c r="H8" s="9"/>
      <c r="I8" s="14">
        <v>1</v>
      </c>
      <c r="K8" s="44">
        <v>4</v>
      </c>
      <c r="L8" s="38" t="s">
        <v>8</v>
      </c>
      <c r="M8" s="35" t="s">
        <v>18</v>
      </c>
      <c r="N8" s="23" t="s">
        <v>16</v>
      </c>
      <c r="O8" s="23" t="s">
        <v>19</v>
      </c>
      <c r="P8" s="9" t="str">
        <f>_xlfn.TEXTJOIN("",,$M8,$N8,$O8)</f>
        <v>10000000000000000000000000000001</v>
      </c>
      <c r="Q8" s="8">
        <f>BIN2DEC($M8)</f>
        <v>1</v>
      </c>
      <c r="R8" s="3">
        <f>BIN2DEC($N8)</f>
        <v>0</v>
      </c>
      <c r="S8" s="3" cm="1">
        <f t="array" aca="1" ref="S8" ca="1">SUMPRODUCT(MID($O8,ROW(INDIRECT("1:23")),1)*2^(-ROW(INDIRECT("1:23"))))</f>
        <v>1.1920928955078125E-7</v>
      </c>
      <c r="T8" s="9">
        <f ca="1">IF($R8=0,
   (-1)^$Q8 * $S8 * 2^(-126),
   (-1)^$Q8 * (1 + $S8) * 2^($R8 - 127)
)</f>
        <v>-1.4012984643248171E-45</v>
      </c>
    </row>
    <row r="9" spans="2:20" x14ac:dyDescent="0.3">
      <c r="B9" s="14">
        <v>5</v>
      </c>
      <c r="C9" s="4" t="s">
        <v>5</v>
      </c>
      <c r="D9" s="9"/>
      <c r="E9" s="8" t="s">
        <v>5</v>
      </c>
      <c r="F9" s="9"/>
      <c r="G9" s="8" t="s">
        <v>5</v>
      </c>
      <c r="H9" s="9"/>
      <c r="I9" s="14">
        <v>0</v>
      </c>
      <c r="K9" s="44">
        <v>5</v>
      </c>
      <c r="L9" s="38" t="s">
        <v>8</v>
      </c>
      <c r="M9" s="35" t="s">
        <v>18</v>
      </c>
      <c r="N9" s="23" t="s">
        <v>16</v>
      </c>
      <c r="O9" s="23" t="s">
        <v>20</v>
      </c>
      <c r="P9" s="9" t="str">
        <f>_xlfn.TEXTJOIN("",,$M9,$N9,$O9)</f>
        <v>10000000001000000000000000000010</v>
      </c>
      <c r="Q9" s="8">
        <f>BIN2DEC($M9)</f>
        <v>1</v>
      </c>
      <c r="R9" s="3">
        <f>BIN2DEC($N9)</f>
        <v>0</v>
      </c>
      <c r="S9" s="3" cm="1">
        <f t="array" aca="1" ref="S9" ca="1">SUMPRODUCT(MID($O9,ROW(INDIRECT("1:23")),1)*2^(-ROW(INDIRECT("1:23"))))</f>
        <v>0.2500002384185791</v>
      </c>
      <c r="T9" s="9">
        <f ca="1">IF($R9=0,
   (-1)^$Q9 * $S9 * 2^(-126),
   (-1)^$Q9 * (1 + $S9) * 2^($R9 - 127)
)</f>
        <v>-2.9387386796526474E-39</v>
      </c>
    </row>
    <row r="10" spans="2:20" x14ac:dyDescent="0.3">
      <c r="B10" s="14">
        <v>6</v>
      </c>
      <c r="C10" s="4" t="s">
        <v>5</v>
      </c>
      <c r="D10" s="9"/>
      <c r="E10" s="8" t="s">
        <v>7</v>
      </c>
      <c r="F10" s="9"/>
      <c r="G10" s="8" t="s">
        <v>5</v>
      </c>
      <c r="H10" s="9"/>
      <c r="I10" s="14">
        <v>0</v>
      </c>
      <c r="K10" s="44">
        <v>6</v>
      </c>
      <c r="L10" s="38" t="s">
        <v>8</v>
      </c>
      <c r="M10" s="35" t="s">
        <v>18</v>
      </c>
      <c r="N10" s="23" t="s">
        <v>16</v>
      </c>
      <c r="O10" s="23" t="s">
        <v>21</v>
      </c>
      <c r="P10" s="9" t="str">
        <f>_xlfn.TEXTJOIN("",,$M10,$N10,$O10)</f>
        <v>10000000011111111111111111111111</v>
      </c>
      <c r="Q10" s="8">
        <f>BIN2DEC($M10)</f>
        <v>1</v>
      </c>
      <c r="R10" s="3">
        <f>BIN2DEC($N10)</f>
        <v>0</v>
      </c>
      <c r="S10" s="3" cm="1">
        <f t="array" aca="1" ref="S10" ca="1">SUMPRODUCT(MID($O10,ROW(INDIRECT("1:23")),1)*2^(-ROW(INDIRECT("1:23"))))</f>
        <v>0.99999988079071045</v>
      </c>
      <c r="T10" s="9">
        <f ca="1">IF($R10=0,
   (-1)^$Q10 * $S10 * 2^(-126),
   (-1)^$Q10 * (1 + $S10) * 2^($R10 - 127)
)</f>
        <v>-1.1754942106924411E-38</v>
      </c>
    </row>
    <row r="11" spans="2:20" x14ac:dyDescent="0.3">
      <c r="B11" s="14">
        <v>7</v>
      </c>
      <c r="C11" s="4" t="s">
        <v>7</v>
      </c>
      <c r="D11" s="9"/>
      <c r="E11" s="8" t="s">
        <v>8</v>
      </c>
      <c r="F11" s="9"/>
      <c r="G11" s="8" t="s">
        <v>8</v>
      </c>
      <c r="H11" s="9"/>
      <c r="I11" s="14">
        <v>0</v>
      </c>
      <c r="K11" s="44">
        <v>7</v>
      </c>
      <c r="L11" s="38" t="s">
        <v>5</v>
      </c>
      <c r="M11" s="35" t="s">
        <v>15</v>
      </c>
      <c r="N11" s="23" t="s">
        <v>24</v>
      </c>
      <c r="O11" s="23" t="s">
        <v>19</v>
      </c>
      <c r="P11" s="9" t="str">
        <f>_xlfn.TEXTJOIN("",,$M11,$N11,$O11)</f>
        <v>01111111100000000000000000000001</v>
      </c>
      <c r="Q11" s="8">
        <f>BIN2DEC($M11)</f>
        <v>0</v>
      </c>
      <c r="R11" s="3">
        <f>BIN2DEC($N11)</f>
        <v>255</v>
      </c>
      <c r="S11" s="3" cm="1">
        <f t="array" aca="1" ref="S11" ca="1">SUMPRODUCT(MID($O11,ROW(INDIRECT("1:23")),1)*2^(-ROW(INDIRECT("1:23"))))</f>
        <v>1.1920928955078125E-7</v>
      </c>
      <c r="T11" s="9">
        <f ca="1">IF($R11=0,
   (-1)^$Q11 * $S11 * 2^(-126),
   (-1)^$Q11 * (1 + $S11) * 2^($R11 - 127)
)</f>
        <v>3.4028240748575767E+38</v>
      </c>
    </row>
    <row r="12" spans="2:20" x14ac:dyDescent="0.3">
      <c r="B12" s="14">
        <v>8</v>
      </c>
      <c r="C12" s="4" t="s">
        <v>7</v>
      </c>
      <c r="D12" s="9"/>
      <c r="E12" s="8" t="s">
        <v>5</v>
      </c>
      <c r="F12" s="9"/>
      <c r="G12" s="8" t="s">
        <v>5</v>
      </c>
      <c r="H12" s="9"/>
      <c r="I12" s="14">
        <v>0</v>
      </c>
      <c r="K12" s="44">
        <v>8</v>
      </c>
      <c r="L12" s="38" t="s">
        <v>5</v>
      </c>
      <c r="M12" s="35" t="s">
        <v>15</v>
      </c>
      <c r="N12" s="23" t="s">
        <v>24</v>
      </c>
      <c r="O12" s="23" t="s">
        <v>20</v>
      </c>
      <c r="P12" s="9" t="str">
        <f>_xlfn.TEXTJOIN("",,$M12,$N12,$O12)</f>
        <v>01111111101000000000000000000010</v>
      </c>
      <c r="Q12" s="8">
        <f>BIN2DEC($M12)</f>
        <v>0</v>
      </c>
      <c r="R12" s="3">
        <f>BIN2DEC($N12)</f>
        <v>255</v>
      </c>
      <c r="S12" s="3" cm="1">
        <f t="array" aca="1" ref="S12" ca="1">SUMPRODUCT(MID($O12,ROW(INDIRECT("1:23")),1)*2^(-ROW(INDIRECT("1:23"))))</f>
        <v>0.2500002384185791</v>
      </c>
      <c r="T12" s="9">
        <f ca="1">IF($R12=0,
   (-1)^$Q12 * $S12 * 2^(-126),
   (-1)^$Q12 * (1 + $S12) * 2^($R12 - 127)
)</f>
        <v>4.2535303978081149E+38</v>
      </c>
    </row>
    <row r="13" spans="2:20" ht="17.25" thickBot="1" x14ac:dyDescent="0.35">
      <c r="B13" s="15">
        <v>9</v>
      </c>
      <c r="C13" s="41" t="s">
        <v>7</v>
      </c>
      <c r="D13" s="12"/>
      <c r="E13" s="10" t="s">
        <v>7</v>
      </c>
      <c r="F13" s="12"/>
      <c r="G13" s="10" t="s">
        <v>7</v>
      </c>
      <c r="H13" s="12"/>
      <c r="I13" s="15">
        <v>0</v>
      </c>
      <c r="K13" s="44">
        <v>9</v>
      </c>
      <c r="L13" s="38" t="s">
        <v>5</v>
      </c>
      <c r="M13" s="35" t="s">
        <v>15</v>
      </c>
      <c r="N13" s="23" t="s">
        <v>24</v>
      </c>
      <c r="O13" s="23" t="s">
        <v>21</v>
      </c>
      <c r="P13" s="9" t="str">
        <f>_xlfn.TEXTJOIN("",,$M13,$N13,$O13)</f>
        <v>01111111111111111111111111111111</v>
      </c>
      <c r="Q13" s="8">
        <f>BIN2DEC($M13)</f>
        <v>0</v>
      </c>
      <c r="R13" s="3">
        <f>BIN2DEC($N13)</f>
        <v>255</v>
      </c>
      <c r="S13" s="3" cm="1">
        <f t="array" aca="1" ref="S13" ca="1">SUMPRODUCT(MID($O13,ROW(INDIRECT("1:23")),1)*2^(-ROW(INDIRECT("1:23"))))</f>
        <v>0.99999988079071045</v>
      </c>
      <c r="T13" s="9">
        <f ca="1">IF($R13=0,
   (-1)^$Q13 * $S13 * 2^(-126),
   (-1)^$Q13 * (1 + $S13) * 2^($R13 - 127)
)</f>
        <v>6.8056469327705772E+38</v>
      </c>
    </row>
    <row r="14" spans="2:20" x14ac:dyDescent="0.3">
      <c r="K14" s="44">
        <v>10</v>
      </c>
      <c r="L14" s="38" t="s">
        <v>5</v>
      </c>
      <c r="M14" s="35" t="s">
        <v>18</v>
      </c>
      <c r="N14" s="23" t="s">
        <v>24</v>
      </c>
      <c r="O14" s="23" t="s">
        <v>19</v>
      </c>
      <c r="P14" s="9" t="str">
        <f>_xlfn.TEXTJOIN("",,$M14,$N14,$O14)</f>
        <v>11111111100000000000000000000001</v>
      </c>
      <c r="Q14" s="8">
        <f>BIN2DEC($M14)</f>
        <v>1</v>
      </c>
      <c r="R14" s="3">
        <f>BIN2DEC($N14)</f>
        <v>255</v>
      </c>
      <c r="S14" s="3" cm="1">
        <f t="array" aca="1" ref="S14" ca="1">SUMPRODUCT(MID($O14,ROW(INDIRECT("1:23")),1)*2^(-ROW(INDIRECT("1:23"))))</f>
        <v>1.1920928955078125E-7</v>
      </c>
      <c r="T14" s="9">
        <f ca="1">IF($R14=0,
   (-1)^$Q14 * $S14 * 2^(-126),
   (-1)^$Q14 * (1 + $S14) * 2^($R14 - 127)
)</f>
        <v>-3.4028240748575767E+38</v>
      </c>
    </row>
    <row r="15" spans="2:20" x14ac:dyDescent="0.3">
      <c r="K15" s="44">
        <v>11</v>
      </c>
      <c r="L15" s="38" t="s">
        <v>5</v>
      </c>
      <c r="M15" s="35" t="s">
        <v>18</v>
      </c>
      <c r="N15" s="23" t="s">
        <v>24</v>
      </c>
      <c r="O15" s="23" t="s">
        <v>20</v>
      </c>
      <c r="P15" s="9" t="str">
        <f>_xlfn.TEXTJOIN("",,$M15,$N15,$O15)</f>
        <v>11111111101000000000000000000010</v>
      </c>
      <c r="Q15" s="8">
        <f>BIN2DEC($M15)</f>
        <v>1</v>
      </c>
      <c r="R15" s="3">
        <f>BIN2DEC($N15)</f>
        <v>255</v>
      </c>
      <c r="S15" s="3" cm="1">
        <f t="array" aca="1" ref="S15" ca="1">SUMPRODUCT(MID($O15,ROW(INDIRECT("1:23")),1)*2^(-ROW(INDIRECT("1:23"))))</f>
        <v>0.2500002384185791</v>
      </c>
      <c r="T15" s="9">
        <f ca="1">IF($R15=0,
   (-1)^$Q15 * $S15 * 2^(-126),
   (-1)^$Q15 * (1 + $S15) * 2^($R15 - 127)
)</f>
        <v>-4.2535303978081149E+38</v>
      </c>
    </row>
    <row r="16" spans="2:20" x14ac:dyDescent="0.3">
      <c r="K16" s="44">
        <v>12</v>
      </c>
      <c r="L16" s="38" t="s">
        <v>5</v>
      </c>
      <c r="M16" s="35" t="s">
        <v>18</v>
      </c>
      <c r="N16" s="23" t="s">
        <v>24</v>
      </c>
      <c r="O16" s="23" t="s">
        <v>21</v>
      </c>
      <c r="P16" s="9" t="str">
        <f>_xlfn.TEXTJOIN("",,$M16,$N16,$O16)</f>
        <v>11111111111111111111111111111111</v>
      </c>
      <c r="Q16" s="8">
        <f>BIN2DEC($M16)</f>
        <v>1</v>
      </c>
      <c r="R16" s="3">
        <f>BIN2DEC($N16)</f>
        <v>255</v>
      </c>
      <c r="S16" s="3" cm="1">
        <f t="array" aca="1" ref="S16" ca="1">SUMPRODUCT(MID($O16,ROW(INDIRECT("1:23")),1)*2^(-ROW(INDIRECT("1:23"))))</f>
        <v>0.99999988079071045</v>
      </c>
      <c r="T16" s="9">
        <f ca="1">IF($R16=0,
   (-1)^$Q16 * $S16 * 2^(-126),
   (-1)^$Q16 * (1 + $S16) * 2^($R16 - 127)
)</f>
        <v>-6.8056469327705772E+38</v>
      </c>
    </row>
    <row r="17" spans="11:20" x14ac:dyDescent="0.3">
      <c r="K17" s="44">
        <v>13</v>
      </c>
      <c r="L17" s="38" t="s">
        <v>7</v>
      </c>
      <c r="M17" s="35" t="s">
        <v>15</v>
      </c>
      <c r="N17" s="23" t="s">
        <v>16</v>
      </c>
      <c r="O17" s="23" t="s">
        <v>17</v>
      </c>
      <c r="P17" s="9" t="str">
        <f>_xlfn.TEXTJOIN("",,$M17,$N17,$O17)</f>
        <v>00000000000000000000000000000000</v>
      </c>
      <c r="Q17" s="8">
        <f>BIN2DEC($M17)</f>
        <v>0</v>
      </c>
      <c r="R17" s="3">
        <f>BIN2DEC($N17)</f>
        <v>0</v>
      </c>
      <c r="S17" s="3" cm="1">
        <f t="array" aca="1" ref="S17" ca="1">SUMPRODUCT(MID($O17,ROW(INDIRECT("1:23")),1)*2^(-ROW(INDIRECT("1:23"))))</f>
        <v>0</v>
      </c>
      <c r="T17" s="9">
        <f ca="1">IF($R17=0,
   (-1)^$Q17 * $S17 * 2^(-126),
   (-1)^$Q17 * (1 + $S17) * 2^($R17 - 127)
)</f>
        <v>0</v>
      </c>
    </row>
    <row r="18" spans="11:20" x14ac:dyDescent="0.3">
      <c r="K18" s="44">
        <v>14</v>
      </c>
      <c r="L18" s="38" t="s">
        <v>7</v>
      </c>
      <c r="M18" s="35" t="s">
        <v>18</v>
      </c>
      <c r="N18" s="23" t="s">
        <v>16</v>
      </c>
      <c r="O18" s="23" t="s">
        <v>17</v>
      </c>
      <c r="P18" s="9" t="str">
        <f>_xlfn.TEXTJOIN("",,$M18,$N18,$O18)</f>
        <v>10000000000000000000000000000000</v>
      </c>
      <c r="Q18" s="8">
        <f>BIN2DEC($M18)</f>
        <v>1</v>
      </c>
      <c r="R18" s="3">
        <f>BIN2DEC($N18)</f>
        <v>0</v>
      </c>
      <c r="S18" s="3" cm="1">
        <f t="array" aca="1" ref="S18" ca="1">SUMPRODUCT(MID($O18,ROW(INDIRECT("1:23")),1)*2^(-ROW(INDIRECT("1:23"))))</f>
        <v>0</v>
      </c>
      <c r="T18" s="9">
        <f ca="1">IF($R18=0,
   (-1)^$Q18 * $S18 * 2^(-126),
   (-1)^$Q18 * (1 + $S18) * 2^($R18 - 127)
)</f>
        <v>0</v>
      </c>
    </row>
    <row r="19" spans="11:20" x14ac:dyDescent="0.3">
      <c r="K19" s="44">
        <v>15</v>
      </c>
      <c r="L19" s="38" t="s">
        <v>7</v>
      </c>
      <c r="M19" s="35" t="s">
        <v>15</v>
      </c>
      <c r="N19" s="23" t="s">
        <v>26</v>
      </c>
      <c r="O19" s="23" t="s">
        <v>17</v>
      </c>
      <c r="P19" s="9" t="str">
        <f>_xlfn.TEXTJOIN("",,$M19,$N19,$O19)</f>
        <v>00000000100000000000000000000000</v>
      </c>
      <c r="Q19" s="8">
        <f>BIN2DEC($M19)</f>
        <v>0</v>
      </c>
      <c r="R19" s="3">
        <f>BIN2DEC($N19)</f>
        <v>1</v>
      </c>
      <c r="S19" s="3" cm="1">
        <f t="array" aca="1" ref="S19" ca="1">SUMPRODUCT(MID($O19,ROW(INDIRECT("1:23")),1)*2^(-ROW(INDIRECT("1:23"))))</f>
        <v>0</v>
      </c>
      <c r="T19" s="9">
        <f ca="1">IF($R19=0,
   (-1)^$Q19 * $S19 * 2^(-126),
   (-1)^$Q19 * (1 + $S19) * 2^($R19 - 127)
)</f>
        <v>1.1754943508222875E-38</v>
      </c>
    </row>
    <row r="20" spans="11:20" x14ac:dyDescent="0.3">
      <c r="K20" s="44">
        <v>16</v>
      </c>
      <c r="L20" s="38" t="s">
        <v>7</v>
      </c>
      <c r="M20" s="35" t="s">
        <v>15</v>
      </c>
      <c r="N20" s="23" t="s">
        <v>26</v>
      </c>
      <c r="O20" s="23" t="s">
        <v>19</v>
      </c>
      <c r="P20" s="9" t="str">
        <f>_xlfn.TEXTJOIN("",,$M20,$N20,$O20)</f>
        <v>00000000100000000000000000000001</v>
      </c>
      <c r="Q20" s="8">
        <f>BIN2DEC($M20)</f>
        <v>0</v>
      </c>
      <c r="R20" s="3">
        <f>BIN2DEC($N20)</f>
        <v>1</v>
      </c>
      <c r="S20" s="3" cm="1">
        <f t="array" aca="1" ref="S20" ca="1">SUMPRODUCT(MID($O20,ROW(INDIRECT("1:23")),1)*2^(-ROW(INDIRECT("1:23"))))</f>
        <v>1.1920928955078125E-7</v>
      </c>
      <c r="T20" s="9">
        <f ca="1">IF($R20=0,
   (-1)^$Q20 * $S20 * 2^(-126),
   (-1)^$Q20 * (1 + $S20) * 2^($R20 - 127)
)</f>
        <v>1.1754944909521339E-38</v>
      </c>
    </row>
    <row r="21" spans="11:20" x14ac:dyDescent="0.3">
      <c r="K21" s="44">
        <v>17</v>
      </c>
      <c r="L21" s="38" t="s">
        <v>7</v>
      </c>
      <c r="M21" s="35" t="s">
        <v>15</v>
      </c>
      <c r="N21" s="23" t="s">
        <v>29</v>
      </c>
      <c r="O21" s="23" t="s">
        <v>17</v>
      </c>
      <c r="P21" s="9" t="str">
        <f>_xlfn.TEXTJOIN("",,$M21,$N21,$O21)</f>
        <v>00111111000000000000000000000000</v>
      </c>
      <c r="Q21" s="8">
        <f>BIN2DEC($M21)</f>
        <v>0</v>
      </c>
      <c r="R21" s="3">
        <f>BIN2DEC($N21)</f>
        <v>126</v>
      </c>
      <c r="S21" s="3" cm="1">
        <f t="array" aca="1" ref="S21" ca="1">SUMPRODUCT(MID($O21,ROW(INDIRECT("1:23")),1)*2^(-ROW(INDIRECT("1:23"))))</f>
        <v>0</v>
      </c>
      <c r="T21" s="9">
        <f ca="1">IF($R21=0,
   (-1)^$Q21 * $S21 * 2^(-126),
   (-1)^$Q21 * (1 + $S21) * 2^($R21 - 127)
)</f>
        <v>0.5</v>
      </c>
    </row>
    <row r="22" spans="11:20" x14ac:dyDescent="0.3">
      <c r="K22" s="44">
        <v>18</v>
      </c>
      <c r="L22" s="38" t="s">
        <v>7</v>
      </c>
      <c r="M22" s="35" t="s">
        <v>15</v>
      </c>
      <c r="N22" s="23" t="s">
        <v>27</v>
      </c>
      <c r="O22" s="23" t="s">
        <v>17</v>
      </c>
      <c r="P22" s="9" t="str">
        <f>_xlfn.TEXTJOIN("",,$M22,$N22,$O22)</f>
        <v>00111111100000000000000000000000</v>
      </c>
      <c r="Q22" s="8">
        <f>BIN2DEC($M22)</f>
        <v>0</v>
      </c>
      <c r="R22" s="3">
        <f>BIN2DEC($N22)</f>
        <v>127</v>
      </c>
      <c r="S22" s="3" cm="1">
        <f t="array" aca="1" ref="S22" ca="1">SUMPRODUCT(MID($O22,ROW(INDIRECT("1:23")),1)*2^(-ROW(INDIRECT("1:23"))))</f>
        <v>0</v>
      </c>
      <c r="T22" s="9">
        <f ca="1">IF($R22=0,
   (-1)^$Q22 * $S22 * 2^(-126),
   (-1)^$Q22 * (1 + $S22) * 2^($R22 - 127)
)</f>
        <v>1</v>
      </c>
    </row>
    <row r="23" spans="11:20" x14ac:dyDescent="0.3">
      <c r="K23" s="44">
        <v>19</v>
      </c>
      <c r="L23" s="38" t="s">
        <v>7</v>
      </c>
      <c r="M23" s="35" t="s">
        <v>15</v>
      </c>
      <c r="N23" s="23" t="s">
        <v>27</v>
      </c>
      <c r="O23" s="23" t="s">
        <v>28</v>
      </c>
      <c r="P23" s="9" t="str">
        <f>_xlfn.TEXTJOIN("",,$M23,$N23,$O23)</f>
        <v>00111111110000000000000000000000</v>
      </c>
      <c r="Q23" s="8">
        <f>BIN2DEC($M23)</f>
        <v>0</v>
      </c>
      <c r="R23" s="3">
        <f>BIN2DEC($N23)</f>
        <v>127</v>
      </c>
      <c r="S23" s="3" cm="1">
        <f t="array" aca="1" ref="S23" ca="1">SUMPRODUCT(MID($O23,ROW(INDIRECT("1:23")),1)*2^(-ROW(INDIRECT("1:23"))))</f>
        <v>0.5</v>
      </c>
      <c r="T23" s="9">
        <f ca="1">IF($R23=0,
   (-1)^$Q23 * $S23 * 2^(-126),
   (-1)^$Q23 * (1 + $S23) * 2^($R23 - 127)
)</f>
        <v>1.5</v>
      </c>
    </row>
    <row r="24" spans="11:20" x14ac:dyDescent="0.3">
      <c r="K24" s="44">
        <v>20</v>
      </c>
      <c r="L24" s="38" t="s">
        <v>7</v>
      </c>
      <c r="M24" s="35" t="s">
        <v>15</v>
      </c>
      <c r="N24" s="34" t="s">
        <v>30</v>
      </c>
      <c r="O24" s="34" t="s">
        <v>31</v>
      </c>
      <c r="P24" s="9" t="str">
        <f>_xlfn.TEXTJOIN("",,$M24,$N24,$O24)</f>
        <v>001000110010000001110011010110111</v>
      </c>
      <c r="Q24" s="8">
        <f>BIN2DEC($M24)</f>
        <v>0</v>
      </c>
      <c r="R24" s="3">
        <f>BIN2DEC($N24)</f>
        <v>140</v>
      </c>
      <c r="S24" s="3" cm="1">
        <f t="array" aca="1" ref="S24" ca="1">SUMPRODUCT(MID($O24,ROW(INDIRECT("1:23")),1)*2^(-ROW(INDIRECT("1:23"))))</f>
        <v>0.50704085826873779</v>
      </c>
      <c r="T24" s="9">
        <f ca="1">IF($R24=0,
   (-1)^$Q24 * $S24 * 2^(-126),
   (-1)^$Q24 * (1 + $S24) * 2^($R24 - 127)
)</f>
        <v>12345.6787109375</v>
      </c>
    </row>
    <row r="25" spans="11:20" x14ac:dyDescent="0.3">
      <c r="K25" s="44">
        <v>21</v>
      </c>
      <c r="L25" s="38" t="s">
        <v>7</v>
      </c>
      <c r="M25" s="36" t="s">
        <v>15</v>
      </c>
      <c r="N25" s="23" t="s">
        <v>32</v>
      </c>
      <c r="O25" s="34" t="s">
        <v>33</v>
      </c>
      <c r="P25" s="9" t="str">
        <f t="shared" ref="P25:P27" si="0">_xlfn.TEXTJOIN("",,$M25,$N25,$O25)</f>
        <v>01111111001100000111100000100010</v>
      </c>
      <c r="Q25" s="8">
        <f>BIN2DEC($M25)</f>
        <v>0</v>
      </c>
      <c r="R25" s="3">
        <f>BIN2DEC($N25)</f>
        <v>254</v>
      </c>
      <c r="S25" s="3" cm="1">
        <f t="array" aca="1" ref="S25" ca="1">SUMPRODUCT(MID($O25,ROW(INDIRECT("1:23")),1)*2^(-ROW(INDIRECT("1:23"))))</f>
        <v>0.37866616249084473</v>
      </c>
      <c r="T25" s="9">
        <f ca="1">IF($R25=0,
   (-1)^$Q25 * $S25 * 2^(-126),
   (-1)^$Q25 * (1 + $S25) * 2^($R25 - 127)
)</f>
        <v>2.345678924830959E+38</v>
      </c>
    </row>
    <row r="26" spans="11:20" x14ac:dyDescent="0.3">
      <c r="K26" s="44">
        <v>22</v>
      </c>
      <c r="L26" s="38" t="s">
        <v>7</v>
      </c>
      <c r="M26" s="36" t="s">
        <v>15</v>
      </c>
      <c r="N26" s="23" t="s">
        <v>32</v>
      </c>
      <c r="O26" s="23" t="s">
        <v>34</v>
      </c>
      <c r="P26" s="9" t="str">
        <f t="shared" si="0"/>
        <v>01111111011111111111111111111110</v>
      </c>
      <c r="Q26" s="8">
        <f>BIN2DEC($M26)</f>
        <v>0</v>
      </c>
      <c r="R26" s="3">
        <f>BIN2DEC($N26)</f>
        <v>254</v>
      </c>
      <c r="S26" s="3" cm="1">
        <f t="array" aca="1" ref="S26" ca="1">SUMPRODUCT(MID($O26,ROW(INDIRECT("1:23")),1)*2^(-ROW(INDIRECT("1:23"))))</f>
        <v>0.9999997615814209</v>
      </c>
      <c r="T26" s="9">
        <f ca="1">IF($R26=0,
   (-1)^$Q26 * $S26 * 2^(-126),
   (-1)^$Q26 * (1 + $S26) * 2^($R26 - 127)
)</f>
        <v>3.4028232635611926E+38</v>
      </c>
    </row>
    <row r="27" spans="11:20" x14ac:dyDescent="0.3">
      <c r="K27" s="44">
        <v>23</v>
      </c>
      <c r="L27" s="38" t="s">
        <v>7</v>
      </c>
      <c r="M27" s="36" t="s">
        <v>15</v>
      </c>
      <c r="N27" s="23" t="s">
        <v>32</v>
      </c>
      <c r="O27" s="23" t="s">
        <v>21</v>
      </c>
      <c r="P27" s="9" t="str">
        <f t="shared" si="0"/>
        <v>01111111011111111111111111111111</v>
      </c>
      <c r="Q27" s="8">
        <f>BIN2DEC($M27)</f>
        <v>0</v>
      </c>
      <c r="R27" s="3">
        <f>BIN2DEC($N27)</f>
        <v>254</v>
      </c>
      <c r="S27" s="3" cm="1">
        <f t="array" aca="1" ref="S27" ca="1">SUMPRODUCT(MID($O27,ROW(INDIRECT("1:23")),1)*2^(-ROW(INDIRECT("1:23"))))</f>
        <v>0.99999988079071045</v>
      </c>
      <c r="T27" s="9">
        <f ca="1">IF($R27=0,
   (-1)^$Q27 * $S27 * 2^(-126),
   (-1)^$Q27 * (1 + $S27) * 2^($R27 - 127)
)</f>
        <v>3.4028234663852886E+38</v>
      </c>
    </row>
    <row r="28" spans="11:20" x14ac:dyDescent="0.3">
      <c r="K28" s="44">
        <v>24</v>
      </c>
      <c r="L28" s="38" t="s">
        <v>7</v>
      </c>
      <c r="M28" s="35" t="s">
        <v>18</v>
      </c>
      <c r="N28" s="23" t="s">
        <v>26</v>
      </c>
      <c r="O28" s="23" t="s">
        <v>17</v>
      </c>
      <c r="P28" s="9" t="str">
        <f>_xlfn.TEXTJOIN("",,$M28,$N28,$O28)</f>
        <v>10000000100000000000000000000000</v>
      </c>
      <c r="Q28" s="8">
        <f>BIN2DEC($M28)</f>
        <v>1</v>
      </c>
      <c r="R28" s="3">
        <f>BIN2DEC($N28)</f>
        <v>1</v>
      </c>
      <c r="S28" s="3" cm="1">
        <f t="array" aca="1" ref="S28" ca="1">SUMPRODUCT(MID($O28,ROW(INDIRECT("1:23")),1)*2^(-ROW(INDIRECT("1:23"))))</f>
        <v>0</v>
      </c>
      <c r="T28" s="9">
        <f ca="1">IF($R28=0,
   (-1)^$Q28 * $S28 * 2^(-126),
   (-1)^$Q28 * (1 + $S28) * 2^($R28 - 127)
)</f>
        <v>-1.1754943508222875E-38</v>
      </c>
    </row>
    <row r="29" spans="11:20" x14ac:dyDescent="0.3">
      <c r="K29" s="44">
        <v>25</v>
      </c>
      <c r="L29" s="38" t="s">
        <v>7</v>
      </c>
      <c r="M29" s="35" t="s">
        <v>18</v>
      </c>
      <c r="N29" s="23" t="s">
        <v>26</v>
      </c>
      <c r="O29" s="23" t="s">
        <v>19</v>
      </c>
      <c r="P29" s="9" t="str">
        <f>_xlfn.TEXTJOIN("",,$M29,$N29,$O29)</f>
        <v>10000000100000000000000000000001</v>
      </c>
      <c r="Q29" s="8">
        <f>BIN2DEC($M29)</f>
        <v>1</v>
      </c>
      <c r="R29" s="3">
        <f>BIN2DEC($N29)</f>
        <v>1</v>
      </c>
      <c r="S29" s="3" cm="1">
        <f t="array" aca="1" ref="S29" ca="1">SUMPRODUCT(MID($O29,ROW(INDIRECT("1:23")),1)*2^(-ROW(INDIRECT("1:23"))))</f>
        <v>1.1920928955078125E-7</v>
      </c>
      <c r="T29" s="9">
        <f ca="1">IF($R29=0,
   (-1)^$Q29 * $S29 * 2^(-126),
   (-1)^$Q29 * (1 + $S29) * 2^($R29 - 127)
)</f>
        <v>-1.1754944909521339E-38</v>
      </c>
    </row>
    <row r="30" spans="11:20" x14ac:dyDescent="0.3">
      <c r="K30" s="44">
        <v>26</v>
      </c>
      <c r="L30" s="38" t="s">
        <v>7</v>
      </c>
      <c r="M30" s="35" t="s">
        <v>18</v>
      </c>
      <c r="N30" s="23" t="s">
        <v>29</v>
      </c>
      <c r="O30" s="23" t="s">
        <v>17</v>
      </c>
      <c r="P30" s="9" t="str">
        <f>_xlfn.TEXTJOIN("",,$M30,$N30,$O30)</f>
        <v>10111111000000000000000000000000</v>
      </c>
      <c r="Q30" s="8">
        <f>BIN2DEC($M30)</f>
        <v>1</v>
      </c>
      <c r="R30" s="3">
        <f>BIN2DEC($N30)</f>
        <v>126</v>
      </c>
      <c r="S30" s="3" cm="1">
        <f t="array" aca="1" ref="S30" ca="1">SUMPRODUCT(MID($O30,ROW(INDIRECT("1:23")),1)*2^(-ROW(INDIRECT("1:23"))))</f>
        <v>0</v>
      </c>
      <c r="T30" s="9">
        <f ca="1">IF($R30=0,
   (-1)^$Q30 * $S30 * 2^(-126),
   (-1)^$Q30 * (1 + $S30) * 2^($R30 - 127)
)</f>
        <v>-0.5</v>
      </c>
    </row>
    <row r="31" spans="11:20" x14ac:dyDescent="0.3">
      <c r="K31" s="44">
        <v>27</v>
      </c>
      <c r="L31" s="38" t="s">
        <v>7</v>
      </c>
      <c r="M31" s="35" t="s">
        <v>18</v>
      </c>
      <c r="N31" s="23" t="s">
        <v>27</v>
      </c>
      <c r="O31" s="23" t="s">
        <v>17</v>
      </c>
      <c r="P31" s="9" t="str">
        <f>_xlfn.TEXTJOIN("",,$M31,$N31,$O31)</f>
        <v>10111111100000000000000000000000</v>
      </c>
      <c r="Q31" s="8">
        <f>BIN2DEC($M31)</f>
        <v>1</v>
      </c>
      <c r="R31" s="3">
        <f>BIN2DEC($N31)</f>
        <v>127</v>
      </c>
      <c r="S31" s="3" cm="1">
        <f t="array" aca="1" ref="S31" ca="1">SUMPRODUCT(MID($O31,ROW(INDIRECT("1:23")),1)*2^(-ROW(INDIRECT("1:23"))))</f>
        <v>0</v>
      </c>
      <c r="T31" s="9">
        <f ca="1">IF($R31=0,
   (-1)^$Q31 * $S31 * 2^(-126),
   (-1)^$Q31 * (1 + $S31) * 2^($R31 - 127)
)</f>
        <v>-1</v>
      </c>
    </row>
    <row r="32" spans="11:20" x14ac:dyDescent="0.3">
      <c r="K32" s="44">
        <v>28</v>
      </c>
      <c r="L32" s="38" t="s">
        <v>7</v>
      </c>
      <c r="M32" s="35" t="s">
        <v>18</v>
      </c>
      <c r="N32" s="23" t="s">
        <v>27</v>
      </c>
      <c r="O32" s="23" t="s">
        <v>28</v>
      </c>
      <c r="P32" s="9" t="str">
        <f>_xlfn.TEXTJOIN("",,$M32,$N32,$O32)</f>
        <v>10111111110000000000000000000000</v>
      </c>
      <c r="Q32" s="8">
        <f>BIN2DEC($M32)</f>
        <v>1</v>
      </c>
      <c r="R32" s="3">
        <f>BIN2DEC($N32)</f>
        <v>127</v>
      </c>
      <c r="S32" s="3" cm="1">
        <f t="array" aca="1" ref="S32" ca="1">SUMPRODUCT(MID($O32,ROW(INDIRECT("1:23")),1)*2^(-ROW(INDIRECT("1:23"))))</f>
        <v>0.5</v>
      </c>
      <c r="T32" s="9">
        <f ca="1">IF($R32=0,
   (-1)^$Q32 * $S32 * 2^(-126),
   (-1)^$Q32 * (1 + $S32) * 2^($R32 - 127)
)</f>
        <v>-1.5</v>
      </c>
    </row>
    <row r="33" spans="11:20" x14ac:dyDescent="0.3">
      <c r="K33" s="44">
        <v>29</v>
      </c>
      <c r="L33" s="38" t="s">
        <v>7</v>
      </c>
      <c r="M33" s="35" t="s">
        <v>18</v>
      </c>
      <c r="N33" s="34" t="s">
        <v>30</v>
      </c>
      <c r="O33" s="34" t="s">
        <v>31</v>
      </c>
      <c r="P33" s="9" t="str">
        <f>_xlfn.TEXTJOIN("",,$M33,$N33,$O33)</f>
        <v>101000110010000001110011010110111</v>
      </c>
      <c r="Q33" s="8">
        <f>BIN2DEC($M33)</f>
        <v>1</v>
      </c>
      <c r="R33" s="3">
        <f>BIN2DEC($N33)</f>
        <v>140</v>
      </c>
      <c r="S33" s="3" cm="1">
        <f t="array" aca="1" ref="S33" ca="1">SUMPRODUCT(MID($O33,ROW(INDIRECT("1:23")),1)*2^(-ROW(INDIRECT("1:23"))))</f>
        <v>0.50704085826873779</v>
      </c>
      <c r="T33" s="9">
        <f ca="1">IF($R33=0,
   (-1)^$Q33 * $S33 * 2^(-126),
   (-1)^$Q33 * (1 + $S33) * 2^($R33 - 127)
)</f>
        <v>-12345.6787109375</v>
      </c>
    </row>
    <row r="34" spans="11:20" x14ac:dyDescent="0.3">
      <c r="K34" s="44">
        <v>30</v>
      </c>
      <c r="L34" s="38" t="s">
        <v>7</v>
      </c>
      <c r="M34" s="35" t="s">
        <v>18</v>
      </c>
      <c r="N34" s="23" t="s">
        <v>32</v>
      </c>
      <c r="O34" s="34" t="s">
        <v>33</v>
      </c>
      <c r="P34" s="9" t="str">
        <f t="shared" ref="P34:P36" si="1">_xlfn.TEXTJOIN("",,$M34,$N34,$O34)</f>
        <v>11111111001100000111100000100010</v>
      </c>
      <c r="Q34" s="8">
        <f>BIN2DEC($M34)</f>
        <v>1</v>
      </c>
      <c r="R34" s="3">
        <f>BIN2DEC($N34)</f>
        <v>254</v>
      </c>
      <c r="S34" s="3" cm="1">
        <f t="array" aca="1" ref="S34" ca="1">SUMPRODUCT(MID($O34,ROW(INDIRECT("1:23")),1)*2^(-ROW(INDIRECT("1:23"))))</f>
        <v>0.37866616249084473</v>
      </c>
      <c r="T34" s="9">
        <f ca="1">IF($R34=0,
   (-1)^$Q34 * $S34 * 2^(-126),
   (-1)^$Q34 * (1 + $S34) * 2^($R34 - 127)
)</f>
        <v>-2.345678924830959E+38</v>
      </c>
    </row>
    <row r="35" spans="11:20" x14ac:dyDescent="0.3">
      <c r="K35" s="44">
        <v>31</v>
      </c>
      <c r="L35" s="38" t="s">
        <v>7</v>
      </c>
      <c r="M35" s="35" t="s">
        <v>18</v>
      </c>
      <c r="N35" s="23" t="s">
        <v>32</v>
      </c>
      <c r="O35" s="23" t="s">
        <v>34</v>
      </c>
      <c r="P35" s="9" t="str">
        <f t="shared" si="1"/>
        <v>11111111011111111111111111111110</v>
      </c>
      <c r="Q35" s="8">
        <f>BIN2DEC($M35)</f>
        <v>1</v>
      </c>
      <c r="R35" s="3">
        <f>BIN2DEC($N35)</f>
        <v>254</v>
      </c>
      <c r="S35" s="3" cm="1">
        <f t="array" aca="1" ref="S35" ca="1">SUMPRODUCT(MID($O35,ROW(INDIRECT("1:23")),1)*2^(-ROW(INDIRECT("1:23"))))</f>
        <v>0.9999997615814209</v>
      </c>
      <c r="T35" s="9">
        <f ca="1">IF($R35=0,
   (-1)^$Q35 * $S35 * 2^(-126),
   (-1)^$Q35 * (1 + $S35) * 2^($R35 - 127)
)</f>
        <v>-3.4028232635611926E+38</v>
      </c>
    </row>
    <row r="36" spans="11:20" ht="17.25" thickBot="1" x14ac:dyDescent="0.35">
      <c r="K36" s="45">
        <v>32</v>
      </c>
      <c r="L36" s="39" t="s">
        <v>7</v>
      </c>
      <c r="M36" s="46" t="s">
        <v>18</v>
      </c>
      <c r="N36" s="28" t="s">
        <v>32</v>
      </c>
      <c r="O36" s="28" t="s">
        <v>21</v>
      </c>
      <c r="P36" s="12" t="str">
        <f t="shared" si="1"/>
        <v>11111111011111111111111111111111</v>
      </c>
      <c r="Q36" s="10">
        <f>BIN2DEC($M36)</f>
        <v>1</v>
      </c>
      <c r="R36" s="11">
        <f>BIN2DEC($N36)</f>
        <v>254</v>
      </c>
      <c r="S36" s="11" cm="1">
        <f t="array" aca="1" ref="S36" ca="1">SUMPRODUCT(MID($O36,ROW(INDIRECT("1:23")),1)*2^(-ROW(INDIRECT("1:23"))))</f>
        <v>0.99999988079071045</v>
      </c>
      <c r="T36" s="12">
        <f ca="1">IF($R36=0,
   (-1)^$Q36 * $S36 * 2^(-126),
   (-1)^$Q36 * (1 + $S36) * 2^($R36 - 127)
)</f>
        <v>-3.4028234663852886E+38</v>
      </c>
    </row>
  </sheetData>
  <mergeCells count="9">
    <mergeCell ref="B3:B4"/>
    <mergeCell ref="K3:K4"/>
    <mergeCell ref="Q3:T3"/>
    <mergeCell ref="M3:P3"/>
    <mergeCell ref="C3:D3"/>
    <mergeCell ref="E3:F3"/>
    <mergeCell ref="G3:H3"/>
    <mergeCell ref="I3:I4"/>
    <mergeCell ref="L3:L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89E4-05F6-4380-B62A-A414E7AD123C}">
  <dimension ref="A1:W1027"/>
  <sheetViews>
    <sheetView tabSelected="1" topLeftCell="F1" workbookViewId="0">
      <selection activeCell="Y6" sqref="Y6"/>
    </sheetView>
  </sheetViews>
  <sheetFormatPr defaultRowHeight="16.5" x14ac:dyDescent="0.3"/>
  <cols>
    <col min="3" max="4" width="9.5" customWidth="1"/>
    <col min="5" max="5" width="11.125" bestFit="1" customWidth="1"/>
    <col min="6" max="6" width="33.625" bestFit="1" customWidth="1"/>
    <col min="7" max="7" width="9.5" hidden="1" customWidth="1"/>
    <col min="8" max="8" width="9.5" customWidth="1"/>
    <col min="9" max="9" width="11.125" bestFit="1" customWidth="1"/>
    <col min="10" max="10" width="33.625" bestFit="1" customWidth="1"/>
    <col min="11" max="11" width="16.5" bestFit="1" customWidth="1"/>
    <col min="12" max="12" width="16.5" customWidth="1"/>
    <col min="13" max="13" width="33.625" bestFit="1" customWidth="1"/>
    <col min="15" max="15" width="8.875" style="1" bestFit="1" customWidth="1"/>
    <col min="16" max="16" width="24.25" style="1" bestFit="1" customWidth="1"/>
    <col min="17" max="17" width="4.5" style="1" bestFit="1" customWidth="1"/>
    <col min="18" max="18" width="8.625" style="1" bestFit="1" customWidth="1"/>
    <col min="19" max="19" width="12.125" style="1" bestFit="1" customWidth="1"/>
    <col min="20" max="21" width="11.125" style="1" bestFit="1" customWidth="1"/>
    <col min="22" max="22" width="14" style="1" bestFit="1" customWidth="1"/>
    <col min="23" max="23" width="10.625" style="1" customWidth="1"/>
    <col min="24" max="16384" width="9" style="1"/>
  </cols>
  <sheetData>
    <row r="1" spans="1:23" customFormat="1" ht="17.25" thickBot="1" x14ac:dyDescent="0.35">
      <c r="A1" s="16" t="s">
        <v>36</v>
      </c>
      <c r="B1" s="17" t="s">
        <v>42</v>
      </c>
      <c r="C1" s="5" t="s">
        <v>0</v>
      </c>
      <c r="D1" s="6"/>
      <c r="E1" s="6"/>
      <c r="F1" s="7"/>
      <c r="G1" s="53" t="s">
        <v>38</v>
      </c>
      <c r="H1" s="50"/>
      <c r="I1" s="50"/>
      <c r="J1" s="65"/>
      <c r="K1" s="5" t="s">
        <v>40</v>
      </c>
      <c r="L1" s="7"/>
      <c r="M1" s="77" t="s">
        <v>41</v>
      </c>
      <c r="N1" s="78"/>
      <c r="O1" s="78"/>
      <c r="P1" s="78"/>
      <c r="Q1" s="78"/>
      <c r="R1" s="78"/>
      <c r="S1" s="78"/>
      <c r="T1" s="78"/>
      <c r="U1" s="78"/>
      <c r="V1" s="78"/>
      <c r="W1" s="79"/>
    </row>
    <row r="2" spans="1:23" customFormat="1" x14ac:dyDescent="0.3">
      <c r="A2" s="42"/>
      <c r="B2" s="68"/>
      <c r="C2" s="52" t="s">
        <v>35</v>
      </c>
      <c r="D2" s="49" t="s">
        <v>10</v>
      </c>
      <c r="E2" s="2" t="s">
        <v>4</v>
      </c>
      <c r="F2" s="51" t="s">
        <v>14</v>
      </c>
      <c r="G2" s="52" t="s">
        <v>35</v>
      </c>
      <c r="H2" s="49" t="s">
        <v>10</v>
      </c>
      <c r="I2" s="2" t="s">
        <v>4</v>
      </c>
      <c r="J2" s="24" t="s">
        <v>14</v>
      </c>
      <c r="K2" s="52" t="s">
        <v>4</v>
      </c>
      <c r="L2" s="66" t="s">
        <v>6</v>
      </c>
      <c r="M2" s="5" t="s">
        <v>22</v>
      </c>
      <c r="N2" s="6"/>
      <c r="O2" s="6"/>
      <c r="P2" s="6"/>
      <c r="Q2" s="6" t="s">
        <v>23</v>
      </c>
      <c r="R2" s="6"/>
      <c r="S2" s="6"/>
      <c r="T2" s="6"/>
      <c r="U2" s="6"/>
      <c r="V2" s="6" t="s">
        <v>6</v>
      </c>
      <c r="W2" s="80" t="s">
        <v>43</v>
      </c>
    </row>
    <row r="3" spans="1:23" customFormat="1" ht="17.25" thickBot="1" x14ac:dyDescent="0.35">
      <c r="A3" s="37"/>
      <c r="B3" s="22"/>
      <c r="C3" s="54"/>
      <c r="D3" s="55"/>
      <c r="E3" s="56"/>
      <c r="F3" s="57"/>
      <c r="G3" s="54"/>
      <c r="H3" s="55"/>
      <c r="I3" s="56"/>
      <c r="J3" s="64"/>
      <c r="K3" s="69"/>
      <c r="L3" s="70"/>
      <c r="M3" s="67" t="s">
        <v>25</v>
      </c>
      <c r="N3" s="3" t="s">
        <v>11</v>
      </c>
      <c r="O3" s="3" t="s">
        <v>12</v>
      </c>
      <c r="P3" s="3" t="s">
        <v>13</v>
      </c>
      <c r="Q3" s="3" t="s">
        <v>11</v>
      </c>
      <c r="R3" s="3" t="s">
        <v>12</v>
      </c>
      <c r="S3" s="3" t="s">
        <v>13</v>
      </c>
      <c r="T3" s="3" t="s">
        <v>25</v>
      </c>
      <c r="U3" s="3" t="s">
        <v>39</v>
      </c>
      <c r="V3" s="2"/>
      <c r="W3" s="81"/>
    </row>
    <row r="4" spans="1:23" customFormat="1" x14ac:dyDescent="0.3">
      <c r="A4" s="63">
        <v>1</v>
      </c>
      <c r="B4" s="13">
        <v>1</v>
      </c>
      <c r="C4" s="30">
        <v>1</v>
      </c>
      <c r="D4" s="19" t="str">
        <f>VLOOKUP($C4,Overall!$K$5:$T$36,2)</f>
        <v>Underflow</v>
      </c>
      <c r="E4" s="19">
        <f ca="1">VLOOKUP($C4,Overall!$K$5:$T$36,10)</f>
        <v>1.4012984643248171E-45</v>
      </c>
      <c r="F4" s="20" t="str">
        <f>VLOOKUP($C4,Overall!$K$5:$T$36,6)</f>
        <v>00000000000000000000000000000001</v>
      </c>
      <c r="G4" s="18">
        <v>1</v>
      </c>
      <c r="H4" s="19" t="str">
        <f>VLOOKUP($G4,Overall!$K$5:$T$36,2)</f>
        <v>Underflow</v>
      </c>
      <c r="I4" s="19">
        <f ca="1">VLOOKUP($G4,Overall!$K$5:$T$36,10)</f>
        <v>1.4012984643248171E-45</v>
      </c>
      <c r="J4" s="61" t="str">
        <f>VLOOKUP($G4,Overall!$K$5:$T$36,6)</f>
        <v>00000000000000000000000000000001</v>
      </c>
      <c r="K4" s="71">
        <f ca="1">E4*I4</f>
        <v>1.9636373861190906E-90</v>
      </c>
      <c r="L4" s="72">
        <f>VLOOKUP($B4,Overall!$B$5:$I$13,8)</f>
        <v>0</v>
      </c>
      <c r="M4" s="58"/>
      <c r="N4" s="3" t="str">
        <f>LEFT($M4,1)</f>
        <v/>
      </c>
      <c r="O4" s="3" t="str">
        <f>MID($M4,2,8)</f>
        <v/>
      </c>
      <c r="P4" s="3" t="str">
        <f>MID($M4,10,23)</f>
        <v/>
      </c>
      <c r="Q4" s="3">
        <f>BIN2DEC($N4)</f>
        <v>0</v>
      </c>
      <c r="R4" s="3">
        <f>BIN2DEC($O4)</f>
        <v>0</v>
      </c>
      <c r="S4" s="3" t="e" cm="1">
        <f t="array" aca="1" ref="S4" ca="1">SUMPRODUCT(MID($P4,ROW(INDIRECT("1:23")),1)*2^(-ROW(INDIRECT("1:23"))))</f>
        <v>#VALUE!</v>
      </c>
      <c r="T4" s="3" t="e">
        <f ca="1">IF($R4=0,
   (-1)^$Q4 * $S4 * 2^(-126),
   (-1)^$Q4 * (1 + $S4) * 2^($R4 - 127)
)</f>
        <v>#VALUE!</v>
      </c>
      <c r="U4" s="3" t="e">
        <f ca="1">$T4-$K4</f>
        <v>#VALUE!</v>
      </c>
      <c r="V4" s="73"/>
      <c r="W4" s="9" t="str">
        <f>IF(L4=V4,"OK","NG")</f>
        <v>OK</v>
      </c>
    </row>
    <row r="5" spans="1:23" customFormat="1" x14ac:dyDescent="0.3">
      <c r="A5" s="44">
        <v>2</v>
      </c>
      <c r="B5" s="14">
        <v>1</v>
      </c>
      <c r="C5" s="4">
        <v>1</v>
      </c>
      <c r="D5" s="3" t="str">
        <f>VLOOKUP($C5,Overall!$K$5:$T$36,2)</f>
        <v>Underflow</v>
      </c>
      <c r="E5" s="3">
        <f ca="1">VLOOKUP($C5,Overall!$K$5:$T$36,10)</f>
        <v>1.4012984643248171E-45</v>
      </c>
      <c r="F5" s="9" t="str">
        <f>VLOOKUP($C5,Overall!$K$5:$T$36,6)</f>
        <v>00000000000000000000000000000001</v>
      </c>
      <c r="G5" s="8">
        <v>2</v>
      </c>
      <c r="H5" s="3" t="str">
        <f>VLOOKUP($G5,Overall!$K$5:$T$36,2)</f>
        <v>Underflow</v>
      </c>
      <c r="I5" s="3">
        <f ca="1">VLOOKUP($G5,Overall!$K$5:$T$36,10)</f>
        <v>2.9387386796526474E-39</v>
      </c>
      <c r="J5" s="62" t="str">
        <f>VLOOKUP($G5,Overall!$K$5:$T$36,6)</f>
        <v>00000000001000000000000000000010</v>
      </c>
      <c r="K5" s="8">
        <f t="shared" ref="K5:K68" ca="1" si="0">E5*I5</f>
        <v>4.1180499988491954E-84</v>
      </c>
      <c r="L5" s="62">
        <f>VLOOKUP($B5,Overall!$B$5:$I$13,8)</f>
        <v>0</v>
      </c>
      <c r="M5" s="58"/>
      <c r="N5" s="3" t="str">
        <f t="shared" ref="N5:N68" si="1">LEFT($M5,1)</f>
        <v/>
      </c>
      <c r="O5" s="3" t="str">
        <f t="shared" ref="O5:O68" si="2">MID($M5,2,8)</f>
        <v/>
      </c>
      <c r="P5" s="3" t="str">
        <f t="shared" ref="P5:P68" si="3">MID($M5,10,23)</f>
        <v/>
      </c>
      <c r="Q5" s="3">
        <f t="shared" ref="Q5:Q68" si="4">BIN2DEC($N5)</f>
        <v>0</v>
      </c>
      <c r="R5" s="3">
        <f t="shared" ref="R5:R68" si="5">BIN2DEC($O5)</f>
        <v>0</v>
      </c>
      <c r="S5" s="3" t="e" cm="1">
        <f t="array" aca="1" ref="S5" ca="1">SUMPRODUCT(MID($P5,ROW(INDIRECT("1:23")),1)*2^(-ROW(INDIRECT("1:23"))))</f>
        <v>#VALUE!</v>
      </c>
      <c r="T5" s="3" t="e">
        <f t="shared" ref="T5:T68" ca="1" si="6">IF($R5=0,
   (-1)^$Q5 * $S5 * 2^(-126),
   (-1)^$Q5 * (1 + $S5) * 2^($R5 - 127)
)</f>
        <v>#VALUE!</v>
      </c>
      <c r="U5" s="3" t="e">
        <f t="shared" ref="U5:U68" ca="1" si="7">$T5-$K5</f>
        <v>#VALUE!</v>
      </c>
      <c r="V5" s="73"/>
      <c r="W5" s="9" t="str">
        <f t="shared" ref="W5:W68" si="8">IF(L5=V5,"OK","NG")</f>
        <v>OK</v>
      </c>
    </row>
    <row r="6" spans="1:23" x14ac:dyDescent="0.3">
      <c r="A6" s="44">
        <v>3</v>
      </c>
      <c r="B6" s="14">
        <v>1</v>
      </c>
      <c r="C6" s="4">
        <v>1</v>
      </c>
      <c r="D6" s="3" t="str">
        <f>VLOOKUP($C6,Overall!$K$5:$T$36,2)</f>
        <v>Underflow</v>
      </c>
      <c r="E6" s="3">
        <f ca="1">VLOOKUP($C6,Overall!$K$5:$T$36,10)</f>
        <v>1.4012984643248171E-45</v>
      </c>
      <c r="F6" s="9" t="str">
        <f>VLOOKUP($C6,Overall!$K$5:$T$36,6)</f>
        <v>00000000000000000000000000000001</v>
      </c>
      <c r="G6" s="8">
        <v>3</v>
      </c>
      <c r="H6" s="3" t="str">
        <f>VLOOKUP($G6,Overall!$K$5:$T$36,2)</f>
        <v>Underflow</v>
      </c>
      <c r="I6" s="3">
        <f ca="1">VLOOKUP($G6,Overall!$K$5:$T$36,10)</f>
        <v>1.1754942106924411E-38</v>
      </c>
      <c r="J6" s="62" t="str">
        <f>VLOOKUP($G6,Overall!$K$5:$T$36,6)</f>
        <v>00000000011111111111111111111111</v>
      </c>
      <c r="K6" s="8">
        <f t="shared" ca="1" si="0"/>
        <v>1.6472182322660306E-83</v>
      </c>
      <c r="L6" s="62">
        <f>VLOOKUP($B6,Overall!$B$5:$I$13,8)</f>
        <v>0</v>
      </c>
      <c r="M6" s="58"/>
      <c r="N6" s="3" t="str">
        <f t="shared" si="1"/>
        <v/>
      </c>
      <c r="O6" s="3" t="str">
        <f t="shared" si="2"/>
        <v/>
      </c>
      <c r="P6" s="3" t="str">
        <f t="shared" si="3"/>
        <v/>
      </c>
      <c r="Q6" s="3">
        <f t="shared" si="4"/>
        <v>0</v>
      </c>
      <c r="R6" s="3">
        <f t="shared" si="5"/>
        <v>0</v>
      </c>
      <c r="S6" s="3" t="e" cm="1">
        <f t="array" aca="1" ref="S6" ca="1">SUMPRODUCT(MID($P6,ROW(INDIRECT("1:23")),1)*2^(-ROW(INDIRECT("1:23"))))</f>
        <v>#VALUE!</v>
      </c>
      <c r="T6" s="3" t="e">
        <f t="shared" ca="1" si="6"/>
        <v>#VALUE!</v>
      </c>
      <c r="U6" s="3" t="e">
        <f t="shared" ca="1" si="7"/>
        <v>#VALUE!</v>
      </c>
      <c r="V6" s="74"/>
      <c r="W6" s="9" t="str">
        <f t="shared" si="8"/>
        <v>OK</v>
      </c>
    </row>
    <row r="7" spans="1:23" x14ac:dyDescent="0.3">
      <c r="A7" s="44">
        <v>4</v>
      </c>
      <c r="B7" s="14">
        <v>1</v>
      </c>
      <c r="C7" s="4">
        <v>1</v>
      </c>
      <c r="D7" s="3" t="str">
        <f>VLOOKUP($C7,Overall!$K$5:$T$36,2)</f>
        <v>Underflow</v>
      </c>
      <c r="E7" s="3">
        <f ca="1">VLOOKUP($C7,Overall!$K$5:$T$36,10)</f>
        <v>1.4012984643248171E-45</v>
      </c>
      <c r="F7" s="9" t="str">
        <f>VLOOKUP($C7,Overall!$K$5:$T$36,6)</f>
        <v>00000000000000000000000000000001</v>
      </c>
      <c r="G7" s="8">
        <v>4</v>
      </c>
      <c r="H7" s="3" t="str">
        <f>VLOOKUP($G7,Overall!$K$5:$T$36,2)</f>
        <v>Underflow</v>
      </c>
      <c r="I7" s="3">
        <f ca="1">VLOOKUP($G7,Overall!$K$5:$T$36,10)</f>
        <v>-1.4012984643248171E-45</v>
      </c>
      <c r="J7" s="62" t="str">
        <f>VLOOKUP($G7,Overall!$K$5:$T$36,6)</f>
        <v>10000000000000000000000000000001</v>
      </c>
      <c r="K7" s="8">
        <f t="shared" ca="1" si="0"/>
        <v>-1.9636373861190906E-90</v>
      </c>
      <c r="L7" s="62">
        <f>VLOOKUP($B7,Overall!$B$5:$I$13,8)</f>
        <v>0</v>
      </c>
      <c r="M7" s="58"/>
      <c r="N7" s="3" t="str">
        <f t="shared" si="1"/>
        <v/>
      </c>
      <c r="O7" s="3" t="str">
        <f t="shared" si="2"/>
        <v/>
      </c>
      <c r="P7" s="3" t="str">
        <f t="shared" si="3"/>
        <v/>
      </c>
      <c r="Q7" s="3">
        <f t="shared" si="4"/>
        <v>0</v>
      </c>
      <c r="R7" s="3">
        <f t="shared" si="5"/>
        <v>0</v>
      </c>
      <c r="S7" s="3" t="e" cm="1">
        <f t="array" aca="1" ref="S7" ca="1">SUMPRODUCT(MID($P7,ROW(INDIRECT("1:23")),1)*2^(-ROW(INDIRECT("1:23"))))</f>
        <v>#VALUE!</v>
      </c>
      <c r="T7" s="3" t="e">
        <f t="shared" ca="1" si="6"/>
        <v>#VALUE!</v>
      </c>
      <c r="U7" s="3" t="e">
        <f t="shared" ca="1" si="7"/>
        <v>#VALUE!</v>
      </c>
      <c r="V7" s="75"/>
      <c r="W7" s="9" t="str">
        <f t="shared" si="8"/>
        <v>OK</v>
      </c>
    </row>
    <row r="8" spans="1:23" x14ac:dyDescent="0.3">
      <c r="A8" s="44">
        <v>5</v>
      </c>
      <c r="B8" s="14">
        <v>1</v>
      </c>
      <c r="C8" s="4">
        <v>1</v>
      </c>
      <c r="D8" s="3" t="str">
        <f>VLOOKUP($C8,Overall!$K$5:$T$36,2)</f>
        <v>Underflow</v>
      </c>
      <c r="E8" s="3">
        <f ca="1">VLOOKUP($C8,Overall!$K$5:$T$36,10)</f>
        <v>1.4012984643248171E-45</v>
      </c>
      <c r="F8" s="9" t="str">
        <f>VLOOKUP($C8,Overall!$K$5:$T$36,6)</f>
        <v>00000000000000000000000000000001</v>
      </c>
      <c r="G8" s="8">
        <v>5</v>
      </c>
      <c r="H8" s="3" t="str">
        <f>VLOOKUP($G8,Overall!$K$5:$T$36,2)</f>
        <v>Underflow</v>
      </c>
      <c r="I8" s="3">
        <f ca="1">VLOOKUP($G8,Overall!$K$5:$T$36,10)</f>
        <v>-2.9387386796526474E-39</v>
      </c>
      <c r="J8" s="62" t="str">
        <f>VLOOKUP($G8,Overall!$K$5:$T$36,6)</f>
        <v>10000000001000000000000000000010</v>
      </c>
      <c r="K8" s="8">
        <f t="shared" ca="1" si="0"/>
        <v>-4.1180499988491954E-84</v>
      </c>
      <c r="L8" s="62">
        <f>VLOOKUP($B8,Overall!$B$5:$I$13,8)</f>
        <v>0</v>
      </c>
      <c r="M8" s="58"/>
      <c r="N8" s="3" t="str">
        <f t="shared" si="1"/>
        <v/>
      </c>
      <c r="O8" s="3" t="str">
        <f t="shared" si="2"/>
        <v/>
      </c>
      <c r="P8" s="3" t="str">
        <f t="shared" si="3"/>
        <v/>
      </c>
      <c r="Q8" s="3">
        <f t="shared" si="4"/>
        <v>0</v>
      </c>
      <c r="R8" s="3">
        <f t="shared" si="5"/>
        <v>0</v>
      </c>
      <c r="S8" s="3" t="e" cm="1">
        <f t="array" aca="1" ref="S8" ca="1">SUMPRODUCT(MID($P8,ROW(INDIRECT("1:23")),1)*2^(-ROW(INDIRECT("1:23"))))</f>
        <v>#VALUE!</v>
      </c>
      <c r="T8" s="3" t="e">
        <f t="shared" ca="1" si="6"/>
        <v>#VALUE!</v>
      </c>
      <c r="U8" s="3" t="e">
        <f t="shared" ca="1" si="7"/>
        <v>#VALUE!</v>
      </c>
      <c r="V8" s="73"/>
      <c r="W8" s="9" t="str">
        <f t="shared" si="8"/>
        <v>OK</v>
      </c>
    </row>
    <row r="9" spans="1:23" x14ac:dyDescent="0.3">
      <c r="A9" s="44">
        <v>6</v>
      </c>
      <c r="B9" s="14">
        <v>1</v>
      </c>
      <c r="C9" s="4">
        <v>1</v>
      </c>
      <c r="D9" s="3" t="str">
        <f>VLOOKUP($C9,Overall!$K$5:$T$36,2)</f>
        <v>Underflow</v>
      </c>
      <c r="E9" s="3">
        <f ca="1">VLOOKUP($C9,Overall!$K$5:$T$36,10)</f>
        <v>1.4012984643248171E-45</v>
      </c>
      <c r="F9" s="9" t="str">
        <f>VLOOKUP($C9,Overall!$K$5:$T$36,6)</f>
        <v>00000000000000000000000000000001</v>
      </c>
      <c r="G9" s="8">
        <v>6</v>
      </c>
      <c r="H9" s="3" t="str">
        <f>VLOOKUP($G9,Overall!$K$5:$T$36,2)</f>
        <v>Underflow</v>
      </c>
      <c r="I9" s="3">
        <f ca="1">VLOOKUP($G9,Overall!$K$5:$T$36,10)</f>
        <v>-1.1754942106924411E-38</v>
      </c>
      <c r="J9" s="62" t="str">
        <f>VLOOKUP($G9,Overall!$K$5:$T$36,6)</f>
        <v>10000000011111111111111111111111</v>
      </c>
      <c r="K9" s="8">
        <f t="shared" ca="1" si="0"/>
        <v>-1.6472182322660306E-83</v>
      </c>
      <c r="L9" s="62">
        <f>VLOOKUP($B9,Overall!$B$5:$I$13,8)</f>
        <v>0</v>
      </c>
      <c r="M9" s="58"/>
      <c r="N9" s="3" t="str">
        <f t="shared" si="1"/>
        <v/>
      </c>
      <c r="O9" s="3" t="str">
        <f t="shared" si="2"/>
        <v/>
      </c>
      <c r="P9" s="3" t="str">
        <f t="shared" si="3"/>
        <v/>
      </c>
      <c r="Q9" s="3">
        <f t="shared" si="4"/>
        <v>0</v>
      </c>
      <c r="R9" s="3">
        <f t="shared" si="5"/>
        <v>0</v>
      </c>
      <c r="S9" s="3" t="e" cm="1">
        <f t="array" aca="1" ref="S9" ca="1">SUMPRODUCT(MID($P9,ROW(INDIRECT("1:23")),1)*2^(-ROW(INDIRECT("1:23"))))</f>
        <v>#VALUE!</v>
      </c>
      <c r="T9" s="3" t="e">
        <f t="shared" ca="1" si="6"/>
        <v>#VALUE!</v>
      </c>
      <c r="U9" s="3" t="e">
        <f t="shared" ca="1" si="7"/>
        <v>#VALUE!</v>
      </c>
      <c r="V9" s="73"/>
      <c r="W9" s="9" t="str">
        <f t="shared" si="8"/>
        <v>OK</v>
      </c>
    </row>
    <row r="10" spans="1:23" x14ac:dyDescent="0.3">
      <c r="A10" s="44">
        <v>7</v>
      </c>
      <c r="B10" s="14">
        <v>1</v>
      </c>
      <c r="C10" s="4">
        <v>2</v>
      </c>
      <c r="D10" s="3" t="str">
        <f>VLOOKUP($C10,Overall!$K$5:$T$36,2)</f>
        <v>Underflow</v>
      </c>
      <c r="E10" s="3">
        <f ca="1">VLOOKUP($C10,Overall!$K$5:$T$36,10)</f>
        <v>2.9387386796526474E-39</v>
      </c>
      <c r="F10" s="9" t="str">
        <f>VLOOKUP($C10,Overall!$K$5:$T$36,6)</f>
        <v>00000000001000000000000000000010</v>
      </c>
      <c r="G10" s="8">
        <v>1</v>
      </c>
      <c r="H10" s="3" t="str">
        <f>VLOOKUP($G10,Overall!$K$5:$T$36,2)</f>
        <v>Underflow</v>
      </c>
      <c r="I10" s="3">
        <f ca="1">VLOOKUP($G10,Overall!$K$5:$T$36,10)</f>
        <v>1.4012984643248171E-45</v>
      </c>
      <c r="J10" s="62" t="str">
        <f>VLOOKUP($G10,Overall!$K$5:$T$36,6)</f>
        <v>00000000000000000000000000000001</v>
      </c>
      <c r="K10" s="8">
        <f t="shared" ca="1" si="0"/>
        <v>4.1180499988491954E-84</v>
      </c>
      <c r="L10" s="62">
        <f>VLOOKUP($B10,Overall!$B$5:$I$13,8)</f>
        <v>0</v>
      </c>
      <c r="M10" s="58"/>
      <c r="N10" s="3" t="str">
        <f t="shared" si="1"/>
        <v/>
      </c>
      <c r="O10" s="3" t="str">
        <f t="shared" si="2"/>
        <v/>
      </c>
      <c r="P10" s="3" t="str">
        <f t="shared" si="3"/>
        <v/>
      </c>
      <c r="Q10" s="3">
        <f t="shared" si="4"/>
        <v>0</v>
      </c>
      <c r="R10" s="3">
        <f t="shared" si="5"/>
        <v>0</v>
      </c>
      <c r="S10" s="3" t="e" cm="1">
        <f t="array" aca="1" ref="S10" ca="1">SUMPRODUCT(MID($P10,ROW(INDIRECT("1:23")),1)*2^(-ROW(INDIRECT("1:23"))))</f>
        <v>#VALUE!</v>
      </c>
      <c r="T10" s="3" t="e">
        <f t="shared" ca="1" si="6"/>
        <v>#VALUE!</v>
      </c>
      <c r="U10" s="3" t="e">
        <f t="shared" ca="1" si="7"/>
        <v>#VALUE!</v>
      </c>
      <c r="V10" s="73"/>
      <c r="W10" s="9" t="str">
        <f t="shared" si="8"/>
        <v>OK</v>
      </c>
    </row>
    <row r="11" spans="1:23" x14ac:dyDescent="0.3">
      <c r="A11" s="44">
        <v>8</v>
      </c>
      <c r="B11" s="14">
        <v>1</v>
      </c>
      <c r="C11" s="4">
        <v>2</v>
      </c>
      <c r="D11" s="3" t="str">
        <f>VLOOKUP($C11,Overall!$K$5:$T$36,2)</f>
        <v>Underflow</v>
      </c>
      <c r="E11" s="3">
        <f ca="1">VLOOKUP($C11,Overall!$K$5:$T$36,10)</f>
        <v>2.9387386796526474E-39</v>
      </c>
      <c r="F11" s="9" t="str">
        <f>VLOOKUP($C11,Overall!$K$5:$T$36,6)</f>
        <v>00000000001000000000000000000010</v>
      </c>
      <c r="G11" s="8">
        <v>2</v>
      </c>
      <c r="H11" s="3" t="str">
        <f>VLOOKUP($G11,Overall!$K$5:$T$36,2)</f>
        <v>Underflow</v>
      </c>
      <c r="I11" s="3">
        <f ca="1">VLOOKUP($G11,Overall!$K$5:$T$36,10)</f>
        <v>2.9387386796526474E-39</v>
      </c>
      <c r="J11" s="62" t="str">
        <f>VLOOKUP($G11,Overall!$K$5:$T$36,6)</f>
        <v>00000000001000000000000000000010</v>
      </c>
      <c r="K11" s="8">
        <f t="shared" ca="1" si="0"/>
        <v>8.6361850272865855E-78</v>
      </c>
      <c r="L11" s="62">
        <f>VLOOKUP($B11,Overall!$B$5:$I$13,8)</f>
        <v>0</v>
      </c>
      <c r="M11" s="58"/>
      <c r="N11" s="3" t="str">
        <f t="shared" si="1"/>
        <v/>
      </c>
      <c r="O11" s="3" t="str">
        <f t="shared" si="2"/>
        <v/>
      </c>
      <c r="P11" s="3" t="str">
        <f t="shared" si="3"/>
        <v/>
      </c>
      <c r="Q11" s="3">
        <f t="shared" si="4"/>
        <v>0</v>
      </c>
      <c r="R11" s="3">
        <f t="shared" si="5"/>
        <v>0</v>
      </c>
      <c r="S11" s="3" t="e" cm="1">
        <f t="array" aca="1" ref="S11" ca="1">SUMPRODUCT(MID($P11,ROW(INDIRECT("1:23")),1)*2^(-ROW(INDIRECT("1:23"))))</f>
        <v>#VALUE!</v>
      </c>
      <c r="T11" s="3" t="e">
        <f t="shared" ca="1" si="6"/>
        <v>#VALUE!</v>
      </c>
      <c r="U11" s="3" t="e">
        <f t="shared" ca="1" si="7"/>
        <v>#VALUE!</v>
      </c>
      <c r="V11" s="73"/>
      <c r="W11" s="9" t="str">
        <f t="shared" si="8"/>
        <v>OK</v>
      </c>
    </row>
    <row r="12" spans="1:23" x14ac:dyDescent="0.3">
      <c r="A12" s="44">
        <v>9</v>
      </c>
      <c r="B12" s="14">
        <v>1</v>
      </c>
      <c r="C12" s="4">
        <v>2</v>
      </c>
      <c r="D12" s="3" t="str">
        <f>VLOOKUP($C12,Overall!$K$5:$T$36,2)</f>
        <v>Underflow</v>
      </c>
      <c r="E12" s="3">
        <f ca="1">VLOOKUP($C12,Overall!$K$5:$T$36,10)</f>
        <v>2.9387386796526474E-39</v>
      </c>
      <c r="F12" s="9" t="str">
        <f>VLOOKUP($C12,Overall!$K$5:$T$36,6)</f>
        <v>00000000001000000000000000000010</v>
      </c>
      <c r="G12" s="8">
        <v>3</v>
      </c>
      <c r="H12" s="3" t="str">
        <f>VLOOKUP($G12,Overall!$K$5:$T$36,2)</f>
        <v>Underflow</v>
      </c>
      <c r="I12" s="3">
        <f ca="1">VLOOKUP($G12,Overall!$K$5:$T$36,10)</f>
        <v>1.1754942106924411E-38</v>
      </c>
      <c r="J12" s="62" t="str">
        <f>VLOOKUP($G12,Overall!$K$5:$T$36,6)</f>
        <v>00000000011111111111111111111111</v>
      </c>
      <c r="K12" s="8">
        <f t="shared" ca="1" si="0"/>
        <v>3.4544703046696352E-77</v>
      </c>
      <c r="L12" s="62">
        <f>VLOOKUP($B12,Overall!$B$5:$I$13,8)</f>
        <v>0</v>
      </c>
      <c r="M12" s="58"/>
      <c r="N12" s="3" t="str">
        <f t="shared" si="1"/>
        <v/>
      </c>
      <c r="O12" s="3" t="str">
        <f t="shared" si="2"/>
        <v/>
      </c>
      <c r="P12" s="3" t="str">
        <f t="shared" si="3"/>
        <v/>
      </c>
      <c r="Q12" s="3">
        <f t="shared" si="4"/>
        <v>0</v>
      </c>
      <c r="R12" s="3">
        <f t="shared" si="5"/>
        <v>0</v>
      </c>
      <c r="S12" s="3" t="e" cm="1">
        <f t="array" aca="1" ref="S12" ca="1">SUMPRODUCT(MID($P12,ROW(INDIRECT("1:23")),1)*2^(-ROW(INDIRECT("1:23"))))</f>
        <v>#VALUE!</v>
      </c>
      <c r="T12" s="3" t="e">
        <f t="shared" ca="1" si="6"/>
        <v>#VALUE!</v>
      </c>
      <c r="U12" s="3" t="e">
        <f t="shared" ca="1" si="7"/>
        <v>#VALUE!</v>
      </c>
      <c r="V12" s="73"/>
      <c r="W12" s="9" t="str">
        <f t="shared" si="8"/>
        <v>OK</v>
      </c>
    </row>
    <row r="13" spans="1:23" x14ac:dyDescent="0.3">
      <c r="A13" s="44">
        <v>10</v>
      </c>
      <c r="B13" s="14">
        <v>1</v>
      </c>
      <c r="C13" s="4">
        <v>2</v>
      </c>
      <c r="D13" s="3" t="str">
        <f>VLOOKUP($C13,Overall!$K$5:$T$36,2)</f>
        <v>Underflow</v>
      </c>
      <c r="E13" s="3">
        <f ca="1">VLOOKUP($C13,Overall!$K$5:$T$36,10)</f>
        <v>2.9387386796526474E-39</v>
      </c>
      <c r="F13" s="9" t="str">
        <f>VLOOKUP($C13,Overall!$K$5:$T$36,6)</f>
        <v>00000000001000000000000000000010</v>
      </c>
      <c r="G13" s="8">
        <v>4</v>
      </c>
      <c r="H13" s="3" t="str">
        <f>VLOOKUP($G13,Overall!$K$5:$T$36,2)</f>
        <v>Underflow</v>
      </c>
      <c r="I13" s="3">
        <f ca="1">VLOOKUP($G13,Overall!$K$5:$T$36,10)</f>
        <v>-1.4012984643248171E-45</v>
      </c>
      <c r="J13" s="62" t="str">
        <f>VLOOKUP($G13,Overall!$K$5:$T$36,6)</f>
        <v>10000000000000000000000000000001</v>
      </c>
      <c r="K13" s="8">
        <f t="shared" ca="1" si="0"/>
        <v>-4.1180499988491954E-84</v>
      </c>
      <c r="L13" s="62">
        <f>VLOOKUP($B13,Overall!$B$5:$I$13,8)</f>
        <v>0</v>
      </c>
      <c r="M13" s="58"/>
      <c r="N13" s="3" t="str">
        <f t="shared" si="1"/>
        <v/>
      </c>
      <c r="O13" s="3" t="str">
        <f t="shared" si="2"/>
        <v/>
      </c>
      <c r="P13" s="3" t="str">
        <f t="shared" si="3"/>
        <v/>
      </c>
      <c r="Q13" s="3">
        <f t="shared" si="4"/>
        <v>0</v>
      </c>
      <c r="R13" s="3">
        <f t="shared" si="5"/>
        <v>0</v>
      </c>
      <c r="S13" s="3" t="e" cm="1">
        <f t="array" aca="1" ref="S13" ca="1">SUMPRODUCT(MID($P13,ROW(INDIRECT("1:23")),1)*2^(-ROW(INDIRECT("1:23"))))</f>
        <v>#VALUE!</v>
      </c>
      <c r="T13" s="3" t="e">
        <f t="shared" ca="1" si="6"/>
        <v>#VALUE!</v>
      </c>
      <c r="U13" s="3" t="e">
        <f t="shared" ca="1" si="7"/>
        <v>#VALUE!</v>
      </c>
      <c r="V13" s="73"/>
      <c r="W13" s="9" t="str">
        <f t="shared" si="8"/>
        <v>OK</v>
      </c>
    </row>
    <row r="14" spans="1:23" x14ac:dyDescent="0.3">
      <c r="A14" s="44">
        <v>11</v>
      </c>
      <c r="B14" s="14">
        <v>1</v>
      </c>
      <c r="C14" s="4">
        <v>2</v>
      </c>
      <c r="D14" s="3" t="str">
        <f>VLOOKUP($C14,Overall!$K$5:$T$36,2)</f>
        <v>Underflow</v>
      </c>
      <c r="E14" s="3">
        <f ca="1">VLOOKUP($C14,Overall!$K$5:$T$36,10)</f>
        <v>2.9387386796526474E-39</v>
      </c>
      <c r="F14" s="9" t="str">
        <f>VLOOKUP($C14,Overall!$K$5:$T$36,6)</f>
        <v>00000000001000000000000000000010</v>
      </c>
      <c r="G14" s="8">
        <v>5</v>
      </c>
      <c r="H14" s="3" t="str">
        <f>VLOOKUP($G14,Overall!$K$5:$T$36,2)</f>
        <v>Underflow</v>
      </c>
      <c r="I14" s="3">
        <f ca="1">VLOOKUP($G14,Overall!$K$5:$T$36,10)</f>
        <v>-2.9387386796526474E-39</v>
      </c>
      <c r="J14" s="62" t="str">
        <f>VLOOKUP($G14,Overall!$K$5:$T$36,6)</f>
        <v>10000000001000000000000000000010</v>
      </c>
      <c r="K14" s="8">
        <f t="shared" ca="1" si="0"/>
        <v>-8.6361850272865855E-78</v>
      </c>
      <c r="L14" s="62">
        <f>VLOOKUP($B14,Overall!$B$5:$I$13,8)</f>
        <v>0</v>
      </c>
      <c r="M14" s="58"/>
      <c r="N14" s="3" t="str">
        <f t="shared" si="1"/>
        <v/>
      </c>
      <c r="O14" s="3" t="str">
        <f t="shared" si="2"/>
        <v/>
      </c>
      <c r="P14" s="3" t="str">
        <f t="shared" si="3"/>
        <v/>
      </c>
      <c r="Q14" s="3">
        <f t="shared" si="4"/>
        <v>0</v>
      </c>
      <c r="R14" s="3">
        <f t="shared" si="5"/>
        <v>0</v>
      </c>
      <c r="S14" s="3" t="e" cm="1">
        <f t="array" aca="1" ref="S14" ca="1">SUMPRODUCT(MID($P14,ROW(INDIRECT("1:23")),1)*2^(-ROW(INDIRECT("1:23"))))</f>
        <v>#VALUE!</v>
      </c>
      <c r="T14" s="3" t="e">
        <f t="shared" ca="1" si="6"/>
        <v>#VALUE!</v>
      </c>
      <c r="U14" s="3" t="e">
        <f t="shared" ca="1" si="7"/>
        <v>#VALUE!</v>
      </c>
      <c r="V14" s="73"/>
      <c r="W14" s="9" t="str">
        <f t="shared" si="8"/>
        <v>OK</v>
      </c>
    </row>
    <row r="15" spans="1:23" x14ac:dyDescent="0.3">
      <c r="A15" s="44">
        <v>12</v>
      </c>
      <c r="B15" s="14">
        <v>1</v>
      </c>
      <c r="C15" s="4">
        <v>2</v>
      </c>
      <c r="D15" s="3" t="str">
        <f>VLOOKUP($C15,Overall!$K$5:$T$36,2)</f>
        <v>Underflow</v>
      </c>
      <c r="E15" s="3">
        <f ca="1">VLOOKUP($C15,Overall!$K$5:$T$36,10)</f>
        <v>2.9387386796526474E-39</v>
      </c>
      <c r="F15" s="9" t="str">
        <f>VLOOKUP($C15,Overall!$K$5:$T$36,6)</f>
        <v>00000000001000000000000000000010</v>
      </c>
      <c r="G15" s="8">
        <v>6</v>
      </c>
      <c r="H15" s="3" t="str">
        <f>VLOOKUP($G15,Overall!$K$5:$T$36,2)</f>
        <v>Underflow</v>
      </c>
      <c r="I15" s="3">
        <f ca="1">VLOOKUP($G15,Overall!$K$5:$T$36,10)</f>
        <v>-1.1754942106924411E-38</v>
      </c>
      <c r="J15" s="62" t="str">
        <f>VLOOKUP($G15,Overall!$K$5:$T$36,6)</f>
        <v>10000000011111111111111111111111</v>
      </c>
      <c r="K15" s="8">
        <f t="shared" ca="1" si="0"/>
        <v>-3.4544703046696352E-77</v>
      </c>
      <c r="L15" s="62">
        <f>VLOOKUP($B15,Overall!$B$5:$I$13,8)</f>
        <v>0</v>
      </c>
      <c r="M15" s="58"/>
      <c r="N15" s="3" t="str">
        <f t="shared" si="1"/>
        <v/>
      </c>
      <c r="O15" s="3" t="str">
        <f t="shared" si="2"/>
        <v/>
      </c>
      <c r="P15" s="3" t="str">
        <f t="shared" si="3"/>
        <v/>
      </c>
      <c r="Q15" s="3">
        <f t="shared" si="4"/>
        <v>0</v>
      </c>
      <c r="R15" s="3">
        <f t="shared" si="5"/>
        <v>0</v>
      </c>
      <c r="S15" s="3" t="e" cm="1">
        <f t="array" aca="1" ref="S15" ca="1">SUMPRODUCT(MID($P15,ROW(INDIRECT("1:23")),1)*2^(-ROW(INDIRECT("1:23"))))</f>
        <v>#VALUE!</v>
      </c>
      <c r="T15" s="3" t="e">
        <f t="shared" ca="1" si="6"/>
        <v>#VALUE!</v>
      </c>
      <c r="U15" s="3" t="e">
        <f t="shared" ca="1" si="7"/>
        <v>#VALUE!</v>
      </c>
      <c r="V15" s="73"/>
      <c r="W15" s="9" t="str">
        <f t="shared" si="8"/>
        <v>OK</v>
      </c>
    </row>
    <row r="16" spans="1:23" x14ac:dyDescent="0.3">
      <c r="A16" s="44">
        <v>13</v>
      </c>
      <c r="B16" s="14">
        <v>1</v>
      </c>
      <c r="C16" s="4">
        <v>3</v>
      </c>
      <c r="D16" s="3" t="str">
        <f>VLOOKUP($C16,Overall!$K$5:$T$36,2)</f>
        <v>Underflow</v>
      </c>
      <c r="E16" s="3">
        <f ca="1">VLOOKUP($C16,Overall!$K$5:$T$36,10)</f>
        <v>1.1754942106924411E-38</v>
      </c>
      <c r="F16" s="9" t="str">
        <f>VLOOKUP($C16,Overall!$K$5:$T$36,6)</f>
        <v>00000000011111111111111111111111</v>
      </c>
      <c r="G16" s="8">
        <v>1</v>
      </c>
      <c r="H16" s="3" t="str">
        <f>VLOOKUP($G16,Overall!$K$5:$T$36,2)</f>
        <v>Underflow</v>
      </c>
      <c r="I16" s="3">
        <f ca="1">VLOOKUP($G16,Overall!$K$5:$T$36,10)</f>
        <v>1.4012984643248171E-45</v>
      </c>
      <c r="J16" s="62" t="str">
        <f>VLOOKUP($G16,Overall!$K$5:$T$36,6)</f>
        <v>00000000000000000000000000000001</v>
      </c>
      <c r="K16" s="8">
        <f t="shared" ca="1" si="0"/>
        <v>1.6472182322660306E-83</v>
      </c>
      <c r="L16" s="62">
        <f>VLOOKUP($B16,Overall!$B$5:$I$13,8)</f>
        <v>0</v>
      </c>
      <c r="M16" s="58"/>
      <c r="N16" s="3" t="str">
        <f t="shared" si="1"/>
        <v/>
      </c>
      <c r="O16" s="3" t="str">
        <f t="shared" si="2"/>
        <v/>
      </c>
      <c r="P16" s="3" t="str">
        <f t="shared" si="3"/>
        <v/>
      </c>
      <c r="Q16" s="3">
        <f t="shared" si="4"/>
        <v>0</v>
      </c>
      <c r="R16" s="3">
        <f t="shared" si="5"/>
        <v>0</v>
      </c>
      <c r="S16" s="3" t="e" cm="1">
        <f t="array" aca="1" ref="S16" ca="1">SUMPRODUCT(MID($P16,ROW(INDIRECT("1:23")),1)*2^(-ROW(INDIRECT("1:23"))))</f>
        <v>#VALUE!</v>
      </c>
      <c r="T16" s="3" t="e">
        <f t="shared" ca="1" si="6"/>
        <v>#VALUE!</v>
      </c>
      <c r="U16" s="3" t="e">
        <f t="shared" ca="1" si="7"/>
        <v>#VALUE!</v>
      </c>
      <c r="V16" s="73"/>
      <c r="W16" s="9" t="str">
        <f t="shared" si="8"/>
        <v>OK</v>
      </c>
    </row>
    <row r="17" spans="1:23" x14ac:dyDescent="0.3">
      <c r="A17" s="44">
        <v>14</v>
      </c>
      <c r="B17" s="14">
        <v>1</v>
      </c>
      <c r="C17" s="4">
        <v>3</v>
      </c>
      <c r="D17" s="3" t="str">
        <f>VLOOKUP($C17,Overall!$K$5:$T$36,2)</f>
        <v>Underflow</v>
      </c>
      <c r="E17" s="3">
        <f ca="1">VLOOKUP($C17,Overall!$K$5:$T$36,10)</f>
        <v>1.1754942106924411E-38</v>
      </c>
      <c r="F17" s="9" t="str">
        <f>VLOOKUP($C17,Overall!$K$5:$T$36,6)</f>
        <v>00000000011111111111111111111111</v>
      </c>
      <c r="G17" s="8">
        <v>2</v>
      </c>
      <c r="H17" s="3" t="str">
        <f>VLOOKUP($G17,Overall!$K$5:$T$36,2)</f>
        <v>Underflow</v>
      </c>
      <c r="I17" s="3">
        <f ca="1">VLOOKUP($G17,Overall!$K$5:$T$36,10)</f>
        <v>2.9387386796526474E-39</v>
      </c>
      <c r="J17" s="62" t="str">
        <f>VLOOKUP($G17,Overall!$K$5:$T$36,6)</f>
        <v>00000000001000000000000000000010</v>
      </c>
      <c r="K17" s="8">
        <f t="shared" ca="1" si="0"/>
        <v>3.4544703046696352E-77</v>
      </c>
      <c r="L17" s="62">
        <f>VLOOKUP($B17,Overall!$B$5:$I$13,8)</f>
        <v>0</v>
      </c>
      <c r="M17" s="58"/>
      <c r="N17" s="3" t="str">
        <f t="shared" si="1"/>
        <v/>
      </c>
      <c r="O17" s="3" t="str">
        <f t="shared" si="2"/>
        <v/>
      </c>
      <c r="P17" s="3" t="str">
        <f t="shared" si="3"/>
        <v/>
      </c>
      <c r="Q17" s="3">
        <f t="shared" si="4"/>
        <v>0</v>
      </c>
      <c r="R17" s="3">
        <f t="shared" si="5"/>
        <v>0</v>
      </c>
      <c r="S17" s="3" t="e" cm="1">
        <f t="array" aca="1" ref="S17" ca="1">SUMPRODUCT(MID($P17,ROW(INDIRECT("1:23")),1)*2^(-ROW(INDIRECT("1:23"))))</f>
        <v>#VALUE!</v>
      </c>
      <c r="T17" s="3" t="e">
        <f t="shared" ca="1" si="6"/>
        <v>#VALUE!</v>
      </c>
      <c r="U17" s="3" t="e">
        <f t="shared" ca="1" si="7"/>
        <v>#VALUE!</v>
      </c>
      <c r="V17" s="73"/>
      <c r="W17" s="9" t="str">
        <f t="shared" si="8"/>
        <v>OK</v>
      </c>
    </row>
    <row r="18" spans="1:23" x14ac:dyDescent="0.3">
      <c r="A18" s="44">
        <v>15</v>
      </c>
      <c r="B18" s="14">
        <v>1</v>
      </c>
      <c r="C18" s="4">
        <v>3</v>
      </c>
      <c r="D18" s="3" t="str">
        <f>VLOOKUP($C18,Overall!$K$5:$T$36,2)</f>
        <v>Underflow</v>
      </c>
      <c r="E18" s="3">
        <f ca="1">VLOOKUP($C18,Overall!$K$5:$T$36,10)</f>
        <v>1.1754942106924411E-38</v>
      </c>
      <c r="F18" s="9" t="str">
        <f>VLOOKUP($C18,Overall!$K$5:$T$36,6)</f>
        <v>00000000011111111111111111111111</v>
      </c>
      <c r="G18" s="8">
        <v>3</v>
      </c>
      <c r="H18" s="3" t="str">
        <f>VLOOKUP($G18,Overall!$K$5:$T$36,2)</f>
        <v>Underflow</v>
      </c>
      <c r="I18" s="3">
        <f ca="1">VLOOKUP($G18,Overall!$K$5:$T$36,10)</f>
        <v>1.1754942106924411E-38</v>
      </c>
      <c r="J18" s="62" t="str">
        <f>VLOOKUP($G18,Overall!$K$5:$T$36,6)</f>
        <v>00000000011111111111111111111111</v>
      </c>
      <c r="K18" s="8">
        <f t="shared" ca="1" si="0"/>
        <v>1.3817866393714451E-76</v>
      </c>
      <c r="L18" s="62">
        <f>VLOOKUP($B18,Overall!$B$5:$I$13,8)</f>
        <v>0</v>
      </c>
      <c r="M18" s="58"/>
      <c r="N18" s="3" t="str">
        <f t="shared" si="1"/>
        <v/>
      </c>
      <c r="O18" s="3" t="str">
        <f t="shared" si="2"/>
        <v/>
      </c>
      <c r="P18" s="3" t="str">
        <f t="shared" si="3"/>
        <v/>
      </c>
      <c r="Q18" s="3">
        <f t="shared" si="4"/>
        <v>0</v>
      </c>
      <c r="R18" s="3">
        <f t="shared" si="5"/>
        <v>0</v>
      </c>
      <c r="S18" s="3" t="e" cm="1">
        <f t="array" aca="1" ref="S18" ca="1">SUMPRODUCT(MID($P18,ROW(INDIRECT("1:23")),1)*2^(-ROW(INDIRECT("1:23"))))</f>
        <v>#VALUE!</v>
      </c>
      <c r="T18" s="3" t="e">
        <f t="shared" ca="1" si="6"/>
        <v>#VALUE!</v>
      </c>
      <c r="U18" s="3" t="e">
        <f t="shared" ca="1" si="7"/>
        <v>#VALUE!</v>
      </c>
      <c r="V18" s="73"/>
      <c r="W18" s="9" t="str">
        <f t="shared" si="8"/>
        <v>OK</v>
      </c>
    </row>
    <row r="19" spans="1:23" x14ac:dyDescent="0.3">
      <c r="A19" s="44">
        <v>16</v>
      </c>
      <c r="B19" s="14">
        <v>1</v>
      </c>
      <c r="C19" s="4">
        <v>3</v>
      </c>
      <c r="D19" s="3" t="str">
        <f>VLOOKUP($C19,Overall!$K$5:$T$36,2)</f>
        <v>Underflow</v>
      </c>
      <c r="E19" s="3">
        <f ca="1">VLOOKUP($C19,Overall!$K$5:$T$36,10)</f>
        <v>1.1754942106924411E-38</v>
      </c>
      <c r="F19" s="9" t="str">
        <f>VLOOKUP($C19,Overall!$K$5:$T$36,6)</f>
        <v>00000000011111111111111111111111</v>
      </c>
      <c r="G19" s="8">
        <v>4</v>
      </c>
      <c r="H19" s="3" t="str">
        <f>VLOOKUP($G19,Overall!$K$5:$T$36,2)</f>
        <v>Underflow</v>
      </c>
      <c r="I19" s="3">
        <f ca="1">VLOOKUP($G19,Overall!$K$5:$T$36,10)</f>
        <v>-1.4012984643248171E-45</v>
      </c>
      <c r="J19" s="62" t="str">
        <f>VLOOKUP($G19,Overall!$K$5:$T$36,6)</f>
        <v>10000000000000000000000000000001</v>
      </c>
      <c r="K19" s="8">
        <f t="shared" ca="1" si="0"/>
        <v>-1.6472182322660306E-83</v>
      </c>
      <c r="L19" s="62">
        <f>VLOOKUP($B19,Overall!$B$5:$I$13,8)</f>
        <v>0</v>
      </c>
      <c r="M19" s="58"/>
      <c r="N19" s="3" t="str">
        <f t="shared" si="1"/>
        <v/>
      </c>
      <c r="O19" s="3" t="str">
        <f t="shared" si="2"/>
        <v/>
      </c>
      <c r="P19" s="3" t="str">
        <f t="shared" si="3"/>
        <v/>
      </c>
      <c r="Q19" s="3">
        <f t="shared" si="4"/>
        <v>0</v>
      </c>
      <c r="R19" s="3">
        <f t="shared" si="5"/>
        <v>0</v>
      </c>
      <c r="S19" s="3" t="e" cm="1">
        <f t="array" aca="1" ref="S19" ca="1">SUMPRODUCT(MID($P19,ROW(INDIRECT("1:23")),1)*2^(-ROW(INDIRECT("1:23"))))</f>
        <v>#VALUE!</v>
      </c>
      <c r="T19" s="3" t="e">
        <f t="shared" ca="1" si="6"/>
        <v>#VALUE!</v>
      </c>
      <c r="U19" s="3" t="e">
        <f t="shared" ca="1" si="7"/>
        <v>#VALUE!</v>
      </c>
      <c r="V19" s="73"/>
      <c r="W19" s="9" t="str">
        <f t="shared" si="8"/>
        <v>OK</v>
      </c>
    </row>
    <row r="20" spans="1:23" x14ac:dyDescent="0.3">
      <c r="A20" s="44">
        <v>17</v>
      </c>
      <c r="B20" s="14">
        <v>1</v>
      </c>
      <c r="C20" s="4">
        <v>3</v>
      </c>
      <c r="D20" s="3" t="str">
        <f>VLOOKUP($C20,Overall!$K$5:$T$36,2)</f>
        <v>Underflow</v>
      </c>
      <c r="E20" s="3">
        <f ca="1">VLOOKUP($C20,Overall!$K$5:$T$36,10)</f>
        <v>1.1754942106924411E-38</v>
      </c>
      <c r="F20" s="9" t="str">
        <f>VLOOKUP($C20,Overall!$K$5:$T$36,6)</f>
        <v>00000000011111111111111111111111</v>
      </c>
      <c r="G20" s="8">
        <v>5</v>
      </c>
      <c r="H20" s="3" t="str">
        <f>VLOOKUP($G20,Overall!$K$5:$T$36,2)</f>
        <v>Underflow</v>
      </c>
      <c r="I20" s="3">
        <f ca="1">VLOOKUP($G20,Overall!$K$5:$T$36,10)</f>
        <v>-2.9387386796526474E-39</v>
      </c>
      <c r="J20" s="62" t="str">
        <f>VLOOKUP($G20,Overall!$K$5:$T$36,6)</f>
        <v>10000000001000000000000000000010</v>
      </c>
      <c r="K20" s="8">
        <f t="shared" ca="1" si="0"/>
        <v>-3.4544703046696352E-77</v>
      </c>
      <c r="L20" s="62">
        <f>VLOOKUP($B20,Overall!$B$5:$I$13,8)</f>
        <v>0</v>
      </c>
      <c r="M20" s="58"/>
      <c r="N20" s="3" t="str">
        <f t="shared" si="1"/>
        <v/>
      </c>
      <c r="O20" s="3" t="str">
        <f t="shared" si="2"/>
        <v/>
      </c>
      <c r="P20" s="3" t="str">
        <f t="shared" si="3"/>
        <v/>
      </c>
      <c r="Q20" s="3">
        <f t="shared" si="4"/>
        <v>0</v>
      </c>
      <c r="R20" s="3">
        <f t="shared" si="5"/>
        <v>0</v>
      </c>
      <c r="S20" s="3" t="e" cm="1">
        <f t="array" aca="1" ref="S20" ca="1">SUMPRODUCT(MID($P20,ROW(INDIRECT("1:23")),1)*2^(-ROW(INDIRECT("1:23"))))</f>
        <v>#VALUE!</v>
      </c>
      <c r="T20" s="3" t="e">
        <f t="shared" ca="1" si="6"/>
        <v>#VALUE!</v>
      </c>
      <c r="U20" s="3" t="e">
        <f t="shared" ca="1" si="7"/>
        <v>#VALUE!</v>
      </c>
      <c r="V20" s="73"/>
      <c r="W20" s="9" t="str">
        <f t="shared" si="8"/>
        <v>OK</v>
      </c>
    </row>
    <row r="21" spans="1:23" x14ac:dyDescent="0.3">
      <c r="A21" s="44">
        <v>18</v>
      </c>
      <c r="B21" s="14">
        <v>1</v>
      </c>
      <c r="C21" s="4">
        <v>3</v>
      </c>
      <c r="D21" s="3" t="str">
        <f>VLOOKUP($C21,Overall!$K$5:$T$36,2)</f>
        <v>Underflow</v>
      </c>
      <c r="E21" s="3">
        <f ca="1">VLOOKUP($C21,Overall!$K$5:$T$36,10)</f>
        <v>1.1754942106924411E-38</v>
      </c>
      <c r="F21" s="9" t="str">
        <f>VLOOKUP($C21,Overall!$K$5:$T$36,6)</f>
        <v>00000000011111111111111111111111</v>
      </c>
      <c r="G21" s="8">
        <v>6</v>
      </c>
      <c r="H21" s="3" t="str">
        <f>VLOOKUP($G21,Overall!$K$5:$T$36,2)</f>
        <v>Underflow</v>
      </c>
      <c r="I21" s="3">
        <f ca="1">VLOOKUP($G21,Overall!$K$5:$T$36,10)</f>
        <v>-1.1754942106924411E-38</v>
      </c>
      <c r="J21" s="62" t="str">
        <f>VLOOKUP($G21,Overall!$K$5:$T$36,6)</f>
        <v>10000000011111111111111111111111</v>
      </c>
      <c r="K21" s="8">
        <f t="shared" ca="1" si="0"/>
        <v>-1.3817866393714451E-76</v>
      </c>
      <c r="L21" s="62">
        <f>VLOOKUP($B21,Overall!$B$5:$I$13,8)</f>
        <v>0</v>
      </c>
      <c r="M21" s="58"/>
      <c r="N21" s="3" t="str">
        <f t="shared" si="1"/>
        <v/>
      </c>
      <c r="O21" s="3" t="str">
        <f t="shared" si="2"/>
        <v/>
      </c>
      <c r="P21" s="3" t="str">
        <f t="shared" si="3"/>
        <v/>
      </c>
      <c r="Q21" s="3">
        <f t="shared" si="4"/>
        <v>0</v>
      </c>
      <c r="R21" s="3">
        <f t="shared" si="5"/>
        <v>0</v>
      </c>
      <c r="S21" s="3" t="e" cm="1">
        <f t="array" aca="1" ref="S21" ca="1">SUMPRODUCT(MID($P21,ROW(INDIRECT("1:23")),1)*2^(-ROW(INDIRECT("1:23"))))</f>
        <v>#VALUE!</v>
      </c>
      <c r="T21" s="3" t="e">
        <f t="shared" ca="1" si="6"/>
        <v>#VALUE!</v>
      </c>
      <c r="U21" s="3" t="e">
        <f t="shared" ca="1" si="7"/>
        <v>#VALUE!</v>
      </c>
      <c r="V21" s="73"/>
      <c r="W21" s="9" t="str">
        <f t="shared" si="8"/>
        <v>OK</v>
      </c>
    </row>
    <row r="22" spans="1:23" x14ac:dyDescent="0.3">
      <c r="A22" s="44">
        <v>19</v>
      </c>
      <c r="B22" s="14">
        <v>1</v>
      </c>
      <c r="C22" s="4">
        <v>4</v>
      </c>
      <c r="D22" s="3" t="str">
        <f>VLOOKUP($C22,Overall!$K$5:$T$36,2)</f>
        <v>Underflow</v>
      </c>
      <c r="E22" s="3">
        <f ca="1">VLOOKUP($C22,Overall!$K$5:$T$36,10)</f>
        <v>-1.4012984643248171E-45</v>
      </c>
      <c r="F22" s="9" t="str">
        <f>VLOOKUP($C22,Overall!$K$5:$T$36,6)</f>
        <v>10000000000000000000000000000001</v>
      </c>
      <c r="G22" s="8">
        <v>1</v>
      </c>
      <c r="H22" s="3" t="str">
        <f>VLOOKUP($G22,Overall!$K$5:$T$36,2)</f>
        <v>Underflow</v>
      </c>
      <c r="I22" s="3">
        <f ca="1">VLOOKUP($G22,Overall!$K$5:$T$36,10)</f>
        <v>1.4012984643248171E-45</v>
      </c>
      <c r="J22" s="62" t="str">
        <f>VLOOKUP($G22,Overall!$K$5:$T$36,6)</f>
        <v>00000000000000000000000000000001</v>
      </c>
      <c r="K22" s="8">
        <f t="shared" ca="1" si="0"/>
        <v>-1.9636373861190906E-90</v>
      </c>
      <c r="L22" s="62">
        <f>VLOOKUP($B22,Overall!$B$5:$I$13,8)</f>
        <v>0</v>
      </c>
      <c r="M22" s="58"/>
      <c r="N22" s="3" t="str">
        <f t="shared" si="1"/>
        <v/>
      </c>
      <c r="O22" s="3" t="str">
        <f t="shared" si="2"/>
        <v/>
      </c>
      <c r="P22" s="3" t="str">
        <f t="shared" si="3"/>
        <v/>
      </c>
      <c r="Q22" s="3">
        <f t="shared" si="4"/>
        <v>0</v>
      </c>
      <c r="R22" s="3">
        <f t="shared" si="5"/>
        <v>0</v>
      </c>
      <c r="S22" s="3" t="e" cm="1">
        <f t="array" aca="1" ref="S22" ca="1">SUMPRODUCT(MID($P22,ROW(INDIRECT("1:23")),1)*2^(-ROW(INDIRECT("1:23"))))</f>
        <v>#VALUE!</v>
      </c>
      <c r="T22" s="3" t="e">
        <f t="shared" ca="1" si="6"/>
        <v>#VALUE!</v>
      </c>
      <c r="U22" s="3" t="e">
        <f t="shared" ca="1" si="7"/>
        <v>#VALUE!</v>
      </c>
      <c r="V22" s="73"/>
      <c r="W22" s="9" t="str">
        <f t="shared" si="8"/>
        <v>OK</v>
      </c>
    </row>
    <row r="23" spans="1:23" x14ac:dyDescent="0.3">
      <c r="A23" s="44">
        <v>20</v>
      </c>
      <c r="B23" s="14">
        <v>1</v>
      </c>
      <c r="C23" s="4">
        <v>4</v>
      </c>
      <c r="D23" s="3" t="str">
        <f>VLOOKUP($C23,Overall!$K$5:$T$36,2)</f>
        <v>Underflow</v>
      </c>
      <c r="E23" s="3">
        <f ca="1">VLOOKUP($C23,Overall!$K$5:$T$36,10)</f>
        <v>-1.4012984643248171E-45</v>
      </c>
      <c r="F23" s="9" t="str">
        <f>VLOOKUP($C23,Overall!$K$5:$T$36,6)</f>
        <v>10000000000000000000000000000001</v>
      </c>
      <c r="G23" s="8">
        <v>2</v>
      </c>
      <c r="H23" s="3" t="str">
        <f>VLOOKUP($G23,Overall!$K$5:$T$36,2)</f>
        <v>Underflow</v>
      </c>
      <c r="I23" s="3">
        <f ca="1">VLOOKUP($G23,Overall!$K$5:$T$36,10)</f>
        <v>2.9387386796526474E-39</v>
      </c>
      <c r="J23" s="62" t="str">
        <f>VLOOKUP($G23,Overall!$K$5:$T$36,6)</f>
        <v>00000000001000000000000000000010</v>
      </c>
      <c r="K23" s="8">
        <f t="shared" ca="1" si="0"/>
        <v>-4.1180499988491954E-84</v>
      </c>
      <c r="L23" s="62">
        <f>VLOOKUP($B23,Overall!$B$5:$I$13,8)</f>
        <v>0</v>
      </c>
      <c r="M23" s="58"/>
      <c r="N23" s="3" t="str">
        <f t="shared" si="1"/>
        <v/>
      </c>
      <c r="O23" s="3" t="str">
        <f t="shared" si="2"/>
        <v/>
      </c>
      <c r="P23" s="3" t="str">
        <f t="shared" si="3"/>
        <v/>
      </c>
      <c r="Q23" s="3">
        <f t="shared" si="4"/>
        <v>0</v>
      </c>
      <c r="R23" s="3">
        <f t="shared" si="5"/>
        <v>0</v>
      </c>
      <c r="S23" s="3" t="e" cm="1">
        <f t="array" aca="1" ref="S23" ca="1">SUMPRODUCT(MID($P23,ROW(INDIRECT("1:23")),1)*2^(-ROW(INDIRECT("1:23"))))</f>
        <v>#VALUE!</v>
      </c>
      <c r="T23" s="3" t="e">
        <f t="shared" ca="1" si="6"/>
        <v>#VALUE!</v>
      </c>
      <c r="U23" s="3" t="e">
        <f t="shared" ca="1" si="7"/>
        <v>#VALUE!</v>
      </c>
      <c r="V23" s="73"/>
      <c r="W23" s="9" t="str">
        <f t="shared" si="8"/>
        <v>OK</v>
      </c>
    </row>
    <row r="24" spans="1:23" x14ac:dyDescent="0.3">
      <c r="A24" s="44">
        <v>21</v>
      </c>
      <c r="B24" s="14">
        <v>1</v>
      </c>
      <c r="C24" s="4">
        <v>4</v>
      </c>
      <c r="D24" s="3" t="str">
        <f>VLOOKUP($C24,Overall!$K$5:$T$36,2)</f>
        <v>Underflow</v>
      </c>
      <c r="E24" s="3">
        <f ca="1">VLOOKUP($C24,Overall!$K$5:$T$36,10)</f>
        <v>-1.4012984643248171E-45</v>
      </c>
      <c r="F24" s="9" t="str">
        <f>VLOOKUP($C24,Overall!$K$5:$T$36,6)</f>
        <v>10000000000000000000000000000001</v>
      </c>
      <c r="G24" s="8">
        <v>3</v>
      </c>
      <c r="H24" s="3" t="str">
        <f>VLOOKUP($G24,Overall!$K$5:$T$36,2)</f>
        <v>Underflow</v>
      </c>
      <c r="I24" s="3">
        <f ca="1">VLOOKUP($G24,Overall!$K$5:$T$36,10)</f>
        <v>1.1754942106924411E-38</v>
      </c>
      <c r="J24" s="62" t="str">
        <f>VLOOKUP($G24,Overall!$K$5:$T$36,6)</f>
        <v>00000000011111111111111111111111</v>
      </c>
      <c r="K24" s="8">
        <f t="shared" ca="1" si="0"/>
        <v>-1.6472182322660306E-83</v>
      </c>
      <c r="L24" s="62">
        <f>VLOOKUP($B24,Overall!$B$5:$I$13,8)</f>
        <v>0</v>
      </c>
      <c r="M24" s="58"/>
      <c r="N24" s="3" t="str">
        <f t="shared" si="1"/>
        <v/>
      </c>
      <c r="O24" s="3" t="str">
        <f t="shared" si="2"/>
        <v/>
      </c>
      <c r="P24" s="3" t="str">
        <f t="shared" si="3"/>
        <v/>
      </c>
      <c r="Q24" s="3">
        <f t="shared" si="4"/>
        <v>0</v>
      </c>
      <c r="R24" s="3">
        <f t="shared" si="5"/>
        <v>0</v>
      </c>
      <c r="S24" s="3" t="e" cm="1">
        <f t="array" aca="1" ref="S24" ca="1">SUMPRODUCT(MID($P24,ROW(INDIRECT("1:23")),1)*2^(-ROW(INDIRECT("1:23"))))</f>
        <v>#VALUE!</v>
      </c>
      <c r="T24" s="3" t="e">
        <f t="shared" ca="1" si="6"/>
        <v>#VALUE!</v>
      </c>
      <c r="U24" s="3" t="e">
        <f t="shared" ca="1" si="7"/>
        <v>#VALUE!</v>
      </c>
      <c r="V24" s="73"/>
      <c r="W24" s="9" t="str">
        <f t="shared" si="8"/>
        <v>OK</v>
      </c>
    </row>
    <row r="25" spans="1:23" x14ac:dyDescent="0.3">
      <c r="A25" s="44">
        <v>22</v>
      </c>
      <c r="B25" s="14">
        <v>1</v>
      </c>
      <c r="C25" s="4">
        <v>4</v>
      </c>
      <c r="D25" s="3" t="str">
        <f>VLOOKUP($C25,Overall!$K$5:$T$36,2)</f>
        <v>Underflow</v>
      </c>
      <c r="E25" s="3">
        <f ca="1">VLOOKUP($C25,Overall!$K$5:$T$36,10)</f>
        <v>-1.4012984643248171E-45</v>
      </c>
      <c r="F25" s="9" t="str">
        <f>VLOOKUP($C25,Overall!$K$5:$T$36,6)</f>
        <v>10000000000000000000000000000001</v>
      </c>
      <c r="G25" s="8">
        <v>4</v>
      </c>
      <c r="H25" s="3" t="str">
        <f>VLOOKUP($G25,Overall!$K$5:$T$36,2)</f>
        <v>Underflow</v>
      </c>
      <c r="I25" s="3">
        <f ca="1">VLOOKUP($G25,Overall!$K$5:$T$36,10)</f>
        <v>-1.4012984643248171E-45</v>
      </c>
      <c r="J25" s="62" t="str">
        <f>VLOOKUP($G25,Overall!$K$5:$T$36,6)</f>
        <v>10000000000000000000000000000001</v>
      </c>
      <c r="K25" s="8">
        <f t="shared" ca="1" si="0"/>
        <v>1.9636373861190906E-90</v>
      </c>
      <c r="L25" s="62">
        <f>VLOOKUP($B25,Overall!$B$5:$I$13,8)</f>
        <v>0</v>
      </c>
      <c r="M25" s="58"/>
      <c r="N25" s="3" t="str">
        <f t="shared" si="1"/>
        <v/>
      </c>
      <c r="O25" s="3" t="str">
        <f t="shared" si="2"/>
        <v/>
      </c>
      <c r="P25" s="3" t="str">
        <f t="shared" si="3"/>
        <v/>
      </c>
      <c r="Q25" s="3">
        <f t="shared" si="4"/>
        <v>0</v>
      </c>
      <c r="R25" s="3">
        <f t="shared" si="5"/>
        <v>0</v>
      </c>
      <c r="S25" s="3" t="e" cm="1">
        <f t="array" aca="1" ref="S25" ca="1">SUMPRODUCT(MID($P25,ROW(INDIRECT("1:23")),1)*2^(-ROW(INDIRECT("1:23"))))</f>
        <v>#VALUE!</v>
      </c>
      <c r="T25" s="3" t="e">
        <f t="shared" ca="1" si="6"/>
        <v>#VALUE!</v>
      </c>
      <c r="U25" s="3" t="e">
        <f t="shared" ca="1" si="7"/>
        <v>#VALUE!</v>
      </c>
      <c r="V25" s="73"/>
      <c r="W25" s="9" t="str">
        <f t="shared" si="8"/>
        <v>OK</v>
      </c>
    </row>
    <row r="26" spans="1:23" x14ac:dyDescent="0.3">
      <c r="A26" s="44">
        <v>23</v>
      </c>
      <c r="B26" s="14">
        <v>1</v>
      </c>
      <c r="C26" s="4">
        <v>4</v>
      </c>
      <c r="D26" s="3" t="str">
        <f>VLOOKUP($C26,Overall!$K$5:$T$36,2)</f>
        <v>Underflow</v>
      </c>
      <c r="E26" s="3">
        <f ca="1">VLOOKUP($C26,Overall!$K$5:$T$36,10)</f>
        <v>-1.4012984643248171E-45</v>
      </c>
      <c r="F26" s="9" t="str">
        <f>VLOOKUP($C26,Overall!$K$5:$T$36,6)</f>
        <v>10000000000000000000000000000001</v>
      </c>
      <c r="G26" s="8">
        <v>5</v>
      </c>
      <c r="H26" s="3" t="str">
        <f>VLOOKUP($G26,Overall!$K$5:$T$36,2)</f>
        <v>Underflow</v>
      </c>
      <c r="I26" s="3">
        <f ca="1">VLOOKUP($G26,Overall!$K$5:$T$36,10)</f>
        <v>-2.9387386796526474E-39</v>
      </c>
      <c r="J26" s="62" t="str">
        <f>VLOOKUP($G26,Overall!$K$5:$T$36,6)</f>
        <v>10000000001000000000000000000010</v>
      </c>
      <c r="K26" s="8">
        <f t="shared" ca="1" si="0"/>
        <v>4.1180499988491954E-84</v>
      </c>
      <c r="L26" s="62">
        <f>VLOOKUP($B26,Overall!$B$5:$I$13,8)</f>
        <v>0</v>
      </c>
      <c r="M26" s="58"/>
      <c r="N26" s="3" t="str">
        <f t="shared" si="1"/>
        <v/>
      </c>
      <c r="O26" s="3" t="str">
        <f t="shared" si="2"/>
        <v/>
      </c>
      <c r="P26" s="3" t="str">
        <f t="shared" si="3"/>
        <v/>
      </c>
      <c r="Q26" s="3">
        <f t="shared" si="4"/>
        <v>0</v>
      </c>
      <c r="R26" s="3">
        <f t="shared" si="5"/>
        <v>0</v>
      </c>
      <c r="S26" s="3" t="e" cm="1">
        <f t="array" aca="1" ref="S26" ca="1">SUMPRODUCT(MID($P26,ROW(INDIRECT("1:23")),1)*2^(-ROW(INDIRECT("1:23"))))</f>
        <v>#VALUE!</v>
      </c>
      <c r="T26" s="3" t="e">
        <f t="shared" ca="1" si="6"/>
        <v>#VALUE!</v>
      </c>
      <c r="U26" s="3" t="e">
        <f t="shared" ca="1" si="7"/>
        <v>#VALUE!</v>
      </c>
      <c r="V26" s="73"/>
      <c r="W26" s="9" t="str">
        <f t="shared" si="8"/>
        <v>OK</v>
      </c>
    </row>
    <row r="27" spans="1:23" x14ac:dyDescent="0.3">
      <c r="A27" s="44">
        <v>24</v>
      </c>
      <c r="B27" s="14">
        <v>1</v>
      </c>
      <c r="C27" s="4">
        <v>4</v>
      </c>
      <c r="D27" s="3" t="str">
        <f>VLOOKUP($C27,Overall!$K$5:$T$36,2)</f>
        <v>Underflow</v>
      </c>
      <c r="E27" s="3">
        <f ca="1">VLOOKUP($C27,Overall!$K$5:$T$36,10)</f>
        <v>-1.4012984643248171E-45</v>
      </c>
      <c r="F27" s="9" t="str">
        <f>VLOOKUP($C27,Overall!$K$5:$T$36,6)</f>
        <v>10000000000000000000000000000001</v>
      </c>
      <c r="G27" s="8">
        <v>6</v>
      </c>
      <c r="H27" s="3" t="str">
        <f>VLOOKUP($G27,Overall!$K$5:$T$36,2)</f>
        <v>Underflow</v>
      </c>
      <c r="I27" s="3">
        <f ca="1">VLOOKUP($G27,Overall!$K$5:$T$36,10)</f>
        <v>-1.1754942106924411E-38</v>
      </c>
      <c r="J27" s="62" t="str">
        <f>VLOOKUP($G27,Overall!$K$5:$T$36,6)</f>
        <v>10000000011111111111111111111111</v>
      </c>
      <c r="K27" s="8">
        <f t="shared" ca="1" si="0"/>
        <v>1.6472182322660306E-83</v>
      </c>
      <c r="L27" s="62">
        <f>VLOOKUP($B27,Overall!$B$5:$I$13,8)</f>
        <v>0</v>
      </c>
      <c r="M27" s="58"/>
      <c r="N27" s="3" t="str">
        <f t="shared" si="1"/>
        <v/>
      </c>
      <c r="O27" s="3" t="str">
        <f t="shared" si="2"/>
        <v/>
      </c>
      <c r="P27" s="3" t="str">
        <f t="shared" si="3"/>
        <v/>
      </c>
      <c r="Q27" s="3">
        <f t="shared" si="4"/>
        <v>0</v>
      </c>
      <c r="R27" s="3">
        <f t="shared" si="5"/>
        <v>0</v>
      </c>
      <c r="S27" s="3" t="e" cm="1">
        <f t="array" aca="1" ref="S27" ca="1">SUMPRODUCT(MID($P27,ROW(INDIRECT("1:23")),1)*2^(-ROW(INDIRECT("1:23"))))</f>
        <v>#VALUE!</v>
      </c>
      <c r="T27" s="3" t="e">
        <f t="shared" ca="1" si="6"/>
        <v>#VALUE!</v>
      </c>
      <c r="U27" s="3" t="e">
        <f t="shared" ca="1" si="7"/>
        <v>#VALUE!</v>
      </c>
      <c r="V27" s="73"/>
      <c r="W27" s="9" t="str">
        <f t="shared" si="8"/>
        <v>OK</v>
      </c>
    </row>
    <row r="28" spans="1:23" x14ac:dyDescent="0.3">
      <c r="A28" s="44">
        <v>25</v>
      </c>
      <c r="B28" s="14">
        <v>1</v>
      </c>
      <c r="C28" s="4">
        <v>5</v>
      </c>
      <c r="D28" s="3" t="str">
        <f>VLOOKUP($C28,Overall!$K$5:$T$36,2)</f>
        <v>Underflow</v>
      </c>
      <c r="E28" s="3">
        <f ca="1">VLOOKUP($C28,Overall!$K$5:$T$36,10)</f>
        <v>-2.9387386796526474E-39</v>
      </c>
      <c r="F28" s="9" t="str">
        <f>VLOOKUP($C28,Overall!$K$5:$T$36,6)</f>
        <v>10000000001000000000000000000010</v>
      </c>
      <c r="G28" s="8">
        <v>1</v>
      </c>
      <c r="H28" s="3" t="str">
        <f>VLOOKUP($G28,Overall!$K$5:$T$36,2)</f>
        <v>Underflow</v>
      </c>
      <c r="I28" s="3">
        <f ca="1">VLOOKUP($G28,Overall!$K$5:$T$36,10)</f>
        <v>1.4012984643248171E-45</v>
      </c>
      <c r="J28" s="62" t="str">
        <f>VLOOKUP($G28,Overall!$K$5:$T$36,6)</f>
        <v>00000000000000000000000000000001</v>
      </c>
      <c r="K28" s="8">
        <f t="shared" ca="1" si="0"/>
        <v>-4.1180499988491954E-84</v>
      </c>
      <c r="L28" s="62">
        <f>VLOOKUP($B28,Overall!$B$5:$I$13,8)</f>
        <v>0</v>
      </c>
      <c r="M28" s="58"/>
      <c r="N28" s="3" t="str">
        <f t="shared" si="1"/>
        <v/>
      </c>
      <c r="O28" s="3" t="str">
        <f t="shared" si="2"/>
        <v/>
      </c>
      <c r="P28" s="3" t="str">
        <f t="shared" si="3"/>
        <v/>
      </c>
      <c r="Q28" s="3">
        <f t="shared" si="4"/>
        <v>0</v>
      </c>
      <c r="R28" s="3">
        <f t="shared" si="5"/>
        <v>0</v>
      </c>
      <c r="S28" s="3" t="e" cm="1">
        <f t="array" aca="1" ref="S28" ca="1">SUMPRODUCT(MID($P28,ROW(INDIRECT("1:23")),1)*2^(-ROW(INDIRECT("1:23"))))</f>
        <v>#VALUE!</v>
      </c>
      <c r="T28" s="3" t="e">
        <f t="shared" ca="1" si="6"/>
        <v>#VALUE!</v>
      </c>
      <c r="U28" s="3" t="e">
        <f t="shared" ca="1" si="7"/>
        <v>#VALUE!</v>
      </c>
      <c r="V28" s="73"/>
      <c r="W28" s="9" t="str">
        <f t="shared" si="8"/>
        <v>OK</v>
      </c>
    </row>
    <row r="29" spans="1:23" x14ac:dyDescent="0.3">
      <c r="A29" s="44">
        <v>26</v>
      </c>
      <c r="B29" s="14">
        <v>1</v>
      </c>
      <c r="C29" s="4">
        <v>5</v>
      </c>
      <c r="D29" s="3" t="str">
        <f>VLOOKUP($C29,Overall!$K$5:$T$36,2)</f>
        <v>Underflow</v>
      </c>
      <c r="E29" s="3">
        <f ca="1">VLOOKUP($C29,Overall!$K$5:$T$36,10)</f>
        <v>-2.9387386796526474E-39</v>
      </c>
      <c r="F29" s="9" t="str">
        <f>VLOOKUP($C29,Overall!$K$5:$T$36,6)</f>
        <v>10000000001000000000000000000010</v>
      </c>
      <c r="G29" s="8">
        <v>2</v>
      </c>
      <c r="H29" s="3" t="str">
        <f>VLOOKUP($G29,Overall!$K$5:$T$36,2)</f>
        <v>Underflow</v>
      </c>
      <c r="I29" s="3">
        <f ca="1">VLOOKUP($G29,Overall!$K$5:$T$36,10)</f>
        <v>2.9387386796526474E-39</v>
      </c>
      <c r="J29" s="62" t="str">
        <f>VLOOKUP($G29,Overall!$K$5:$T$36,6)</f>
        <v>00000000001000000000000000000010</v>
      </c>
      <c r="K29" s="8">
        <f t="shared" ca="1" si="0"/>
        <v>-8.6361850272865855E-78</v>
      </c>
      <c r="L29" s="62">
        <f>VLOOKUP($B29,Overall!$B$5:$I$13,8)</f>
        <v>0</v>
      </c>
      <c r="M29" s="58"/>
      <c r="N29" s="3" t="str">
        <f t="shared" si="1"/>
        <v/>
      </c>
      <c r="O29" s="3" t="str">
        <f t="shared" si="2"/>
        <v/>
      </c>
      <c r="P29" s="3" t="str">
        <f t="shared" si="3"/>
        <v/>
      </c>
      <c r="Q29" s="3">
        <f t="shared" si="4"/>
        <v>0</v>
      </c>
      <c r="R29" s="3">
        <f t="shared" si="5"/>
        <v>0</v>
      </c>
      <c r="S29" s="3" t="e" cm="1">
        <f t="array" aca="1" ref="S29" ca="1">SUMPRODUCT(MID($P29,ROW(INDIRECT("1:23")),1)*2^(-ROW(INDIRECT("1:23"))))</f>
        <v>#VALUE!</v>
      </c>
      <c r="T29" s="3" t="e">
        <f t="shared" ca="1" si="6"/>
        <v>#VALUE!</v>
      </c>
      <c r="U29" s="3" t="e">
        <f t="shared" ca="1" si="7"/>
        <v>#VALUE!</v>
      </c>
      <c r="V29" s="73"/>
      <c r="W29" s="9" t="str">
        <f t="shared" si="8"/>
        <v>OK</v>
      </c>
    </row>
    <row r="30" spans="1:23" x14ac:dyDescent="0.3">
      <c r="A30" s="44">
        <v>27</v>
      </c>
      <c r="B30" s="14">
        <v>1</v>
      </c>
      <c r="C30" s="4">
        <v>5</v>
      </c>
      <c r="D30" s="3" t="str">
        <f>VLOOKUP($C30,Overall!$K$5:$T$36,2)</f>
        <v>Underflow</v>
      </c>
      <c r="E30" s="3">
        <f ca="1">VLOOKUP($C30,Overall!$K$5:$T$36,10)</f>
        <v>-2.9387386796526474E-39</v>
      </c>
      <c r="F30" s="9" t="str">
        <f>VLOOKUP($C30,Overall!$K$5:$T$36,6)</f>
        <v>10000000001000000000000000000010</v>
      </c>
      <c r="G30" s="8">
        <v>3</v>
      </c>
      <c r="H30" s="3" t="str">
        <f>VLOOKUP($G30,Overall!$K$5:$T$36,2)</f>
        <v>Underflow</v>
      </c>
      <c r="I30" s="3">
        <f ca="1">VLOOKUP($G30,Overall!$K$5:$T$36,10)</f>
        <v>1.1754942106924411E-38</v>
      </c>
      <c r="J30" s="62" t="str">
        <f>VLOOKUP($G30,Overall!$K$5:$T$36,6)</f>
        <v>00000000011111111111111111111111</v>
      </c>
      <c r="K30" s="8">
        <f t="shared" ca="1" si="0"/>
        <v>-3.4544703046696352E-77</v>
      </c>
      <c r="L30" s="62">
        <f>VLOOKUP($B30,Overall!$B$5:$I$13,8)</f>
        <v>0</v>
      </c>
      <c r="M30" s="58"/>
      <c r="N30" s="3" t="str">
        <f t="shared" si="1"/>
        <v/>
      </c>
      <c r="O30" s="3" t="str">
        <f t="shared" si="2"/>
        <v/>
      </c>
      <c r="P30" s="3" t="str">
        <f t="shared" si="3"/>
        <v/>
      </c>
      <c r="Q30" s="3">
        <f t="shared" si="4"/>
        <v>0</v>
      </c>
      <c r="R30" s="3">
        <f t="shared" si="5"/>
        <v>0</v>
      </c>
      <c r="S30" s="3" t="e" cm="1">
        <f t="array" aca="1" ref="S30" ca="1">SUMPRODUCT(MID($P30,ROW(INDIRECT("1:23")),1)*2^(-ROW(INDIRECT("1:23"))))</f>
        <v>#VALUE!</v>
      </c>
      <c r="T30" s="3" t="e">
        <f t="shared" ca="1" si="6"/>
        <v>#VALUE!</v>
      </c>
      <c r="U30" s="3" t="e">
        <f t="shared" ca="1" si="7"/>
        <v>#VALUE!</v>
      </c>
      <c r="V30" s="73"/>
      <c r="W30" s="9" t="str">
        <f t="shared" si="8"/>
        <v>OK</v>
      </c>
    </row>
    <row r="31" spans="1:23" x14ac:dyDescent="0.3">
      <c r="A31" s="44">
        <v>28</v>
      </c>
      <c r="B31" s="14">
        <v>1</v>
      </c>
      <c r="C31" s="4">
        <v>5</v>
      </c>
      <c r="D31" s="3" t="str">
        <f>VLOOKUP($C31,Overall!$K$5:$T$36,2)</f>
        <v>Underflow</v>
      </c>
      <c r="E31" s="3">
        <f ca="1">VLOOKUP($C31,Overall!$K$5:$T$36,10)</f>
        <v>-2.9387386796526474E-39</v>
      </c>
      <c r="F31" s="9" t="str">
        <f>VLOOKUP($C31,Overall!$K$5:$T$36,6)</f>
        <v>10000000001000000000000000000010</v>
      </c>
      <c r="G31" s="8">
        <v>4</v>
      </c>
      <c r="H31" s="3" t="str">
        <f>VLOOKUP($G31,Overall!$K$5:$T$36,2)</f>
        <v>Underflow</v>
      </c>
      <c r="I31" s="3">
        <f ca="1">VLOOKUP($G31,Overall!$K$5:$T$36,10)</f>
        <v>-1.4012984643248171E-45</v>
      </c>
      <c r="J31" s="62" t="str">
        <f>VLOOKUP($G31,Overall!$K$5:$T$36,6)</f>
        <v>10000000000000000000000000000001</v>
      </c>
      <c r="K31" s="8">
        <f t="shared" ca="1" si="0"/>
        <v>4.1180499988491954E-84</v>
      </c>
      <c r="L31" s="62">
        <f>VLOOKUP($B31,Overall!$B$5:$I$13,8)</f>
        <v>0</v>
      </c>
      <c r="M31" s="58"/>
      <c r="N31" s="3" t="str">
        <f t="shared" si="1"/>
        <v/>
      </c>
      <c r="O31" s="3" t="str">
        <f t="shared" si="2"/>
        <v/>
      </c>
      <c r="P31" s="3" t="str">
        <f t="shared" si="3"/>
        <v/>
      </c>
      <c r="Q31" s="3">
        <f t="shared" si="4"/>
        <v>0</v>
      </c>
      <c r="R31" s="3">
        <f t="shared" si="5"/>
        <v>0</v>
      </c>
      <c r="S31" s="3" t="e" cm="1">
        <f t="array" aca="1" ref="S31" ca="1">SUMPRODUCT(MID($P31,ROW(INDIRECT("1:23")),1)*2^(-ROW(INDIRECT("1:23"))))</f>
        <v>#VALUE!</v>
      </c>
      <c r="T31" s="3" t="e">
        <f t="shared" ca="1" si="6"/>
        <v>#VALUE!</v>
      </c>
      <c r="U31" s="3" t="e">
        <f t="shared" ca="1" si="7"/>
        <v>#VALUE!</v>
      </c>
      <c r="V31" s="73"/>
      <c r="W31" s="9" t="str">
        <f t="shared" si="8"/>
        <v>OK</v>
      </c>
    </row>
    <row r="32" spans="1:23" x14ac:dyDescent="0.3">
      <c r="A32" s="44">
        <v>29</v>
      </c>
      <c r="B32" s="14">
        <v>1</v>
      </c>
      <c r="C32" s="4">
        <v>5</v>
      </c>
      <c r="D32" s="3" t="str">
        <f>VLOOKUP($C32,Overall!$K$5:$T$36,2)</f>
        <v>Underflow</v>
      </c>
      <c r="E32" s="3">
        <f ca="1">VLOOKUP($C32,Overall!$K$5:$T$36,10)</f>
        <v>-2.9387386796526474E-39</v>
      </c>
      <c r="F32" s="9" t="str">
        <f>VLOOKUP($C32,Overall!$K$5:$T$36,6)</f>
        <v>10000000001000000000000000000010</v>
      </c>
      <c r="G32" s="8">
        <v>5</v>
      </c>
      <c r="H32" s="3" t="str">
        <f>VLOOKUP($G32,Overall!$K$5:$T$36,2)</f>
        <v>Underflow</v>
      </c>
      <c r="I32" s="3">
        <f ca="1">VLOOKUP($G32,Overall!$K$5:$T$36,10)</f>
        <v>-2.9387386796526474E-39</v>
      </c>
      <c r="J32" s="62" t="str">
        <f>VLOOKUP($G32,Overall!$K$5:$T$36,6)</f>
        <v>10000000001000000000000000000010</v>
      </c>
      <c r="K32" s="8">
        <f t="shared" ca="1" si="0"/>
        <v>8.6361850272865855E-78</v>
      </c>
      <c r="L32" s="62">
        <f>VLOOKUP($B32,Overall!$B$5:$I$13,8)</f>
        <v>0</v>
      </c>
      <c r="M32" s="58"/>
      <c r="N32" s="3" t="str">
        <f t="shared" si="1"/>
        <v/>
      </c>
      <c r="O32" s="3" t="str">
        <f t="shared" si="2"/>
        <v/>
      </c>
      <c r="P32" s="3" t="str">
        <f t="shared" si="3"/>
        <v/>
      </c>
      <c r="Q32" s="3">
        <f t="shared" si="4"/>
        <v>0</v>
      </c>
      <c r="R32" s="3">
        <f t="shared" si="5"/>
        <v>0</v>
      </c>
      <c r="S32" s="3" t="e" cm="1">
        <f t="array" aca="1" ref="S32" ca="1">SUMPRODUCT(MID($P32,ROW(INDIRECT("1:23")),1)*2^(-ROW(INDIRECT("1:23"))))</f>
        <v>#VALUE!</v>
      </c>
      <c r="T32" s="3" t="e">
        <f t="shared" ca="1" si="6"/>
        <v>#VALUE!</v>
      </c>
      <c r="U32" s="3" t="e">
        <f t="shared" ca="1" si="7"/>
        <v>#VALUE!</v>
      </c>
      <c r="V32" s="73"/>
      <c r="W32" s="9" t="str">
        <f t="shared" si="8"/>
        <v>OK</v>
      </c>
    </row>
    <row r="33" spans="1:23" x14ac:dyDescent="0.3">
      <c r="A33" s="44">
        <v>30</v>
      </c>
      <c r="B33" s="14">
        <v>1</v>
      </c>
      <c r="C33" s="4">
        <v>5</v>
      </c>
      <c r="D33" s="3" t="str">
        <f>VLOOKUP($C33,Overall!$K$5:$T$36,2)</f>
        <v>Underflow</v>
      </c>
      <c r="E33" s="3">
        <f ca="1">VLOOKUP($C33,Overall!$K$5:$T$36,10)</f>
        <v>-2.9387386796526474E-39</v>
      </c>
      <c r="F33" s="9" t="str">
        <f>VLOOKUP($C33,Overall!$K$5:$T$36,6)</f>
        <v>10000000001000000000000000000010</v>
      </c>
      <c r="G33" s="8">
        <v>6</v>
      </c>
      <c r="H33" s="3" t="str">
        <f>VLOOKUP($G33,Overall!$K$5:$T$36,2)</f>
        <v>Underflow</v>
      </c>
      <c r="I33" s="3">
        <f ca="1">VLOOKUP($G33,Overall!$K$5:$T$36,10)</f>
        <v>-1.1754942106924411E-38</v>
      </c>
      <c r="J33" s="62" t="str">
        <f>VLOOKUP($G33,Overall!$K$5:$T$36,6)</f>
        <v>10000000011111111111111111111111</v>
      </c>
      <c r="K33" s="8">
        <f t="shared" ca="1" si="0"/>
        <v>3.4544703046696352E-77</v>
      </c>
      <c r="L33" s="62">
        <f>VLOOKUP($B33,Overall!$B$5:$I$13,8)</f>
        <v>0</v>
      </c>
      <c r="M33" s="58"/>
      <c r="N33" s="3" t="str">
        <f t="shared" si="1"/>
        <v/>
      </c>
      <c r="O33" s="3" t="str">
        <f t="shared" si="2"/>
        <v/>
      </c>
      <c r="P33" s="3" t="str">
        <f t="shared" si="3"/>
        <v/>
      </c>
      <c r="Q33" s="3">
        <f t="shared" si="4"/>
        <v>0</v>
      </c>
      <c r="R33" s="3">
        <f t="shared" si="5"/>
        <v>0</v>
      </c>
      <c r="S33" s="3" t="e" cm="1">
        <f t="array" aca="1" ref="S33" ca="1">SUMPRODUCT(MID($P33,ROW(INDIRECT("1:23")),1)*2^(-ROW(INDIRECT("1:23"))))</f>
        <v>#VALUE!</v>
      </c>
      <c r="T33" s="3" t="e">
        <f t="shared" ca="1" si="6"/>
        <v>#VALUE!</v>
      </c>
      <c r="U33" s="3" t="e">
        <f t="shared" ca="1" si="7"/>
        <v>#VALUE!</v>
      </c>
      <c r="V33" s="73"/>
      <c r="W33" s="9" t="str">
        <f t="shared" si="8"/>
        <v>OK</v>
      </c>
    </row>
    <row r="34" spans="1:23" x14ac:dyDescent="0.3">
      <c r="A34" s="44">
        <v>31</v>
      </c>
      <c r="B34" s="14">
        <v>1</v>
      </c>
      <c r="C34" s="4">
        <v>6</v>
      </c>
      <c r="D34" s="3" t="str">
        <f>VLOOKUP($C34,Overall!$K$5:$T$36,2)</f>
        <v>Underflow</v>
      </c>
      <c r="E34" s="3">
        <f ca="1">VLOOKUP($C34,Overall!$K$5:$T$36,10)</f>
        <v>-1.1754942106924411E-38</v>
      </c>
      <c r="F34" s="9" t="str">
        <f>VLOOKUP($C34,Overall!$K$5:$T$36,6)</f>
        <v>10000000011111111111111111111111</v>
      </c>
      <c r="G34" s="8">
        <v>1</v>
      </c>
      <c r="H34" s="3" t="str">
        <f>VLOOKUP($G34,Overall!$K$5:$T$36,2)</f>
        <v>Underflow</v>
      </c>
      <c r="I34" s="3">
        <f ca="1">VLOOKUP($G34,Overall!$K$5:$T$36,10)</f>
        <v>1.4012984643248171E-45</v>
      </c>
      <c r="J34" s="62" t="str">
        <f>VLOOKUP($G34,Overall!$K$5:$T$36,6)</f>
        <v>00000000000000000000000000000001</v>
      </c>
      <c r="K34" s="8">
        <f t="shared" ca="1" si="0"/>
        <v>-1.6472182322660306E-83</v>
      </c>
      <c r="L34" s="62">
        <f>VLOOKUP($B34,Overall!$B$5:$I$13,8)</f>
        <v>0</v>
      </c>
      <c r="M34" s="58"/>
      <c r="N34" s="3" t="str">
        <f t="shared" si="1"/>
        <v/>
      </c>
      <c r="O34" s="3" t="str">
        <f t="shared" si="2"/>
        <v/>
      </c>
      <c r="P34" s="3" t="str">
        <f t="shared" si="3"/>
        <v/>
      </c>
      <c r="Q34" s="3">
        <f t="shared" si="4"/>
        <v>0</v>
      </c>
      <c r="R34" s="3">
        <f t="shared" si="5"/>
        <v>0</v>
      </c>
      <c r="S34" s="3" t="e" cm="1">
        <f t="array" aca="1" ref="S34" ca="1">SUMPRODUCT(MID($P34,ROW(INDIRECT("1:23")),1)*2^(-ROW(INDIRECT("1:23"))))</f>
        <v>#VALUE!</v>
      </c>
      <c r="T34" s="3" t="e">
        <f t="shared" ca="1" si="6"/>
        <v>#VALUE!</v>
      </c>
      <c r="U34" s="3" t="e">
        <f t="shared" ca="1" si="7"/>
        <v>#VALUE!</v>
      </c>
      <c r="V34" s="73"/>
      <c r="W34" s="9" t="str">
        <f t="shared" si="8"/>
        <v>OK</v>
      </c>
    </row>
    <row r="35" spans="1:23" x14ac:dyDescent="0.3">
      <c r="A35" s="44">
        <v>32</v>
      </c>
      <c r="B35" s="14">
        <v>1</v>
      </c>
      <c r="C35" s="4">
        <v>6</v>
      </c>
      <c r="D35" s="3" t="str">
        <f>VLOOKUP($C35,Overall!$K$5:$T$36,2)</f>
        <v>Underflow</v>
      </c>
      <c r="E35" s="3">
        <f ca="1">VLOOKUP($C35,Overall!$K$5:$T$36,10)</f>
        <v>-1.1754942106924411E-38</v>
      </c>
      <c r="F35" s="9" t="str">
        <f>VLOOKUP($C35,Overall!$K$5:$T$36,6)</f>
        <v>10000000011111111111111111111111</v>
      </c>
      <c r="G35" s="8">
        <v>2</v>
      </c>
      <c r="H35" s="3" t="str">
        <f>VLOOKUP($G35,Overall!$K$5:$T$36,2)</f>
        <v>Underflow</v>
      </c>
      <c r="I35" s="3">
        <f ca="1">VLOOKUP($G35,Overall!$K$5:$T$36,10)</f>
        <v>2.9387386796526474E-39</v>
      </c>
      <c r="J35" s="62" t="str">
        <f>VLOOKUP($G35,Overall!$K$5:$T$36,6)</f>
        <v>00000000001000000000000000000010</v>
      </c>
      <c r="K35" s="8">
        <f t="shared" ca="1" si="0"/>
        <v>-3.4544703046696352E-77</v>
      </c>
      <c r="L35" s="62">
        <f>VLOOKUP($B35,Overall!$B$5:$I$13,8)</f>
        <v>0</v>
      </c>
      <c r="M35" s="58"/>
      <c r="N35" s="3" t="str">
        <f t="shared" si="1"/>
        <v/>
      </c>
      <c r="O35" s="3" t="str">
        <f t="shared" si="2"/>
        <v/>
      </c>
      <c r="P35" s="3" t="str">
        <f t="shared" si="3"/>
        <v/>
      </c>
      <c r="Q35" s="3">
        <f t="shared" si="4"/>
        <v>0</v>
      </c>
      <c r="R35" s="3">
        <f t="shared" si="5"/>
        <v>0</v>
      </c>
      <c r="S35" s="3" t="e" cm="1">
        <f t="array" aca="1" ref="S35" ca="1">SUMPRODUCT(MID($P35,ROW(INDIRECT("1:23")),1)*2^(-ROW(INDIRECT("1:23"))))</f>
        <v>#VALUE!</v>
      </c>
      <c r="T35" s="3" t="e">
        <f t="shared" ca="1" si="6"/>
        <v>#VALUE!</v>
      </c>
      <c r="U35" s="3" t="e">
        <f t="shared" ca="1" si="7"/>
        <v>#VALUE!</v>
      </c>
      <c r="V35" s="73"/>
      <c r="W35" s="9" t="str">
        <f t="shared" si="8"/>
        <v>OK</v>
      </c>
    </row>
    <row r="36" spans="1:23" x14ac:dyDescent="0.3">
      <c r="A36" s="44">
        <v>33</v>
      </c>
      <c r="B36" s="14">
        <v>1</v>
      </c>
      <c r="C36" s="4">
        <v>6</v>
      </c>
      <c r="D36" s="3" t="str">
        <f>VLOOKUP($C36,Overall!$K$5:$T$36,2)</f>
        <v>Underflow</v>
      </c>
      <c r="E36" s="3">
        <f ca="1">VLOOKUP($C36,Overall!$K$5:$T$36,10)</f>
        <v>-1.1754942106924411E-38</v>
      </c>
      <c r="F36" s="9" t="str">
        <f>VLOOKUP($C36,Overall!$K$5:$T$36,6)</f>
        <v>10000000011111111111111111111111</v>
      </c>
      <c r="G36" s="8">
        <v>3</v>
      </c>
      <c r="H36" s="3" t="str">
        <f>VLOOKUP($G36,Overall!$K$5:$T$36,2)</f>
        <v>Underflow</v>
      </c>
      <c r="I36" s="3">
        <f ca="1">VLOOKUP($G36,Overall!$K$5:$T$36,10)</f>
        <v>1.1754942106924411E-38</v>
      </c>
      <c r="J36" s="62" t="str">
        <f>VLOOKUP($G36,Overall!$K$5:$T$36,6)</f>
        <v>00000000011111111111111111111111</v>
      </c>
      <c r="K36" s="8">
        <f t="shared" ca="1" si="0"/>
        <v>-1.3817866393714451E-76</v>
      </c>
      <c r="L36" s="62">
        <f>VLOOKUP($B36,Overall!$B$5:$I$13,8)</f>
        <v>0</v>
      </c>
      <c r="M36" s="58"/>
      <c r="N36" s="3" t="str">
        <f t="shared" si="1"/>
        <v/>
      </c>
      <c r="O36" s="3" t="str">
        <f t="shared" si="2"/>
        <v/>
      </c>
      <c r="P36" s="3" t="str">
        <f t="shared" si="3"/>
        <v/>
      </c>
      <c r="Q36" s="3">
        <f t="shared" si="4"/>
        <v>0</v>
      </c>
      <c r="R36" s="3">
        <f t="shared" si="5"/>
        <v>0</v>
      </c>
      <c r="S36" s="3" t="e" cm="1">
        <f t="array" aca="1" ref="S36" ca="1">SUMPRODUCT(MID($P36,ROW(INDIRECT("1:23")),1)*2^(-ROW(INDIRECT("1:23"))))</f>
        <v>#VALUE!</v>
      </c>
      <c r="T36" s="3" t="e">
        <f t="shared" ca="1" si="6"/>
        <v>#VALUE!</v>
      </c>
      <c r="U36" s="3" t="e">
        <f t="shared" ca="1" si="7"/>
        <v>#VALUE!</v>
      </c>
      <c r="V36" s="73"/>
      <c r="W36" s="9" t="str">
        <f t="shared" si="8"/>
        <v>OK</v>
      </c>
    </row>
    <row r="37" spans="1:23" x14ac:dyDescent="0.3">
      <c r="A37" s="44">
        <v>34</v>
      </c>
      <c r="B37" s="14">
        <v>1</v>
      </c>
      <c r="C37" s="4">
        <v>6</v>
      </c>
      <c r="D37" s="3" t="str">
        <f>VLOOKUP($C37,Overall!$K$5:$T$36,2)</f>
        <v>Underflow</v>
      </c>
      <c r="E37" s="3">
        <f ca="1">VLOOKUP($C37,Overall!$K$5:$T$36,10)</f>
        <v>-1.1754942106924411E-38</v>
      </c>
      <c r="F37" s="9" t="str">
        <f>VLOOKUP($C37,Overall!$K$5:$T$36,6)</f>
        <v>10000000011111111111111111111111</v>
      </c>
      <c r="G37" s="8">
        <v>4</v>
      </c>
      <c r="H37" s="3" t="str">
        <f>VLOOKUP($G37,Overall!$K$5:$T$36,2)</f>
        <v>Underflow</v>
      </c>
      <c r="I37" s="3">
        <f ca="1">VLOOKUP($G37,Overall!$K$5:$T$36,10)</f>
        <v>-1.4012984643248171E-45</v>
      </c>
      <c r="J37" s="62" t="str">
        <f>VLOOKUP($G37,Overall!$K$5:$T$36,6)</f>
        <v>10000000000000000000000000000001</v>
      </c>
      <c r="K37" s="8">
        <f t="shared" ca="1" si="0"/>
        <v>1.6472182322660306E-83</v>
      </c>
      <c r="L37" s="62">
        <f>VLOOKUP($B37,Overall!$B$5:$I$13,8)</f>
        <v>0</v>
      </c>
      <c r="M37" s="58"/>
      <c r="N37" s="3" t="str">
        <f t="shared" si="1"/>
        <v/>
      </c>
      <c r="O37" s="3" t="str">
        <f t="shared" si="2"/>
        <v/>
      </c>
      <c r="P37" s="3" t="str">
        <f t="shared" si="3"/>
        <v/>
      </c>
      <c r="Q37" s="3">
        <f t="shared" si="4"/>
        <v>0</v>
      </c>
      <c r="R37" s="3">
        <f t="shared" si="5"/>
        <v>0</v>
      </c>
      <c r="S37" s="3" t="e" cm="1">
        <f t="array" aca="1" ref="S37" ca="1">SUMPRODUCT(MID($P37,ROW(INDIRECT("1:23")),1)*2^(-ROW(INDIRECT("1:23"))))</f>
        <v>#VALUE!</v>
      </c>
      <c r="T37" s="3" t="e">
        <f t="shared" ca="1" si="6"/>
        <v>#VALUE!</v>
      </c>
      <c r="U37" s="3" t="e">
        <f t="shared" ca="1" si="7"/>
        <v>#VALUE!</v>
      </c>
      <c r="V37" s="73"/>
      <c r="W37" s="9" t="str">
        <f t="shared" si="8"/>
        <v>OK</v>
      </c>
    </row>
    <row r="38" spans="1:23" x14ac:dyDescent="0.3">
      <c r="A38" s="44">
        <v>35</v>
      </c>
      <c r="B38" s="14">
        <v>1</v>
      </c>
      <c r="C38" s="4">
        <v>6</v>
      </c>
      <c r="D38" s="3" t="str">
        <f>VLOOKUP($C38,Overall!$K$5:$T$36,2)</f>
        <v>Underflow</v>
      </c>
      <c r="E38" s="3">
        <f ca="1">VLOOKUP($C38,Overall!$K$5:$T$36,10)</f>
        <v>-1.1754942106924411E-38</v>
      </c>
      <c r="F38" s="9" t="str">
        <f>VLOOKUP($C38,Overall!$K$5:$T$36,6)</f>
        <v>10000000011111111111111111111111</v>
      </c>
      <c r="G38" s="8">
        <v>5</v>
      </c>
      <c r="H38" s="3" t="str">
        <f>VLOOKUP($G38,Overall!$K$5:$T$36,2)</f>
        <v>Underflow</v>
      </c>
      <c r="I38" s="3">
        <f ca="1">VLOOKUP($G38,Overall!$K$5:$T$36,10)</f>
        <v>-2.9387386796526474E-39</v>
      </c>
      <c r="J38" s="62" t="str">
        <f>VLOOKUP($G38,Overall!$K$5:$T$36,6)</f>
        <v>10000000001000000000000000000010</v>
      </c>
      <c r="K38" s="8">
        <f t="shared" ca="1" si="0"/>
        <v>3.4544703046696352E-77</v>
      </c>
      <c r="L38" s="62">
        <f>VLOOKUP($B38,Overall!$B$5:$I$13,8)</f>
        <v>0</v>
      </c>
      <c r="M38" s="58"/>
      <c r="N38" s="3" t="str">
        <f t="shared" si="1"/>
        <v/>
      </c>
      <c r="O38" s="3" t="str">
        <f t="shared" si="2"/>
        <v/>
      </c>
      <c r="P38" s="3" t="str">
        <f t="shared" si="3"/>
        <v/>
      </c>
      <c r="Q38" s="3">
        <f t="shared" si="4"/>
        <v>0</v>
      </c>
      <c r="R38" s="3">
        <f t="shared" si="5"/>
        <v>0</v>
      </c>
      <c r="S38" s="3" t="e" cm="1">
        <f t="array" aca="1" ref="S38" ca="1">SUMPRODUCT(MID($P38,ROW(INDIRECT("1:23")),1)*2^(-ROW(INDIRECT("1:23"))))</f>
        <v>#VALUE!</v>
      </c>
      <c r="T38" s="3" t="e">
        <f t="shared" ca="1" si="6"/>
        <v>#VALUE!</v>
      </c>
      <c r="U38" s="3" t="e">
        <f t="shared" ca="1" si="7"/>
        <v>#VALUE!</v>
      </c>
      <c r="V38" s="73"/>
      <c r="W38" s="9" t="str">
        <f t="shared" si="8"/>
        <v>OK</v>
      </c>
    </row>
    <row r="39" spans="1:23" x14ac:dyDescent="0.3">
      <c r="A39" s="44">
        <v>36</v>
      </c>
      <c r="B39" s="14">
        <v>1</v>
      </c>
      <c r="C39" s="4">
        <v>6</v>
      </c>
      <c r="D39" s="3" t="str">
        <f>VLOOKUP($C39,Overall!$K$5:$T$36,2)</f>
        <v>Underflow</v>
      </c>
      <c r="E39" s="3">
        <f ca="1">VLOOKUP($C39,Overall!$K$5:$T$36,10)</f>
        <v>-1.1754942106924411E-38</v>
      </c>
      <c r="F39" s="9" t="str">
        <f>VLOOKUP($C39,Overall!$K$5:$T$36,6)</f>
        <v>10000000011111111111111111111111</v>
      </c>
      <c r="G39" s="8">
        <v>6</v>
      </c>
      <c r="H39" s="3" t="str">
        <f>VLOOKUP($G39,Overall!$K$5:$T$36,2)</f>
        <v>Underflow</v>
      </c>
      <c r="I39" s="3">
        <f ca="1">VLOOKUP($G39,Overall!$K$5:$T$36,10)</f>
        <v>-1.1754942106924411E-38</v>
      </c>
      <c r="J39" s="62" t="str">
        <f>VLOOKUP($G39,Overall!$K$5:$T$36,6)</f>
        <v>10000000011111111111111111111111</v>
      </c>
      <c r="K39" s="8">
        <f t="shared" ca="1" si="0"/>
        <v>1.3817866393714451E-76</v>
      </c>
      <c r="L39" s="62">
        <f>VLOOKUP($B39,Overall!$B$5:$I$13,8)</f>
        <v>0</v>
      </c>
      <c r="M39" s="58"/>
      <c r="N39" s="3" t="str">
        <f t="shared" si="1"/>
        <v/>
      </c>
      <c r="O39" s="3" t="str">
        <f t="shared" si="2"/>
        <v/>
      </c>
      <c r="P39" s="3" t="str">
        <f t="shared" si="3"/>
        <v/>
      </c>
      <c r="Q39" s="3">
        <f t="shared" si="4"/>
        <v>0</v>
      </c>
      <c r="R39" s="3">
        <f t="shared" si="5"/>
        <v>0</v>
      </c>
      <c r="S39" s="3" t="e" cm="1">
        <f t="array" aca="1" ref="S39" ca="1">SUMPRODUCT(MID($P39,ROW(INDIRECT("1:23")),1)*2^(-ROW(INDIRECT("1:23"))))</f>
        <v>#VALUE!</v>
      </c>
      <c r="T39" s="3" t="e">
        <f t="shared" ca="1" si="6"/>
        <v>#VALUE!</v>
      </c>
      <c r="U39" s="3" t="e">
        <f t="shared" ca="1" si="7"/>
        <v>#VALUE!</v>
      </c>
      <c r="V39" s="73"/>
      <c r="W39" s="9" t="str">
        <f t="shared" si="8"/>
        <v>OK</v>
      </c>
    </row>
    <row r="40" spans="1:23" x14ac:dyDescent="0.3">
      <c r="A40" s="44">
        <v>37</v>
      </c>
      <c r="B40" s="14">
        <v>2</v>
      </c>
      <c r="C40" s="4">
        <v>1</v>
      </c>
      <c r="D40" s="3" t="str">
        <f>VLOOKUP($C40,Overall!$K$5:$T$36,2)</f>
        <v>Underflow</v>
      </c>
      <c r="E40" s="3">
        <f ca="1">VLOOKUP($C40,Overall!$K$5:$T$36,10)</f>
        <v>1.4012984643248171E-45</v>
      </c>
      <c r="F40" s="9" t="str">
        <f>VLOOKUP($C40,Overall!$K$5:$T$36,6)</f>
        <v>00000000000000000000000000000001</v>
      </c>
      <c r="G40" s="8">
        <v>7</v>
      </c>
      <c r="H40" s="3" t="str">
        <f>VLOOKUP($G40,Overall!$K$5:$T$36,2)</f>
        <v>Overflow</v>
      </c>
      <c r="I40" s="3">
        <f ca="1">VLOOKUP($G40,Overall!$K$5:$T$36,10)</f>
        <v>3.4028240748575767E+38</v>
      </c>
      <c r="J40" s="62" t="str">
        <f>VLOOKUP($G40,Overall!$K$5:$T$36,6)</f>
        <v>01111111100000000000000000000001</v>
      </c>
      <c r="K40" s="8">
        <f t="shared" ca="1" si="0"/>
        <v>4.7683721504654386E-7</v>
      </c>
      <c r="L40" s="62">
        <f>VLOOKUP($B40,Overall!$B$5:$I$13,8)</f>
        <v>1</v>
      </c>
      <c r="M40" s="58"/>
      <c r="N40" s="3" t="str">
        <f t="shared" si="1"/>
        <v/>
      </c>
      <c r="O40" s="3" t="str">
        <f t="shared" si="2"/>
        <v/>
      </c>
      <c r="P40" s="3" t="str">
        <f t="shared" si="3"/>
        <v/>
      </c>
      <c r="Q40" s="3">
        <f t="shared" si="4"/>
        <v>0</v>
      </c>
      <c r="R40" s="3">
        <f t="shared" si="5"/>
        <v>0</v>
      </c>
      <c r="S40" s="3" t="e" cm="1">
        <f t="array" aca="1" ref="S40" ca="1">SUMPRODUCT(MID($P40,ROW(INDIRECT("1:23")),1)*2^(-ROW(INDIRECT("1:23"))))</f>
        <v>#VALUE!</v>
      </c>
      <c r="T40" s="3" t="e">
        <f t="shared" ca="1" si="6"/>
        <v>#VALUE!</v>
      </c>
      <c r="U40" s="3" t="e">
        <f t="shared" ca="1" si="7"/>
        <v>#VALUE!</v>
      </c>
      <c r="V40" s="73"/>
      <c r="W40" s="9" t="str">
        <f t="shared" si="8"/>
        <v>NG</v>
      </c>
    </row>
    <row r="41" spans="1:23" x14ac:dyDescent="0.3">
      <c r="A41" s="44">
        <v>38</v>
      </c>
      <c r="B41" s="14">
        <v>2</v>
      </c>
      <c r="C41" s="4">
        <v>1</v>
      </c>
      <c r="D41" s="3" t="str">
        <f>VLOOKUP($C41,Overall!$K$5:$T$36,2)</f>
        <v>Underflow</v>
      </c>
      <c r="E41" s="3">
        <f ca="1">VLOOKUP($C41,Overall!$K$5:$T$36,10)</f>
        <v>1.4012984643248171E-45</v>
      </c>
      <c r="F41" s="9" t="str">
        <f>VLOOKUP($C41,Overall!$K$5:$T$36,6)</f>
        <v>00000000000000000000000000000001</v>
      </c>
      <c r="G41" s="8">
        <v>8</v>
      </c>
      <c r="H41" s="3" t="str">
        <f>VLOOKUP($G41,Overall!$K$5:$T$36,2)</f>
        <v>Overflow</v>
      </c>
      <c r="I41" s="3">
        <f ca="1">VLOOKUP($G41,Overall!$K$5:$T$36,10)</f>
        <v>4.2535303978081149E+38</v>
      </c>
      <c r="J41" s="62" t="str">
        <f>VLOOKUP($G41,Overall!$K$5:$T$36,6)</f>
        <v>01111111101000000000000000000010</v>
      </c>
      <c r="K41" s="8">
        <f t="shared" ca="1" si="0"/>
        <v>5.9604656144074397E-7</v>
      </c>
      <c r="L41" s="62">
        <f>VLOOKUP($B41,Overall!$B$5:$I$13,8)</f>
        <v>1</v>
      </c>
      <c r="M41" s="58"/>
      <c r="N41" s="3" t="str">
        <f t="shared" si="1"/>
        <v/>
      </c>
      <c r="O41" s="3" t="str">
        <f t="shared" si="2"/>
        <v/>
      </c>
      <c r="P41" s="3" t="str">
        <f t="shared" si="3"/>
        <v/>
      </c>
      <c r="Q41" s="3">
        <f t="shared" si="4"/>
        <v>0</v>
      </c>
      <c r="R41" s="3">
        <f t="shared" si="5"/>
        <v>0</v>
      </c>
      <c r="S41" s="3" t="e" cm="1">
        <f t="array" aca="1" ref="S41" ca="1">SUMPRODUCT(MID($P41,ROW(INDIRECT("1:23")),1)*2^(-ROW(INDIRECT("1:23"))))</f>
        <v>#VALUE!</v>
      </c>
      <c r="T41" s="3" t="e">
        <f t="shared" ca="1" si="6"/>
        <v>#VALUE!</v>
      </c>
      <c r="U41" s="3" t="e">
        <f t="shared" ca="1" si="7"/>
        <v>#VALUE!</v>
      </c>
      <c r="V41" s="73"/>
      <c r="W41" s="9" t="str">
        <f t="shared" si="8"/>
        <v>NG</v>
      </c>
    </row>
    <row r="42" spans="1:23" x14ac:dyDescent="0.3">
      <c r="A42" s="44">
        <v>39</v>
      </c>
      <c r="B42" s="14">
        <v>2</v>
      </c>
      <c r="C42" s="4">
        <v>1</v>
      </c>
      <c r="D42" s="3" t="str">
        <f>VLOOKUP($C42,Overall!$K$5:$T$36,2)</f>
        <v>Underflow</v>
      </c>
      <c r="E42" s="3">
        <f ca="1">VLOOKUP($C42,Overall!$K$5:$T$36,10)</f>
        <v>1.4012984643248171E-45</v>
      </c>
      <c r="F42" s="9" t="str">
        <f>VLOOKUP($C42,Overall!$K$5:$T$36,6)</f>
        <v>00000000000000000000000000000001</v>
      </c>
      <c r="G42" s="8">
        <v>9</v>
      </c>
      <c r="H42" s="3" t="str">
        <f>VLOOKUP($G42,Overall!$K$5:$T$36,2)</f>
        <v>Overflow</v>
      </c>
      <c r="I42" s="3">
        <f ca="1">VLOOKUP($G42,Overall!$K$5:$T$36,10)</f>
        <v>6.8056469327705772E+38</v>
      </c>
      <c r="J42" s="62" t="str">
        <f>VLOOKUP($G42,Overall!$K$5:$T$36,6)</f>
        <v>01111111111111111111111111111111</v>
      </c>
      <c r="K42" s="8">
        <f t="shared" ca="1" si="0"/>
        <v>9.5367425956283114E-7</v>
      </c>
      <c r="L42" s="62">
        <f>VLOOKUP($B42,Overall!$B$5:$I$13,8)</f>
        <v>1</v>
      </c>
      <c r="M42" s="58"/>
      <c r="N42" s="3" t="str">
        <f t="shared" si="1"/>
        <v/>
      </c>
      <c r="O42" s="3" t="str">
        <f t="shared" si="2"/>
        <v/>
      </c>
      <c r="P42" s="3" t="str">
        <f t="shared" si="3"/>
        <v/>
      </c>
      <c r="Q42" s="3">
        <f t="shared" si="4"/>
        <v>0</v>
      </c>
      <c r="R42" s="3">
        <f t="shared" si="5"/>
        <v>0</v>
      </c>
      <c r="S42" s="3" t="e" cm="1">
        <f t="array" aca="1" ref="S42" ca="1">SUMPRODUCT(MID($P42,ROW(INDIRECT("1:23")),1)*2^(-ROW(INDIRECT("1:23"))))</f>
        <v>#VALUE!</v>
      </c>
      <c r="T42" s="3" t="e">
        <f t="shared" ca="1" si="6"/>
        <v>#VALUE!</v>
      </c>
      <c r="U42" s="3" t="e">
        <f t="shared" ca="1" si="7"/>
        <v>#VALUE!</v>
      </c>
      <c r="V42" s="73"/>
      <c r="W42" s="9" t="str">
        <f t="shared" si="8"/>
        <v>NG</v>
      </c>
    </row>
    <row r="43" spans="1:23" x14ac:dyDescent="0.3">
      <c r="A43" s="44">
        <v>40</v>
      </c>
      <c r="B43" s="14">
        <v>2</v>
      </c>
      <c r="C43" s="4">
        <v>1</v>
      </c>
      <c r="D43" s="3" t="str">
        <f>VLOOKUP($C43,Overall!$K$5:$T$36,2)</f>
        <v>Underflow</v>
      </c>
      <c r="E43" s="3">
        <f ca="1">VLOOKUP($C43,Overall!$K$5:$T$36,10)</f>
        <v>1.4012984643248171E-45</v>
      </c>
      <c r="F43" s="9" t="str">
        <f>VLOOKUP($C43,Overall!$K$5:$T$36,6)</f>
        <v>00000000000000000000000000000001</v>
      </c>
      <c r="G43" s="8">
        <v>10</v>
      </c>
      <c r="H43" s="3" t="str">
        <f>VLOOKUP($G43,Overall!$K$5:$T$36,2)</f>
        <v>Overflow</v>
      </c>
      <c r="I43" s="3">
        <f ca="1">VLOOKUP($G43,Overall!$K$5:$T$36,10)</f>
        <v>-3.4028240748575767E+38</v>
      </c>
      <c r="J43" s="62" t="str">
        <f>VLOOKUP($G43,Overall!$K$5:$T$36,6)</f>
        <v>11111111100000000000000000000001</v>
      </c>
      <c r="K43" s="8">
        <f t="shared" ca="1" si="0"/>
        <v>-4.7683721504654386E-7</v>
      </c>
      <c r="L43" s="62">
        <f>VLOOKUP($B43,Overall!$B$5:$I$13,8)</f>
        <v>1</v>
      </c>
      <c r="M43" s="58"/>
      <c r="N43" s="3" t="str">
        <f t="shared" si="1"/>
        <v/>
      </c>
      <c r="O43" s="3" t="str">
        <f t="shared" si="2"/>
        <v/>
      </c>
      <c r="P43" s="3" t="str">
        <f t="shared" si="3"/>
        <v/>
      </c>
      <c r="Q43" s="3">
        <f t="shared" si="4"/>
        <v>0</v>
      </c>
      <c r="R43" s="3">
        <f t="shared" si="5"/>
        <v>0</v>
      </c>
      <c r="S43" s="3" t="e" cm="1">
        <f t="array" aca="1" ref="S43" ca="1">SUMPRODUCT(MID($P43,ROW(INDIRECT("1:23")),1)*2^(-ROW(INDIRECT("1:23"))))</f>
        <v>#VALUE!</v>
      </c>
      <c r="T43" s="3" t="e">
        <f t="shared" ca="1" si="6"/>
        <v>#VALUE!</v>
      </c>
      <c r="U43" s="3" t="e">
        <f t="shared" ca="1" si="7"/>
        <v>#VALUE!</v>
      </c>
      <c r="V43" s="73"/>
      <c r="W43" s="9" t="str">
        <f t="shared" si="8"/>
        <v>NG</v>
      </c>
    </row>
    <row r="44" spans="1:23" x14ac:dyDescent="0.3">
      <c r="A44" s="44">
        <v>41</v>
      </c>
      <c r="B44" s="14">
        <v>2</v>
      </c>
      <c r="C44" s="4">
        <v>1</v>
      </c>
      <c r="D44" s="3" t="str">
        <f>VLOOKUP($C44,Overall!$K$5:$T$36,2)</f>
        <v>Underflow</v>
      </c>
      <c r="E44" s="3">
        <f ca="1">VLOOKUP($C44,Overall!$K$5:$T$36,10)</f>
        <v>1.4012984643248171E-45</v>
      </c>
      <c r="F44" s="9" t="str">
        <f>VLOOKUP($C44,Overall!$K$5:$T$36,6)</f>
        <v>00000000000000000000000000000001</v>
      </c>
      <c r="G44" s="8">
        <v>11</v>
      </c>
      <c r="H44" s="3" t="str">
        <f>VLOOKUP($G44,Overall!$K$5:$T$36,2)</f>
        <v>Overflow</v>
      </c>
      <c r="I44" s="3">
        <f ca="1">VLOOKUP($G44,Overall!$K$5:$T$36,10)</f>
        <v>-4.2535303978081149E+38</v>
      </c>
      <c r="J44" s="62" t="str">
        <f>VLOOKUP($G44,Overall!$K$5:$T$36,6)</f>
        <v>11111111101000000000000000000010</v>
      </c>
      <c r="K44" s="8">
        <f t="shared" ca="1" si="0"/>
        <v>-5.9604656144074397E-7</v>
      </c>
      <c r="L44" s="62">
        <f>VLOOKUP($B44,Overall!$B$5:$I$13,8)</f>
        <v>1</v>
      </c>
      <c r="M44" s="58"/>
      <c r="N44" s="3" t="str">
        <f t="shared" si="1"/>
        <v/>
      </c>
      <c r="O44" s="3" t="str">
        <f t="shared" si="2"/>
        <v/>
      </c>
      <c r="P44" s="3" t="str">
        <f t="shared" si="3"/>
        <v/>
      </c>
      <c r="Q44" s="3">
        <f t="shared" si="4"/>
        <v>0</v>
      </c>
      <c r="R44" s="3">
        <f t="shared" si="5"/>
        <v>0</v>
      </c>
      <c r="S44" s="3" t="e" cm="1">
        <f t="array" aca="1" ref="S44" ca="1">SUMPRODUCT(MID($P44,ROW(INDIRECT("1:23")),1)*2^(-ROW(INDIRECT("1:23"))))</f>
        <v>#VALUE!</v>
      </c>
      <c r="T44" s="3" t="e">
        <f t="shared" ca="1" si="6"/>
        <v>#VALUE!</v>
      </c>
      <c r="U44" s="3" t="e">
        <f t="shared" ca="1" si="7"/>
        <v>#VALUE!</v>
      </c>
      <c r="V44" s="73"/>
      <c r="W44" s="9" t="str">
        <f t="shared" si="8"/>
        <v>NG</v>
      </c>
    </row>
    <row r="45" spans="1:23" x14ac:dyDescent="0.3">
      <c r="A45" s="44">
        <v>42</v>
      </c>
      <c r="B45" s="14">
        <v>2</v>
      </c>
      <c r="C45" s="4">
        <v>1</v>
      </c>
      <c r="D45" s="3" t="str">
        <f>VLOOKUP($C45,Overall!$K$5:$T$36,2)</f>
        <v>Underflow</v>
      </c>
      <c r="E45" s="3">
        <f ca="1">VLOOKUP($C45,Overall!$K$5:$T$36,10)</f>
        <v>1.4012984643248171E-45</v>
      </c>
      <c r="F45" s="9" t="str">
        <f>VLOOKUP($C45,Overall!$K$5:$T$36,6)</f>
        <v>00000000000000000000000000000001</v>
      </c>
      <c r="G45" s="8">
        <v>12</v>
      </c>
      <c r="H45" s="3" t="str">
        <f>VLOOKUP($G45,Overall!$K$5:$T$36,2)</f>
        <v>Overflow</v>
      </c>
      <c r="I45" s="3">
        <f ca="1">VLOOKUP($G45,Overall!$K$5:$T$36,10)</f>
        <v>-6.8056469327705772E+38</v>
      </c>
      <c r="J45" s="62" t="str">
        <f>VLOOKUP($G45,Overall!$K$5:$T$36,6)</f>
        <v>11111111111111111111111111111111</v>
      </c>
      <c r="K45" s="8">
        <f t="shared" ca="1" si="0"/>
        <v>-9.5367425956283114E-7</v>
      </c>
      <c r="L45" s="62">
        <f>VLOOKUP($B45,Overall!$B$5:$I$13,8)</f>
        <v>1</v>
      </c>
      <c r="M45" s="58"/>
      <c r="N45" s="3" t="str">
        <f t="shared" si="1"/>
        <v/>
      </c>
      <c r="O45" s="3" t="str">
        <f t="shared" si="2"/>
        <v/>
      </c>
      <c r="P45" s="3" t="str">
        <f t="shared" si="3"/>
        <v/>
      </c>
      <c r="Q45" s="3">
        <f t="shared" si="4"/>
        <v>0</v>
      </c>
      <c r="R45" s="3">
        <f t="shared" si="5"/>
        <v>0</v>
      </c>
      <c r="S45" s="3" t="e" cm="1">
        <f t="array" aca="1" ref="S45" ca="1">SUMPRODUCT(MID($P45,ROW(INDIRECT("1:23")),1)*2^(-ROW(INDIRECT("1:23"))))</f>
        <v>#VALUE!</v>
      </c>
      <c r="T45" s="3" t="e">
        <f t="shared" ca="1" si="6"/>
        <v>#VALUE!</v>
      </c>
      <c r="U45" s="3" t="e">
        <f t="shared" ca="1" si="7"/>
        <v>#VALUE!</v>
      </c>
      <c r="V45" s="73"/>
      <c r="W45" s="9" t="str">
        <f t="shared" si="8"/>
        <v>NG</v>
      </c>
    </row>
    <row r="46" spans="1:23" x14ac:dyDescent="0.3">
      <c r="A46" s="44">
        <v>43</v>
      </c>
      <c r="B46" s="14">
        <v>2</v>
      </c>
      <c r="C46" s="4">
        <v>2</v>
      </c>
      <c r="D46" s="3" t="str">
        <f>VLOOKUP($C46,Overall!$K$5:$T$36,2)</f>
        <v>Underflow</v>
      </c>
      <c r="E46" s="3">
        <f ca="1">VLOOKUP($C46,Overall!$K$5:$T$36,10)</f>
        <v>2.9387386796526474E-39</v>
      </c>
      <c r="F46" s="9" t="str">
        <f>VLOOKUP($C46,Overall!$K$5:$T$36,6)</f>
        <v>00000000001000000000000000000010</v>
      </c>
      <c r="G46" s="8">
        <v>7</v>
      </c>
      <c r="H46" s="3" t="str">
        <f>VLOOKUP($G46,Overall!$K$5:$T$36,2)</f>
        <v>Overflow</v>
      </c>
      <c r="I46" s="3">
        <f ca="1">VLOOKUP($G46,Overall!$K$5:$T$36,10)</f>
        <v>3.4028240748575767E+38</v>
      </c>
      <c r="J46" s="62" t="str">
        <f>VLOOKUP($G46,Overall!$K$5:$T$36,6)</f>
        <v>01111111100000000000000000000001</v>
      </c>
      <c r="K46" s="8">
        <f t="shared" ca="1" si="0"/>
        <v>1.0000010728837196</v>
      </c>
      <c r="L46" s="62">
        <f>VLOOKUP($B46,Overall!$B$5:$I$13,8)</f>
        <v>1</v>
      </c>
      <c r="M46" s="58"/>
      <c r="N46" s="3" t="str">
        <f t="shared" si="1"/>
        <v/>
      </c>
      <c r="O46" s="3" t="str">
        <f t="shared" si="2"/>
        <v/>
      </c>
      <c r="P46" s="3" t="str">
        <f t="shared" si="3"/>
        <v/>
      </c>
      <c r="Q46" s="3">
        <f t="shared" si="4"/>
        <v>0</v>
      </c>
      <c r="R46" s="3">
        <f t="shared" si="5"/>
        <v>0</v>
      </c>
      <c r="S46" s="3" t="e" cm="1">
        <f t="array" aca="1" ref="S46" ca="1">SUMPRODUCT(MID($P46,ROW(INDIRECT("1:23")),1)*2^(-ROW(INDIRECT("1:23"))))</f>
        <v>#VALUE!</v>
      </c>
      <c r="T46" s="3" t="e">
        <f t="shared" ca="1" si="6"/>
        <v>#VALUE!</v>
      </c>
      <c r="U46" s="3" t="e">
        <f t="shared" ca="1" si="7"/>
        <v>#VALUE!</v>
      </c>
      <c r="V46" s="73"/>
      <c r="W46" s="9" t="str">
        <f t="shared" si="8"/>
        <v>NG</v>
      </c>
    </row>
    <row r="47" spans="1:23" x14ac:dyDescent="0.3">
      <c r="A47" s="44">
        <v>44</v>
      </c>
      <c r="B47" s="14">
        <v>2</v>
      </c>
      <c r="C47" s="4">
        <v>2</v>
      </c>
      <c r="D47" s="3" t="str">
        <f>VLOOKUP($C47,Overall!$K$5:$T$36,2)</f>
        <v>Underflow</v>
      </c>
      <c r="E47" s="3">
        <f ca="1">VLOOKUP($C47,Overall!$K$5:$T$36,10)</f>
        <v>2.9387386796526474E-39</v>
      </c>
      <c r="F47" s="9" t="str">
        <f>VLOOKUP($C47,Overall!$K$5:$T$36,6)</f>
        <v>00000000001000000000000000000010</v>
      </c>
      <c r="G47" s="8">
        <v>8</v>
      </c>
      <c r="H47" s="3" t="str">
        <f>VLOOKUP($G47,Overall!$K$5:$T$36,2)</f>
        <v>Overflow</v>
      </c>
      <c r="I47" s="3">
        <f ca="1">VLOOKUP($G47,Overall!$K$5:$T$36,10)</f>
        <v>4.2535303978081149E+38</v>
      </c>
      <c r="J47" s="62" t="str">
        <f>VLOOKUP($G47,Overall!$K$5:$T$36,6)</f>
        <v>01111111101000000000000000000010</v>
      </c>
      <c r="K47" s="8">
        <f t="shared" ca="1" si="0"/>
        <v>1.250001430511702</v>
      </c>
      <c r="L47" s="62">
        <f>VLOOKUP($B47,Overall!$B$5:$I$13,8)</f>
        <v>1</v>
      </c>
      <c r="M47" s="58"/>
      <c r="N47" s="3" t="str">
        <f t="shared" si="1"/>
        <v/>
      </c>
      <c r="O47" s="3" t="str">
        <f t="shared" si="2"/>
        <v/>
      </c>
      <c r="P47" s="3" t="str">
        <f t="shared" si="3"/>
        <v/>
      </c>
      <c r="Q47" s="3">
        <f t="shared" si="4"/>
        <v>0</v>
      </c>
      <c r="R47" s="3">
        <f t="shared" si="5"/>
        <v>0</v>
      </c>
      <c r="S47" s="3" t="e" cm="1">
        <f t="array" aca="1" ref="S47" ca="1">SUMPRODUCT(MID($P47,ROW(INDIRECT("1:23")),1)*2^(-ROW(INDIRECT("1:23"))))</f>
        <v>#VALUE!</v>
      </c>
      <c r="T47" s="3" t="e">
        <f t="shared" ca="1" si="6"/>
        <v>#VALUE!</v>
      </c>
      <c r="U47" s="3" t="e">
        <f t="shared" ca="1" si="7"/>
        <v>#VALUE!</v>
      </c>
      <c r="V47" s="73"/>
      <c r="W47" s="9" t="str">
        <f t="shared" si="8"/>
        <v>NG</v>
      </c>
    </row>
    <row r="48" spans="1:23" x14ac:dyDescent="0.3">
      <c r="A48" s="44">
        <v>45</v>
      </c>
      <c r="B48" s="14">
        <v>2</v>
      </c>
      <c r="C48" s="4">
        <v>2</v>
      </c>
      <c r="D48" s="3" t="str">
        <f>VLOOKUP($C48,Overall!$K$5:$T$36,2)</f>
        <v>Underflow</v>
      </c>
      <c r="E48" s="3">
        <f ca="1">VLOOKUP($C48,Overall!$K$5:$T$36,10)</f>
        <v>2.9387386796526474E-39</v>
      </c>
      <c r="F48" s="9" t="str">
        <f>VLOOKUP($C48,Overall!$K$5:$T$36,6)</f>
        <v>00000000001000000000000000000010</v>
      </c>
      <c r="G48" s="8">
        <v>9</v>
      </c>
      <c r="H48" s="3" t="str">
        <f>VLOOKUP($G48,Overall!$K$5:$T$36,2)</f>
        <v>Overflow</v>
      </c>
      <c r="I48" s="3">
        <f ca="1">VLOOKUP($G48,Overall!$K$5:$T$36,10)</f>
        <v>6.8056469327705772E+38</v>
      </c>
      <c r="J48" s="62" t="str">
        <f>VLOOKUP($G48,Overall!$K$5:$T$36,6)</f>
        <v>01111111111111111111111111111111</v>
      </c>
      <c r="K48" s="8">
        <f t="shared" ca="1" si="0"/>
        <v>2.0000017881392296</v>
      </c>
      <c r="L48" s="62">
        <f>VLOOKUP($B48,Overall!$B$5:$I$13,8)</f>
        <v>1</v>
      </c>
      <c r="M48" s="58"/>
      <c r="N48" s="3" t="str">
        <f t="shared" si="1"/>
        <v/>
      </c>
      <c r="O48" s="3" t="str">
        <f t="shared" si="2"/>
        <v/>
      </c>
      <c r="P48" s="3" t="str">
        <f t="shared" si="3"/>
        <v/>
      </c>
      <c r="Q48" s="3">
        <f t="shared" si="4"/>
        <v>0</v>
      </c>
      <c r="R48" s="3">
        <f t="shared" si="5"/>
        <v>0</v>
      </c>
      <c r="S48" s="3" t="e" cm="1">
        <f t="array" aca="1" ref="S48" ca="1">SUMPRODUCT(MID($P48,ROW(INDIRECT("1:23")),1)*2^(-ROW(INDIRECT("1:23"))))</f>
        <v>#VALUE!</v>
      </c>
      <c r="T48" s="3" t="e">
        <f t="shared" ca="1" si="6"/>
        <v>#VALUE!</v>
      </c>
      <c r="U48" s="3" t="e">
        <f t="shared" ca="1" si="7"/>
        <v>#VALUE!</v>
      </c>
      <c r="V48" s="73"/>
      <c r="W48" s="9" t="str">
        <f t="shared" si="8"/>
        <v>NG</v>
      </c>
    </row>
    <row r="49" spans="1:23" x14ac:dyDescent="0.3">
      <c r="A49" s="44">
        <v>46</v>
      </c>
      <c r="B49" s="14">
        <v>2</v>
      </c>
      <c r="C49" s="4">
        <v>2</v>
      </c>
      <c r="D49" s="3" t="str">
        <f>VLOOKUP($C49,Overall!$K$5:$T$36,2)</f>
        <v>Underflow</v>
      </c>
      <c r="E49" s="3">
        <f ca="1">VLOOKUP($C49,Overall!$K$5:$T$36,10)</f>
        <v>2.9387386796526474E-39</v>
      </c>
      <c r="F49" s="9" t="str">
        <f>VLOOKUP($C49,Overall!$K$5:$T$36,6)</f>
        <v>00000000001000000000000000000010</v>
      </c>
      <c r="G49" s="8">
        <v>10</v>
      </c>
      <c r="H49" s="3" t="str">
        <f>VLOOKUP($G49,Overall!$K$5:$T$36,2)</f>
        <v>Overflow</v>
      </c>
      <c r="I49" s="3">
        <f ca="1">VLOOKUP($G49,Overall!$K$5:$T$36,10)</f>
        <v>-3.4028240748575767E+38</v>
      </c>
      <c r="J49" s="62" t="str">
        <f>VLOOKUP($G49,Overall!$K$5:$T$36,6)</f>
        <v>11111111100000000000000000000001</v>
      </c>
      <c r="K49" s="8">
        <f t="shared" ca="1" si="0"/>
        <v>-1.0000010728837196</v>
      </c>
      <c r="L49" s="62">
        <f>VLOOKUP($B49,Overall!$B$5:$I$13,8)</f>
        <v>1</v>
      </c>
      <c r="M49" s="58"/>
      <c r="N49" s="3" t="str">
        <f t="shared" si="1"/>
        <v/>
      </c>
      <c r="O49" s="3" t="str">
        <f t="shared" si="2"/>
        <v/>
      </c>
      <c r="P49" s="3" t="str">
        <f t="shared" si="3"/>
        <v/>
      </c>
      <c r="Q49" s="3">
        <f t="shared" si="4"/>
        <v>0</v>
      </c>
      <c r="R49" s="3">
        <f t="shared" si="5"/>
        <v>0</v>
      </c>
      <c r="S49" s="3" t="e" cm="1">
        <f t="array" aca="1" ref="S49" ca="1">SUMPRODUCT(MID($P49,ROW(INDIRECT("1:23")),1)*2^(-ROW(INDIRECT("1:23"))))</f>
        <v>#VALUE!</v>
      </c>
      <c r="T49" s="3" t="e">
        <f t="shared" ca="1" si="6"/>
        <v>#VALUE!</v>
      </c>
      <c r="U49" s="3" t="e">
        <f t="shared" ca="1" si="7"/>
        <v>#VALUE!</v>
      </c>
      <c r="V49" s="73"/>
      <c r="W49" s="9" t="str">
        <f t="shared" si="8"/>
        <v>NG</v>
      </c>
    </row>
    <row r="50" spans="1:23" x14ac:dyDescent="0.3">
      <c r="A50" s="44">
        <v>47</v>
      </c>
      <c r="B50" s="14">
        <v>2</v>
      </c>
      <c r="C50" s="4">
        <v>2</v>
      </c>
      <c r="D50" s="3" t="str">
        <f>VLOOKUP($C50,Overall!$K$5:$T$36,2)</f>
        <v>Underflow</v>
      </c>
      <c r="E50" s="3">
        <f ca="1">VLOOKUP($C50,Overall!$K$5:$T$36,10)</f>
        <v>2.9387386796526474E-39</v>
      </c>
      <c r="F50" s="9" t="str">
        <f>VLOOKUP($C50,Overall!$K$5:$T$36,6)</f>
        <v>00000000001000000000000000000010</v>
      </c>
      <c r="G50" s="8">
        <v>11</v>
      </c>
      <c r="H50" s="3" t="str">
        <f>VLOOKUP($G50,Overall!$K$5:$T$36,2)</f>
        <v>Overflow</v>
      </c>
      <c r="I50" s="3">
        <f ca="1">VLOOKUP($G50,Overall!$K$5:$T$36,10)</f>
        <v>-4.2535303978081149E+38</v>
      </c>
      <c r="J50" s="62" t="str">
        <f>VLOOKUP($G50,Overall!$K$5:$T$36,6)</f>
        <v>11111111101000000000000000000010</v>
      </c>
      <c r="K50" s="8">
        <f t="shared" ca="1" si="0"/>
        <v>-1.250001430511702</v>
      </c>
      <c r="L50" s="62">
        <f>VLOOKUP($B50,Overall!$B$5:$I$13,8)</f>
        <v>1</v>
      </c>
      <c r="M50" s="58"/>
      <c r="N50" s="3" t="str">
        <f t="shared" si="1"/>
        <v/>
      </c>
      <c r="O50" s="3" t="str">
        <f t="shared" si="2"/>
        <v/>
      </c>
      <c r="P50" s="3" t="str">
        <f t="shared" si="3"/>
        <v/>
      </c>
      <c r="Q50" s="3">
        <f t="shared" si="4"/>
        <v>0</v>
      </c>
      <c r="R50" s="3">
        <f t="shared" si="5"/>
        <v>0</v>
      </c>
      <c r="S50" s="3" t="e" cm="1">
        <f t="array" aca="1" ref="S50" ca="1">SUMPRODUCT(MID($P50,ROW(INDIRECT("1:23")),1)*2^(-ROW(INDIRECT("1:23"))))</f>
        <v>#VALUE!</v>
      </c>
      <c r="T50" s="3" t="e">
        <f t="shared" ca="1" si="6"/>
        <v>#VALUE!</v>
      </c>
      <c r="U50" s="3" t="e">
        <f t="shared" ca="1" si="7"/>
        <v>#VALUE!</v>
      </c>
      <c r="V50" s="73"/>
      <c r="W50" s="9" t="str">
        <f t="shared" si="8"/>
        <v>NG</v>
      </c>
    </row>
    <row r="51" spans="1:23" x14ac:dyDescent="0.3">
      <c r="A51" s="44">
        <v>48</v>
      </c>
      <c r="B51" s="14">
        <v>2</v>
      </c>
      <c r="C51" s="4">
        <v>2</v>
      </c>
      <c r="D51" s="3" t="str">
        <f>VLOOKUP($C51,Overall!$K$5:$T$36,2)</f>
        <v>Underflow</v>
      </c>
      <c r="E51" s="3">
        <f ca="1">VLOOKUP($C51,Overall!$K$5:$T$36,10)</f>
        <v>2.9387386796526474E-39</v>
      </c>
      <c r="F51" s="9" t="str">
        <f>VLOOKUP($C51,Overall!$K$5:$T$36,6)</f>
        <v>00000000001000000000000000000010</v>
      </c>
      <c r="G51" s="8">
        <v>12</v>
      </c>
      <c r="H51" s="3" t="str">
        <f>VLOOKUP($G51,Overall!$K$5:$T$36,2)</f>
        <v>Overflow</v>
      </c>
      <c r="I51" s="3">
        <f ca="1">VLOOKUP($G51,Overall!$K$5:$T$36,10)</f>
        <v>-6.8056469327705772E+38</v>
      </c>
      <c r="J51" s="62" t="str">
        <f>VLOOKUP($G51,Overall!$K$5:$T$36,6)</f>
        <v>11111111111111111111111111111111</v>
      </c>
      <c r="K51" s="8">
        <f t="shared" ca="1" si="0"/>
        <v>-2.0000017881392296</v>
      </c>
      <c r="L51" s="62">
        <f>VLOOKUP($B51,Overall!$B$5:$I$13,8)</f>
        <v>1</v>
      </c>
      <c r="M51" s="58"/>
      <c r="N51" s="3" t="str">
        <f t="shared" si="1"/>
        <v/>
      </c>
      <c r="O51" s="3" t="str">
        <f t="shared" si="2"/>
        <v/>
      </c>
      <c r="P51" s="3" t="str">
        <f t="shared" si="3"/>
        <v/>
      </c>
      <c r="Q51" s="3">
        <f t="shared" si="4"/>
        <v>0</v>
      </c>
      <c r="R51" s="3">
        <f t="shared" si="5"/>
        <v>0</v>
      </c>
      <c r="S51" s="3" t="e" cm="1">
        <f t="array" aca="1" ref="S51" ca="1">SUMPRODUCT(MID($P51,ROW(INDIRECT("1:23")),1)*2^(-ROW(INDIRECT("1:23"))))</f>
        <v>#VALUE!</v>
      </c>
      <c r="T51" s="3" t="e">
        <f t="shared" ca="1" si="6"/>
        <v>#VALUE!</v>
      </c>
      <c r="U51" s="3" t="e">
        <f t="shared" ca="1" si="7"/>
        <v>#VALUE!</v>
      </c>
      <c r="V51" s="73"/>
      <c r="W51" s="9" t="str">
        <f t="shared" si="8"/>
        <v>NG</v>
      </c>
    </row>
    <row r="52" spans="1:23" x14ac:dyDescent="0.3">
      <c r="A52" s="44">
        <v>49</v>
      </c>
      <c r="B52" s="14">
        <v>2</v>
      </c>
      <c r="C52" s="4">
        <v>3</v>
      </c>
      <c r="D52" s="3" t="str">
        <f>VLOOKUP($C52,Overall!$K$5:$T$36,2)</f>
        <v>Underflow</v>
      </c>
      <c r="E52" s="3">
        <f ca="1">VLOOKUP($C52,Overall!$K$5:$T$36,10)</f>
        <v>1.1754942106924411E-38</v>
      </c>
      <c r="F52" s="9" t="str">
        <f>VLOOKUP($C52,Overall!$K$5:$T$36,6)</f>
        <v>00000000011111111111111111111111</v>
      </c>
      <c r="G52" s="8">
        <v>7</v>
      </c>
      <c r="H52" s="3" t="str">
        <f>VLOOKUP($G52,Overall!$K$5:$T$36,2)</f>
        <v>Overflow</v>
      </c>
      <c r="I52" s="3">
        <f ca="1">VLOOKUP($G52,Overall!$K$5:$T$36,10)</f>
        <v>3.4028240748575767E+38</v>
      </c>
      <c r="J52" s="62" t="str">
        <f>VLOOKUP($G52,Overall!$K$5:$T$36,6)</f>
        <v>01111111100000000000000000000001</v>
      </c>
      <c r="K52" s="8">
        <f t="shared" ca="1" si="0"/>
        <v>3.9999999999999432</v>
      </c>
      <c r="L52" s="62">
        <f>VLOOKUP($B52,Overall!$B$5:$I$13,8)</f>
        <v>1</v>
      </c>
      <c r="M52" s="58"/>
      <c r="N52" s="3" t="str">
        <f t="shared" si="1"/>
        <v/>
      </c>
      <c r="O52" s="3" t="str">
        <f t="shared" si="2"/>
        <v/>
      </c>
      <c r="P52" s="3" t="str">
        <f t="shared" si="3"/>
        <v/>
      </c>
      <c r="Q52" s="3">
        <f t="shared" si="4"/>
        <v>0</v>
      </c>
      <c r="R52" s="3">
        <f t="shared" si="5"/>
        <v>0</v>
      </c>
      <c r="S52" s="3" t="e" cm="1">
        <f t="array" aca="1" ref="S52" ca="1">SUMPRODUCT(MID($P52,ROW(INDIRECT("1:23")),1)*2^(-ROW(INDIRECT("1:23"))))</f>
        <v>#VALUE!</v>
      </c>
      <c r="T52" s="3" t="e">
        <f t="shared" ca="1" si="6"/>
        <v>#VALUE!</v>
      </c>
      <c r="U52" s="3" t="e">
        <f t="shared" ca="1" si="7"/>
        <v>#VALUE!</v>
      </c>
      <c r="V52" s="73"/>
      <c r="W52" s="9" t="str">
        <f t="shared" si="8"/>
        <v>NG</v>
      </c>
    </row>
    <row r="53" spans="1:23" x14ac:dyDescent="0.3">
      <c r="A53" s="44">
        <v>50</v>
      </c>
      <c r="B53" s="14">
        <v>2</v>
      </c>
      <c r="C53" s="4">
        <v>3</v>
      </c>
      <c r="D53" s="3" t="str">
        <f>VLOOKUP($C53,Overall!$K$5:$T$36,2)</f>
        <v>Underflow</v>
      </c>
      <c r="E53" s="3">
        <f ca="1">VLOOKUP($C53,Overall!$K$5:$T$36,10)</f>
        <v>1.1754942106924411E-38</v>
      </c>
      <c r="F53" s="9" t="str">
        <f>VLOOKUP($C53,Overall!$K$5:$T$36,6)</f>
        <v>00000000011111111111111111111111</v>
      </c>
      <c r="G53" s="8">
        <v>8</v>
      </c>
      <c r="H53" s="3" t="str">
        <f>VLOOKUP($G53,Overall!$K$5:$T$36,2)</f>
        <v>Overflow</v>
      </c>
      <c r="I53" s="3">
        <f ca="1">VLOOKUP($G53,Overall!$K$5:$T$36,10)</f>
        <v>4.2535303978081149E+38</v>
      </c>
      <c r="J53" s="62" t="str">
        <f>VLOOKUP($G53,Overall!$K$5:$T$36,6)</f>
        <v>01111111101000000000000000000010</v>
      </c>
      <c r="K53" s="8">
        <f t="shared" ca="1" si="0"/>
        <v>5.000000357627755</v>
      </c>
      <c r="L53" s="62">
        <f>VLOOKUP($B53,Overall!$B$5:$I$13,8)</f>
        <v>1</v>
      </c>
      <c r="M53" s="58"/>
      <c r="N53" s="3" t="str">
        <f t="shared" si="1"/>
        <v/>
      </c>
      <c r="O53" s="3" t="str">
        <f t="shared" si="2"/>
        <v/>
      </c>
      <c r="P53" s="3" t="str">
        <f t="shared" si="3"/>
        <v/>
      </c>
      <c r="Q53" s="3">
        <f t="shared" si="4"/>
        <v>0</v>
      </c>
      <c r="R53" s="3">
        <f t="shared" si="5"/>
        <v>0</v>
      </c>
      <c r="S53" s="3" t="e" cm="1">
        <f t="array" aca="1" ref="S53" ca="1">SUMPRODUCT(MID($P53,ROW(INDIRECT("1:23")),1)*2^(-ROW(INDIRECT("1:23"))))</f>
        <v>#VALUE!</v>
      </c>
      <c r="T53" s="3" t="e">
        <f t="shared" ca="1" si="6"/>
        <v>#VALUE!</v>
      </c>
      <c r="U53" s="3" t="e">
        <f t="shared" ca="1" si="7"/>
        <v>#VALUE!</v>
      </c>
      <c r="V53" s="73"/>
      <c r="W53" s="9" t="str">
        <f t="shared" si="8"/>
        <v>NG</v>
      </c>
    </row>
    <row r="54" spans="1:23" x14ac:dyDescent="0.3">
      <c r="A54" s="44">
        <v>51</v>
      </c>
      <c r="B54" s="14">
        <v>2</v>
      </c>
      <c r="C54" s="4">
        <v>3</v>
      </c>
      <c r="D54" s="3" t="str">
        <f>VLOOKUP($C54,Overall!$K$5:$T$36,2)</f>
        <v>Underflow</v>
      </c>
      <c r="E54" s="3">
        <f ca="1">VLOOKUP($C54,Overall!$K$5:$T$36,10)</f>
        <v>1.1754942106924411E-38</v>
      </c>
      <c r="F54" s="9" t="str">
        <f>VLOOKUP($C54,Overall!$K$5:$T$36,6)</f>
        <v>00000000011111111111111111111111</v>
      </c>
      <c r="G54" s="8">
        <v>9</v>
      </c>
      <c r="H54" s="3" t="str">
        <f>VLOOKUP($G54,Overall!$K$5:$T$36,2)</f>
        <v>Overflow</v>
      </c>
      <c r="I54" s="3">
        <f ca="1">VLOOKUP($G54,Overall!$K$5:$T$36,10)</f>
        <v>6.8056469327705772E+38</v>
      </c>
      <c r="J54" s="62" t="str">
        <f>VLOOKUP($G54,Overall!$K$5:$T$36,6)</f>
        <v>01111111111111111111111111111111</v>
      </c>
      <c r="K54" s="8">
        <f t="shared" ca="1" si="0"/>
        <v>7.9999985694885822</v>
      </c>
      <c r="L54" s="62">
        <f>VLOOKUP($B54,Overall!$B$5:$I$13,8)</f>
        <v>1</v>
      </c>
      <c r="M54" s="58"/>
      <c r="N54" s="3" t="str">
        <f t="shared" si="1"/>
        <v/>
      </c>
      <c r="O54" s="3" t="str">
        <f t="shared" si="2"/>
        <v/>
      </c>
      <c r="P54" s="3" t="str">
        <f t="shared" si="3"/>
        <v/>
      </c>
      <c r="Q54" s="3">
        <f t="shared" si="4"/>
        <v>0</v>
      </c>
      <c r="R54" s="3">
        <f t="shared" si="5"/>
        <v>0</v>
      </c>
      <c r="S54" s="3" t="e" cm="1">
        <f t="array" aca="1" ref="S54" ca="1">SUMPRODUCT(MID($P54,ROW(INDIRECT("1:23")),1)*2^(-ROW(INDIRECT("1:23"))))</f>
        <v>#VALUE!</v>
      </c>
      <c r="T54" s="3" t="e">
        <f t="shared" ca="1" si="6"/>
        <v>#VALUE!</v>
      </c>
      <c r="U54" s="3" t="e">
        <f t="shared" ca="1" si="7"/>
        <v>#VALUE!</v>
      </c>
      <c r="V54" s="73"/>
      <c r="W54" s="9" t="str">
        <f t="shared" si="8"/>
        <v>NG</v>
      </c>
    </row>
    <row r="55" spans="1:23" x14ac:dyDescent="0.3">
      <c r="A55" s="44">
        <v>52</v>
      </c>
      <c r="B55" s="14">
        <v>2</v>
      </c>
      <c r="C55" s="4">
        <v>3</v>
      </c>
      <c r="D55" s="3" t="str">
        <f>VLOOKUP($C55,Overall!$K$5:$T$36,2)</f>
        <v>Underflow</v>
      </c>
      <c r="E55" s="3">
        <f ca="1">VLOOKUP($C55,Overall!$K$5:$T$36,10)</f>
        <v>1.1754942106924411E-38</v>
      </c>
      <c r="F55" s="9" t="str">
        <f>VLOOKUP($C55,Overall!$K$5:$T$36,6)</f>
        <v>00000000011111111111111111111111</v>
      </c>
      <c r="G55" s="8">
        <v>10</v>
      </c>
      <c r="H55" s="3" t="str">
        <f>VLOOKUP($G55,Overall!$K$5:$T$36,2)</f>
        <v>Overflow</v>
      </c>
      <c r="I55" s="3">
        <f ca="1">VLOOKUP($G55,Overall!$K$5:$T$36,10)</f>
        <v>-3.4028240748575767E+38</v>
      </c>
      <c r="J55" s="62" t="str">
        <f>VLOOKUP($G55,Overall!$K$5:$T$36,6)</f>
        <v>11111111100000000000000000000001</v>
      </c>
      <c r="K55" s="8">
        <f t="shared" ca="1" si="0"/>
        <v>-3.9999999999999432</v>
      </c>
      <c r="L55" s="62">
        <f>VLOOKUP($B55,Overall!$B$5:$I$13,8)</f>
        <v>1</v>
      </c>
      <c r="M55" s="58"/>
      <c r="N55" s="3" t="str">
        <f t="shared" si="1"/>
        <v/>
      </c>
      <c r="O55" s="3" t="str">
        <f t="shared" si="2"/>
        <v/>
      </c>
      <c r="P55" s="3" t="str">
        <f t="shared" si="3"/>
        <v/>
      </c>
      <c r="Q55" s="3">
        <f t="shared" si="4"/>
        <v>0</v>
      </c>
      <c r="R55" s="3">
        <f t="shared" si="5"/>
        <v>0</v>
      </c>
      <c r="S55" s="3" t="e" cm="1">
        <f t="array" aca="1" ref="S55" ca="1">SUMPRODUCT(MID($P55,ROW(INDIRECT("1:23")),1)*2^(-ROW(INDIRECT("1:23"))))</f>
        <v>#VALUE!</v>
      </c>
      <c r="T55" s="3" t="e">
        <f t="shared" ca="1" si="6"/>
        <v>#VALUE!</v>
      </c>
      <c r="U55" s="3" t="e">
        <f t="shared" ca="1" si="7"/>
        <v>#VALUE!</v>
      </c>
      <c r="V55" s="73"/>
      <c r="W55" s="9" t="str">
        <f t="shared" si="8"/>
        <v>NG</v>
      </c>
    </row>
    <row r="56" spans="1:23" x14ac:dyDescent="0.3">
      <c r="A56" s="44">
        <v>53</v>
      </c>
      <c r="B56" s="14">
        <v>2</v>
      </c>
      <c r="C56" s="4">
        <v>3</v>
      </c>
      <c r="D56" s="3" t="str">
        <f>VLOOKUP($C56,Overall!$K$5:$T$36,2)</f>
        <v>Underflow</v>
      </c>
      <c r="E56" s="3">
        <f ca="1">VLOOKUP($C56,Overall!$K$5:$T$36,10)</f>
        <v>1.1754942106924411E-38</v>
      </c>
      <c r="F56" s="9" t="str">
        <f>VLOOKUP($C56,Overall!$K$5:$T$36,6)</f>
        <v>00000000011111111111111111111111</v>
      </c>
      <c r="G56" s="8">
        <v>11</v>
      </c>
      <c r="H56" s="3" t="str">
        <f>VLOOKUP($G56,Overall!$K$5:$T$36,2)</f>
        <v>Overflow</v>
      </c>
      <c r="I56" s="3">
        <f ca="1">VLOOKUP($G56,Overall!$K$5:$T$36,10)</f>
        <v>-4.2535303978081149E+38</v>
      </c>
      <c r="J56" s="62" t="str">
        <f>VLOOKUP($G56,Overall!$K$5:$T$36,6)</f>
        <v>11111111101000000000000000000010</v>
      </c>
      <c r="K56" s="8">
        <f t="shared" ca="1" si="0"/>
        <v>-5.000000357627755</v>
      </c>
      <c r="L56" s="62">
        <f>VLOOKUP($B56,Overall!$B$5:$I$13,8)</f>
        <v>1</v>
      </c>
      <c r="M56" s="58"/>
      <c r="N56" s="3" t="str">
        <f t="shared" si="1"/>
        <v/>
      </c>
      <c r="O56" s="3" t="str">
        <f t="shared" si="2"/>
        <v/>
      </c>
      <c r="P56" s="3" t="str">
        <f t="shared" si="3"/>
        <v/>
      </c>
      <c r="Q56" s="3">
        <f t="shared" si="4"/>
        <v>0</v>
      </c>
      <c r="R56" s="3">
        <f t="shared" si="5"/>
        <v>0</v>
      </c>
      <c r="S56" s="3" t="e" cm="1">
        <f t="array" aca="1" ref="S56" ca="1">SUMPRODUCT(MID($P56,ROW(INDIRECT("1:23")),1)*2^(-ROW(INDIRECT("1:23"))))</f>
        <v>#VALUE!</v>
      </c>
      <c r="T56" s="3" t="e">
        <f t="shared" ca="1" si="6"/>
        <v>#VALUE!</v>
      </c>
      <c r="U56" s="3" t="e">
        <f t="shared" ca="1" si="7"/>
        <v>#VALUE!</v>
      </c>
      <c r="V56" s="73"/>
      <c r="W56" s="9" t="str">
        <f t="shared" si="8"/>
        <v>NG</v>
      </c>
    </row>
    <row r="57" spans="1:23" x14ac:dyDescent="0.3">
      <c r="A57" s="44">
        <v>54</v>
      </c>
      <c r="B57" s="14">
        <v>2</v>
      </c>
      <c r="C57" s="4">
        <v>3</v>
      </c>
      <c r="D57" s="3" t="str">
        <f>VLOOKUP($C57,Overall!$K$5:$T$36,2)</f>
        <v>Underflow</v>
      </c>
      <c r="E57" s="3">
        <f ca="1">VLOOKUP($C57,Overall!$K$5:$T$36,10)</f>
        <v>1.1754942106924411E-38</v>
      </c>
      <c r="F57" s="9" t="str">
        <f>VLOOKUP($C57,Overall!$K$5:$T$36,6)</f>
        <v>00000000011111111111111111111111</v>
      </c>
      <c r="G57" s="8">
        <v>12</v>
      </c>
      <c r="H57" s="3" t="str">
        <f>VLOOKUP($G57,Overall!$K$5:$T$36,2)</f>
        <v>Overflow</v>
      </c>
      <c r="I57" s="3">
        <f ca="1">VLOOKUP($G57,Overall!$K$5:$T$36,10)</f>
        <v>-6.8056469327705772E+38</v>
      </c>
      <c r="J57" s="62" t="str">
        <f>VLOOKUP($G57,Overall!$K$5:$T$36,6)</f>
        <v>11111111111111111111111111111111</v>
      </c>
      <c r="K57" s="8">
        <f t="shared" ca="1" si="0"/>
        <v>-7.9999985694885822</v>
      </c>
      <c r="L57" s="62">
        <f>VLOOKUP($B57,Overall!$B$5:$I$13,8)</f>
        <v>1</v>
      </c>
      <c r="M57" s="58"/>
      <c r="N57" s="3" t="str">
        <f t="shared" si="1"/>
        <v/>
      </c>
      <c r="O57" s="3" t="str">
        <f t="shared" si="2"/>
        <v/>
      </c>
      <c r="P57" s="3" t="str">
        <f t="shared" si="3"/>
        <v/>
      </c>
      <c r="Q57" s="3">
        <f t="shared" si="4"/>
        <v>0</v>
      </c>
      <c r="R57" s="3">
        <f t="shared" si="5"/>
        <v>0</v>
      </c>
      <c r="S57" s="3" t="e" cm="1">
        <f t="array" aca="1" ref="S57" ca="1">SUMPRODUCT(MID($P57,ROW(INDIRECT("1:23")),1)*2^(-ROW(INDIRECT("1:23"))))</f>
        <v>#VALUE!</v>
      </c>
      <c r="T57" s="3" t="e">
        <f t="shared" ca="1" si="6"/>
        <v>#VALUE!</v>
      </c>
      <c r="U57" s="3" t="e">
        <f t="shared" ca="1" si="7"/>
        <v>#VALUE!</v>
      </c>
      <c r="V57" s="73"/>
      <c r="W57" s="9" t="str">
        <f t="shared" si="8"/>
        <v>NG</v>
      </c>
    </row>
    <row r="58" spans="1:23" x14ac:dyDescent="0.3">
      <c r="A58" s="44">
        <v>55</v>
      </c>
      <c r="B58" s="14">
        <v>2</v>
      </c>
      <c r="C58" s="4">
        <v>4</v>
      </c>
      <c r="D58" s="3" t="str">
        <f>VLOOKUP($C58,Overall!$K$5:$T$36,2)</f>
        <v>Underflow</v>
      </c>
      <c r="E58" s="3">
        <f ca="1">VLOOKUP($C58,Overall!$K$5:$T$36,10)</f>
        <v>-1.4012984643248171E-45</v>
      </c>
      <c r="F58" s="9" t="str">
        <f>VLOOKUP($C58,Overall!$K$5:$T$36,6)</f>
        <v>10000000000000000000000000000001</v>
      </c>
      <c r="G58" s="8">
        <v>7</v>
      </c>
      <c r="H58" s="3" t="str">
        <f>VLOOKUP($G58,Overall!$K$5:$T$36,2)</f>
        <v>Overflow</v>
      </c>
      <c r="I58" s="3">
        <f ca="1">VLOOKUP($G58,Overall!$K$5:$T$36,10)</f>
        <v>3.4028240748575767E+38</v>
      </c>
      <c r="J58" s="62" t="str">
        <f>VLOOKUP($G58,Overall!$K$5:$T$36,6)</f>
        <v>01111111100000000000000000000001</v>
      </c>
      <c r="K58" s="8">
        <f t="shared" ca="1" si="0"/>
        <v>-4.7683721504654386E-7</v>
      </c>
      <c r="L58" s="62">
        <f>VLOOKUP($B58,Overall!$B$5:$I$13,8)</f>
        <v>1</v>
      </c>
      <c r="M58" s="58"/>
      <c r="N58" s="3" t="str">
        <f t="shared" si="1"/>
        <v/>
      </c>
      <c r="O58" s="3" t="str">
        <f t="shared" si="2"/>
        <v/>
      </c>
      <c r="P58" s="3" t="str">
        <f t="shared" si="3"/>
        <v/>
      </c>
      <c r="Q58" s="3">
        <f t="shared" si="4"/>
        <v>0</v>
      </c>
      <c r="R58" s="3">
        <f t="shared" si="5"/>
        <v>0</v>
      </c>
      <c r="S58" s="3" t="e" cm="1">
        <f t="array" aca="1" ref="S58" ca="1">SUMPRODUCT(MID($P58,ROW(INDIRECT("1:23")),1)*2^(-ROW(INDIRECT("1:23"))))</f>
        <v>#VALUE!</v>
      </c>
      <c r="T58" s="3" t="e">
        <f t="shared" ca="1" si="6"/>
        <v>#VALUE!</v>
      </c>
      <c r="U58" s="3" t="e">
        <f t="shared" ca="1" si="7"/>
        <v>#VALUE!</v>
      </c>
      <c r="V58" s="73"/>
      <c r="W58" s="9" t="str">
        <f t="shared" si="8"/>
        <v>NG</v>
      </c>
    </row>
    <row r="59" spans="1:23" x14ac:dyDescent="0.3">
      <c r="A59" s="44">
        <v>56</v>
      </c>
      <c r="B59" s="14">
        <v>2</v>
      </c>
      <c r="C59" s="4">
        <v>4</v>
      </c>
      <c r="D59" s="3" t="str">
        <f>VLOOKUP($C59,Overall!$K$5:$T$36,2)</f>
        <v>Underflow</v>
      </c>
      <c r="E59" s="3">
        <f ca="1">VLOOKUP($C59,Overall!$K$5:$T$36,10)</f>
        <v>-1.4012984643248171E-45</v>
      </c>
      <c r="F59" s="9" t="str">
        <f>VLOOKUP($C59,Overall!$K$5:$T$36,6)</f>
        <v>10000000000000000000000000000001</v>
      </c>
      <c r="G59" s="8">
        <v>8</v>
      </c>
      <c r="H59" s="3" t="str">
        <f>VLOOKUP($G59,Overall!$K$5:$T$36,2)</f>
        <v>Overflow</v>
      </c>
      <c r="I59" s="3">
        <f ca="1">VLOOKUP($G59,Overall!$K$5:$T$36,10)</f>
        <v>4.2535303978081149E+38</v>
      </c>
      <c r="J59" s="62" t="str">
        <f>VLOOKUP($G59,Overall!$K$5:$T$36,6)</f>
        <v>01111111101000000000000000000010</v>
      </c>
      <c r="K59" s="8">
        <f t="shared" ca="1" si="0"/>
        <v>-5.9604656144074397E-7</v>
      </c>
      <c r="L59" s="62">
        <f>VLOOKUP($B59,Overall!$B$5:$I$13,8)</f>
        <v>1</v>
      </c>
      <c r="M59" s="58"/>
      <c r="N59" s="3" t="str">
        <f t="shared" si="1"/>
        <v/>
      </c>
      <c r="O59" s="3" t="str">
        <f t="shared" si="2"/>
        <v/>
      </c>
      <c r="P59" s="3" t="str">
        <f t="shared" si="3"/>
        <v/>
      </c>
      <c r="Q59" s="3">
        <f t="shared" si="4"/>
        <v>0</v>
      </c>
      <c r="R59" s="3">
        <f t="shared" si="5"/>
        <v>0</v>
      </c>
      <c r="S59" s="3" t="e" cm="1">
        <f t="array" aca="1" ref="S59" ca="1">SUMPRODUCT(MID($P59,ROW(INDIRECT("1:23")),1)*2^(-ROW(INDIRECT("1:23"))))</f>
        <v>#VALUE!</v>
      </c>
      <c r="T59" s="3" t="e">
        <f t="shared" ca="1" si="6"/>
        <v>#VALUE!</v>
      </c>
      <c r="U59" s="3" t="e">
        <f t="shared" ca="1" si="7"/>
        <v>#VALUE!</v>
      </c>
      <c r="V59" s="73"/>
      <c r="W59" s="9" t="str">
        <f t="shared" si="8"/>
        <v>NG</v>
      </c>
    </row>
    <row r="60" spans="1:23" x14ac:dyDescent="0.3">
      <c r="A60" s="44">
        <v>57</v>
      </c>
      <c r="B60" s="14">
        <v>2</v>
      </c>
      <c r="C60" s="4">
        <v>4</v>
      </c>
      <c r="D60" s="3" t="str">
        <f>VLOOKUP($C60,Overall!$K$5:$T$36,2)</f>
        <v>Underflow</v>
      </c>
      <c r="E60" s="3">
        <f ca="1">VLOOKUP($C60,Overall!$K$5:$T$36,10)</f>
        <v>-1.4012984643248171E-45</v>
      </c>
      <c r="F60" s="9" t="str">
        <f>VLOOKUP($C60,Overall!$K$5:$T$36,6)</f>
        <v>10000000000000000000000000000001</v>
      </c>
      <c r="G60" s="8">
        <v>9</v>
      </c>
      <c r="H60" s="3" t="str">
        <f>VLOOKUP($G60,Overall!$K$5:$T$36,2)</f>
        <v>Overflow</v>
      </c>
      <c r="I60" s="3">
        <f ca="1">VLOOKUP($G60,Overall!$K$5:$T$36,10)</f>
        <v>6.8056469327705772E+38</v>
      </c>
      <c r="J60" s="62" t="str">
        <f>VLOOKUP($G60,Overall!$K$5:$T$36,6)</f>
        <v>01111111111111111111111111111111</v>
      </c>
      <c r="K60" s="8">
        <f t="shared" ca="1" si="0"/>
        <v>-9.5367425956283114E-7</v>
      </c>
      <c r="L60" s="62">
        <f>VLOOKUP($B60,Overall!$B$5:$I$13,8)</f>
        <v>1</v>
      </c>
      <c r="M60" s="58"/>
      <c r="N60" s="3" t="str">
        <f t="shared" si="1"/>
        <v/>
      </c>
      <c r="O60" s="3" t="str">
        <f t="shared" si="2"/>
        <v/>
      </c>
      <c r="P60" s="3" t="str">
        <f t="shared" si="3"/>
        <v/>
      </c>
      <c r="Q60" s="3">
        <f t="shared" si="4"/>
        <v>0</v>
      </c>
      <c r="R60" s="3">
        <f t="shared" si="5"/>
        <v>0</v>
      </c>
      <c r="S60" s="3" t="e" cm="1">
        <f t="array" aca="1" ref="S60" ca="1">SUMPRODUCT(MID($P60,ROW(INDIRECT("1:23")),1)*2^(-ROW(INDIRECT("1:23"))))</f>
        <v>#VALUE!</v>
      </c>
      <c r="T60" s="3" t="e">
        <f t="shared" ca="1" si="6"/>
        <v>#VALUE!</v>
      </c>
      <c r="U60" s="3" t="e">
        <f t="shared" ca="1" si="7"/>
        <v>#VALUE!</v>
      </c>
      <c r="V60" s="73"/>
      <c r="W60" s="9" t="str">
        <f t="shared" si="8"/>
        <v>NG</v>
      </c>
    </row>
    <row r="61" spans="1:23" x14ac:dyDescent="0.3">
      <c r="A61" s="44">
        <v>58</v>
      </c>
      <c r="B61" s="14">
        <v>2</v>
      </c>
      <c r="C61" s="4">
        <v>4</v>
      </c>
      <c r="D61" s="3" t="str">
        <f>VLOOKUP($C61,Overall!$K$5:$T$36,2)</f>
        <v>Underflow</v>
      </c>
      <c r="E61" s="3">
        <f ca="1">VLOOKUP($C61,Overall!$K$5:$T$36,10)</f>
        <v>-1.4012984643248171E-45</v>
      </c>
      <c r="F61" s="9" t="str">
        <f>VLOOKUP($C61,Overall!$K$5:$T$36,6)</f>
        <v>10000000000000000000000000000001</v>
      </c>
      <c r="G61" s="8">
        <v>10</v>
      </c>
      <c r="H61" s="3" t="str">
        <f>VLOOKUP($G61,Overall!$K$5:$T$36,2)</f>
        <v>Overflow</v>
      </c>
      <c r="I61" s="3">
        <f ca="1">VLOOKUP($G61,Overall!$K$5:$T$36,10)</f>
        <v>-3.4028240748575767E+38</v>
      </c>
      <c r="J61" s="62" t="str">
        <f>VLOOKUP($G61,Overall!$K$5:$T$36,6)</f>
        <v>11111111100000000000000000000001</v>
      </c>
      <c r="K61" s="8">
        <f t="shared" ca="1" si="0"/>
        <v>4.7683721504654386E-7</v>
      </c>
      <c r="L61" s="62">
        <f>VLOOKUP($B61,Overall!$B$5:$I$13,8)</f>
        <v>1</v>
      </c>
      <c r="M61" s="58"/>
      <c r="N61" s="3" t="str">
        <f t="shared" si="1"/>
        <v/>
      </c>
      <c r="O61" s="3" t="str">
        <f t="shared" si="2"/>
        <v/>
      </c>
      <c r="P61" s="3" t="str">
        <f t="shared" si="3"/>
        <v/>
      </c>
      <c r="Q61" s="3">
        <f t="shared" si="4"/>
        <v>0</v>
      </c>
      <c r="R61" s="3">
        <f t="shared" si="5"/>
        <v>0</v>
      </c>
      <c r="S61" s="3" t="e" cm="1">
        <f t="array" aca="1" ref="S61" ca="1">SUMPRODUCT(MID($P61,ROW(INDIRECT("1:23")),1)*2^(-ROW(INDIRECT("1:23"))))</f>
        <v>#VALUE!</v>
      </c>
      <c r="T61" s="3" t="e">
        <f t="shared" ca="1" si="6"/>
        <v>#VALUE!</v>
      </c>
      <c r="U61" s="3" t="e">
        <f t="shared" ca="1" si="7"/>
        <v>#VALUE!</v>
      </c>
      <c r="V61" s="73"/>
      <c r="W61" s="9" t="str">
        <f t="shared" si="8"/>
        <v>NG</v>
      </c>
    </row>
    <row r="62" spans="1:23" x14ac:dyDescent="0.3">
      <c r="A62" s="44">
        <v>59</v>
      </c>
      <c r="B62" s="14">
        <v>2</v>
      </c>
      <c r="C62" s="4">
        <v>4</v>
      </c>
      <c r="D62" s="3" t="str">
        <f>VLOOKUP($C62,Overall!$K$5:$T$36,2)</f>
        <v>Underflow</v>
      </c>
      <c r="E62" s="3">
        <f ca="1">VLOOKUP($C62,Overall!$K$5:$T$36,10)</f>
        <v>-1.4012984643248171E-45</v>
      </c>
      <c r="F62" s="9" t="str">
        <f>VLOOKUP($C62,Overall!$K$5:$T$36,6)</f>
        <v>10000000000000000000000000000001</v>
      </c>
      <c r="G62" s="8">
        <v>11</v>
      </c>
      <c r="H62" s="3" t="str">
        <f>VLOOKUP($G62,Overall!$K$5:$T$36,2)</f>
        <v>Overflow</v>
      </c>
      <c r="I62" s="3">
        <f ca="1">VLOOKUP($G62,Overall!$K$5:$T$36,10)</f>
        <v>-4.2535303978081149E+38</v>
      </c>
      <c r="J62" s="62" t="str">
        <f>VLOOKUP($G62,Overall!$K$5:$T$36,6)</f>
        <v>11111111101000000000000000000010</v>
      </c>
      <c r="K62" s="8">
        <f t="shared" ca="1" si="0"/>
        <v>5.9604656144074397E-7</v>
      </c>
      <c r="L62" s="62">
        <f>VLOOKUP($B62,Overall!$B$5:$I$13,8)</f>
        <v>1</v>
      </c>
      <c r="M62" s="58"/>
      <c r="N62" s="3" t="str">
        <f t="shared" si="1"/>
        <v/>
      </c>
      <c r="O62" s="3" t="str">
        <f t="shared" si="2"/>
        <v/>
      </c>
      <c r="P62" s="3" t="str">
        <f t="shared" si="3"/>
        <v/>
      </c>
      <c r="Q62" s="3">
        <f t="shared" si="4"/>
        <v>0</v>
      </c>
      <c r="R62" s="3">
        <f t="shared" si="5"/>
        <v>0</v>
      </c>
      <c r="S62" s="3" t="e" cm="1">
        <f t="array" aca="1" ref="S62" ca="1">SUMPRODUCT(MID($P62,ROW(INDIRECT("1:23")),1)*2^(-ROW(INDIRECT("1:23"))))</f>
        <v>#VALUE!</v>
      </c>
      <c r="T62" s="3" t="e">
        <f t="shared" ca="1" si="6"/>
        <v>#VALUE!</v>
      </c>
      <c r="U62" s="3" t="e">
        <f t="shared" ca="1" si="7"/>
        <v>#VALUE!</v>
      </c>
      <c r="V62" s="73"/>
      <c r="W62" s="9" t="str">
        <f t="shared" si="8"/>
        <v>NG</v>
      </c>
    </row>
    <row r="63" spans="1:23" x14ac:dyDescent="0.3">
      <c r="A63" s="44">
        <v>60</v>
      </c>
      <c r="B63" s="14">
        <v>2</v>
      </c>
      <c r="C63" s="4">
        <v>4</v>
      </c>
      <c r="D63" s="3" t="str">
        <f>VLOOKUP($C63,Overall!$K$5:$T$36,2)</f>
        <v>Underflow</v>
      </c>
      <c r="E63" s="3">
        <f ca="1">VLOOKUP($C63,Overall!$K$5:$T$36,10)</f>
        <v>-1.4012984643248171E-45</v>
      </c>
      <c r="F63" s="9" t="str">
        <f>VLOOKUP($C63,Overall!$K$5:$T$36,6)</f>
        <v>10000000000000000000000000000001</v>
      </c>
      <c r="G63" s="8">
        <v>12</v>
      </c>
      <c r="H63" s="3" t="str">
        <f>VLOOKUP($G63,Overall!$K$5:$T$36,2)</f>
        <v>Overflow</v>
      </c>
      <c r="I63" s="3">
        <f ca="1">VLOOKUP($G63,Overall!$K$5:$T$36,10)</f>
        <v>-6.8056469327705772E+38</v>
      </c>
      <c r="J63" s="62" t="str">
        <f>VLOOKUP($G63,Overall!$K$5:$T$36,6)</f>
        <v>11111111111111111111111111111111</v>
      </c>
      <c r="K63" s="8">
        <f t="shared" ca="1" si="0"/>
        <v>9.5367425956283114E-7</v>
      </c>
      <c r="L63" s="62">
        <f>VLOOKUP($B63,Overall!$B$5:$I$13,8)</f>
        <v>1</v>
      </c>
      <c r="M63" s="58"/>
      <c r="N63" s="3" t="str">
        <f t="shared" si="1"/>
        <v/>
      </c>
      <c r="O63" s="3" t="str">
        <f t="shared" si="2"/>
        <v/>
      </c>
      <c r="P63" s="3" t="str">
        <f t="shared" si="3"/>
        <v/>
      </c>
      <c r="Q63" s="3">
        <f t="shared" si="4"/>
        <v>0</v>
      </c>
      <c r="R63" s="3">
        <f t="shared" si="5"/>
        <v>0</v>
      </c>
      <c r="S63" s="3" t="e" cm="1">
        <f t="array" aca="1" ref="S63" ca="1">SUMPRODUCT(MID($P63,ROW(INDIRECT("1:23")),1)*2^(-ROW(INDIRECT("1:23"))))</f>
        <v>#VALUE!</v>
      </c>
      <c r="T63" s="3" t="e">
        <f t="shared" ca="1" si="6"/>
        <v>#VALUE!</v>
      </c>
      <c r="U63" s="3" t="e">
        <f t="shared" ca="1" si="7"/>
        <v>#VALUE!</v>
      </c>
      <c r="V63" s="73"/>
      <c r="W63" s="9" t="str">
        <f t="shared" si="8"/>
        <v>NG</v>
      </c>
    </row>
    <row r="64" spans="1:23" x14ac:dyDescent="0.3">
      <c r="A64" s="44">
        <v>61</v>
      </c>
      <c r="B64" s="14">
        <v>2</v>
      </c>
      <c r="C64" s="4">
        <v>5</v>
      </c>
      <c r="D64" s="3" t="str">
        <f>VLOOKUP($C64,Overall!$K$5:$T$36,2)</f>
        <v>Underflow</v>
      </c>
      <c r="E64" s="3">
        <f ca="1">VLOOKUP($C64,Overall!$K$5:$T$36,10)</f>
        <v>-2.9387386796526474E-39</v>
      </c>
      <c r="F64" s="9" t="str">
        <f>VLOOKUP($C64,Overall!$K$5:$T$36,6)</f>
        <v>10000000001000000000000000000010</v>
      </c>
      <c r="G64" s="8">
        <v>7</v>
      </c>
      <c r="H64" s="3" t="str">
        <f>VLOOKUP($G64,Overall!$K$5:$T$36,2)</f>
        <v>Overflow</v>
      </c>
      <c r="I64" s="3">
        <f ca="1">VLOOKUP($G64,Overall!$K$5:$T$36,10)</f>
        <v>3.4028240748575767E+38</v>
      </c>
      <c r="J64" s="62" t="str">
        <f>VLOOKUP($G64,Overall!$K$5:$T$36,6)</f>
        <v>01111111100000000000000000000001</v>
      </c>
      <c r="K64" s="8">
        <f t="shared" ca="1" si="0"/>
        <v>-1.0000010728837196</v>
      </c>
      <c r="L64" s="62">
        <f>VLOOKUP($B64,Overall!$B$5:$I$13,8)</f>
        <v>1</v>
      </c>
      <c r="M64" s="58"/>
      <c r="N64" s="3" t="str">
        <f t="shared" si="1"/>
        <v/>
      </c>
      <c r="O64" s="3" t="str">
        <f t="shared" si="2"/>
        <v/>
      </c>
      <c r="P64" s="3" t="str">
        <f t="shared" si="3"/>
        <v/>
      </c>
      <c r="Q64" s="3">
        <f t="shared" si="4"/>
        <v>0</v>
      </c>
      <c r="R64" s="3">
        <f t="shared" si="5"/>
        <v>0</v>
      </c>
      <c r="S64" s="3" t="e" cm="1">
        <f t="array" aca="1" ref="S64" ca="1">SUMPRODUCT(MID($P64,ROW(INDIRECT("1:23")),1)*2^(-ROW(INDIRECT("1:23"))))</f>
        <v>#VALUE!</v>
      </c>
      <c r="T64" s="3" t="e">
        <f t="shared" ca="1" si="6"/>
        <v>#VALUE!</v>
      </c>
      <c r="U64" s="3" t="e">
        <f t="shared" ca="1" si="7"/>
        <v>#VALUE!</v>
      </c>
      <c r="V64" s="73"/>
      <c r="W64" s="9" t="str">
        <f t="shared" si="8"/>
        <v>NG</v>
      </c>
    </row>
    <row r="65" spans="1:23" x14ac:dyDescent="0.3">
      <c r="A65" s="44">
        <v>62</v>
      </c>
      <c r="B65" s="14">
        <v>2</v>
      </c>
      <c r="C65" s="4">
        <v>5</v>
      </c>
      <c r="D65" s="3" t="str">
        <f>VLOOKUP($C65,Overall!$K$5:$T$36,2)</f>
        <v>Underflow</v>
      </c>
      <c r="E65" s="3">
        <f ca="1">VLOOKUP($C65,Overall!$K$5:$T$36,10)</f>
        <v>-2.9387386796526474E-39</v>
      </c>
      <c r="F65" s="9" t="str">
        <f>VLOOKUP($C65,Overall!$K$5:$T$36,6)</f>
        <v>10000000001000000000000000000010</v>
      </c>
      <c r="G65" s="8">
        <v>8</v>
      </c>
      <c r="H65" s="3" t="str">
        <f>VLOOKUP($G65,Overall!$K$5:$T$36,2)</f>
        <v>Overflow</v>
      </c>
      <c r="I65" s="3">
        <f ca="1">VLOOKUP($G65,Overall!$K$5:$T$36,10)</f>
        <v>4.2535303978081149E+38</v>
      </c>
      <c r="J65" s="62" t="str">
        <f>VLOOKUP($G65,Overall!$K$5:$T$36,6)</f>
        <v>01111111101000000000000000000010</v>
      </c>
      <c r="K65" s="8">
        <f t="shared" ca="1" si="0"/>
        <v>-1.250001430511702</v>
      </c>
      <c r="L65" s="62">
        <f>VLOOKUP($B65,Overall!$B$5:$I$13,8)</f>
        <v>1</v>
      </c>
      <c r="M65" s="58"/>
      <c r="N65" s="3" t="str">
        <f t="shared" si="1"/>
        <v/>
      </c>
      <c r="O65" s="3" t="str">
        <f t="shared" si="2"/>
        <v/>
      </c>
      <c r="P65" s="3" t="str">
        <f t="shared" si="3"/>
        <v/>
      </c>
      <c r="Q65" s="3">
        <f t="shared" si="4"/>
        <v>0</v>
      </c>
      <c r="R65" s="3">
        <f t="shared" si="5"/>
        <v>0</v>
      </c>
      <c r="S65" s="3" t="e" cm="1">
        <f t="array" aca="1" ref="S65" ca="1">SUMPRODUCT(MID($P65,ROW(INDIRECT("1:23")),1)*2^(-ROW(INDIRECT("1:23"))))</f>
        <v>#VALUE!</v>
      </c>
      <c r="T65" s="3" t="e">
        <f t="shared" ca="1" si="6"/>
        <v>#VALUE!</v>
      </c>
      <c r="U65" s="3" t="e">
        <f t="shared" ca="1" si="7"/>
        <v>#VALUE!</v>
      </c>
      <c r="V65" s="73"/>
      <c r="W65" s="9" t="str">
        <f t="shared" si="8"/>
        <v>NG</v>
      </c>
    </row>
    <row r="66" spans="1:23" x14ac:dyDescent="0.3">
      <c r="A66" s="44">
        <v>63</v>
      </c>
      <c r="B66" s="14">
        <v>2</v>
      </c>
      <c r="C66" s="4">
        <v>5</v>
      </c>
      <c r="D66" s="3" t="str">
        <f>VLOOKUP($C66,Overall!$K$5:$T$36,2)</f>
        <v>Underflow</v>
      </c>
      <c r="E66" s="3">
        <f ca="1">VLOOKUP($C66,Overall!$K$5:$T$36,10)</f>
        <v>-2.9387386796526474E-39</v>
      </c>
      <c r="F66" s="9" t="str">
        <f>VLOOKUP($C66,Overall!$K$5:$T$36,6)</f>
        <v>10000000001000000000000000000010</v>
      </c>
      <c r="G66" s="8">
        <v>9</v>
      </c>
      <c r="H66" s="3" t="str">
        <f>VLOOKUP($G66,Overall!$K$5:$T$36,2)</f>
        <v>Overflow</v>
      </c>
      <c r="I66" s="3">
        <f ca="1">VLOOKUP($G66,Overall!$K$5:$T$36,10)</f>
        <v>6.8056469327705772E+38</v>
      </c>
      <c r="J66" s="62" t="str">
        <f>VLOOKUP($G66,Overall!$K$5:$T$36,6)</f>
        <v>01111111111111111111111111111111</v>
      </c>
      <c r="K66" s="8">
        <f t="shared" ca="1" si="0"/>
        <v>-2.0000017881392296</v>
      </c>
      <c r="L66" s="62">
        <f>VLOOKUP($B66,Overall!$B$5:$I$13,8)</f>
        <v>1</v>
      </c>
      <c r="M66" s="58"/>
      <c r="N66" s="3" t="str">
        <f t="shared" si="1"/>
        <v/>
      </c>
      <c r="O66" s="3" t="str">
        <f t="shared" si="2"/>
        <v/>
      </c>
      <c r="P66" s="3" t="str">
        <f t="shared" si="3"/>
        <v/>
      </c>
      <c r="Q66" s="3">
        <f t="shared" si="4"/>
        <v>0</v>
      </c>
      <c r="R66" s="3">
        <f t="shared" si="5"/>
        <v>0</v>
      </c>
      <c r="S66" s="3" t="e" cm="1">
        <f t="array" aca="1" ref="S66" ca="1">SUMPRODUCT(MID($P66,ROW(INDIRECT("1:23")),1)*2^(-ROW(INDIRECT("1:23"))))</f>
        <v>#VALUE!</v>
      </c>
      <c r="T66" s="3" t="e">
        <f t="shared" ca="1" si="6"/>
        <v>#VALUE!</v>
      </c>
      <c r="U66" s="3" t="e">
        <f t="shared" ca="1" si="7"/>
        <v>#VALUE!</v>
      </c>
      <c r="V66" s="73"/>
      <c r="W66" s="9" t="str">
        <f t="shared" si="8"/>
        <v>NG</v>
      </c>
    </row>
    <row r="67" spans="1:23" x14ac:dyDescent="0.3">
      <c r="A67" s="44">
        <v>64</v>
      </c>
      <c r="B67" s="14">
        <v>2</v>
      </c>
      <c r="C67" s="4">
        <v>5</v>
      </c>
      <c r="D67" s="3" t="str">
        <f>VLOOKUP($C67,Overall!$K$5:$T$36,2)</f>
        <v>Underflow</v>
      </c>
      <c r="E67" s="3">
        <f ca="1">VLOOKUP($C67,Overall!$K$5:$T$36,10)</f>
        <v>-2.9387386796526474E-39</v>
      </c>
      <c r="F67" s="9" t="str">
        <f>VLOOKUP($C67,Overall!$K$5:$T$36,6)</f>
        <v>10000000001000000000000000000010</v>
      </c>
      <c r="G67" s="8">
        <v>10</v>
      </c>
      <c r="H67" s="3" t="str">
        <f>VLOOKUP($G67,Overall!$K$5:$T$36,2)</f>
        <v>Overflow</v>
      </c>
      <c r="I67" s="3">
        <f ca="1">VLOOKUP($G67,Overall!$K$5:$T$36,10)</f>
        <v>-3.4028240748575767E+38</v>
      </c>
      <c r="J67" s="62" t="str">
        <f>VLOOKUP($G67,Overall!$K$5:$T$36,6)</f>
        <v>11111111100000000000000000000001</v>
      </c>
      <c r="K67" s="8">
        <f t="shared" ca="1" si="0"/>
        <v>1.0000010728837196</v>
      </c>
      <c r="L67" s="62">
        <f>VLOOKUP($B67,Overall!$B$5:$I$13,8)</f>
        <v>1</v>
      </c>
      <c r="M67" s="58"/>
      <c r="N67" s="3" t="str">
        <f t="shared" si="1"/>
        <v/>
      </c>
      <c r="O67" s="3" t="str">
        <f t="shared" si="2"/>
        <v/>
      </c>
      <c r="P67" s="3" t="str">
        <f t="shared" si="3"/>
        <v/>
      </c>
      <c r="Q67" s="3">
        <f t="shared" si="4"/>
        <v>0</v>
      </c>
      <c r="R67" s="3">
        <f t="shared" si="5"/>
        <v>0</v>
      </c>
      <c r="S67" s="3" t="e" cm="1">
        <f t="array" aca="1" ref="S67" ca="1">SUMPRODUCT(MID($P67,ROW(INDIRECT("1:23")),1)*2^(-ROW(INDIRECT("1:23"))))</f>
        <v>#VALUE!</v>
      </c>
      <c r="T67" s="3" t="e">
        <f t="shared" ca="1" si="6"/>
        <v>#VALUE!</v>
      </c>
      <c r="U67" s="3" t="e">
        <f t="shared" ca="1" si="7"/>
        <v>#VALUE!</v>
      </c>
      <c r="V67" s="73"/>
      <c r="W67" s="9" t="str">
        <f t="shared" si="8"/>
        <v>NG</v>
      </c>
    </row>
    <row r="68" spans="1:23" x14ac:dyDescent="0.3">
      <c r="A68" s="44">
        <v>65</v>
      </c>
      <c r="B68" s="14">
        <v>2</v>
      </c>
      <c r="C68" s="4">
        <v>5</v>
      </c>
      <c r="D68" s="3" t="str">
        <f>VLOOKUP($C68,Overall!$K$5:$T$36,2)</f>
        <v>Underflow</v>
      </c>
      <c r="E68" s="3">
        <f ca="1">VLOOKUP($C68,Overall!$K$5:$T$36,10)</f>
        <v>-2.9387386796526474E-39</v>
      </c>
      <c r="F68" s="9" t="str">
        <f>VLOOKUP($C68,Overall!$K$5:$T$36,6)</f>
        <v>10000000001000000000000000000010</v>
      </c>
      <c r="G68" s="8">
        <v>11</v>
      </c>
      <c r="H68" s="3" t="str">
        <f>VLOOKUP($G68,Overall!$K$5:$T$36,2)</f>
        <v>Overflow</v>
      </c>
      <c r="I68" s="3">
        <f ca="1">VLOOKUP($G68,Overall!$K$5:$T$36,10)</f>
        <v>-4.2535303978081149E+38</v>
      </c>
      <c r="J68" s="62" t="str">
        <f>VLOOKUP($G68,Overall!$K$5:$T$36,6)</f>
        <v>11111111101000000000000000000010</v>
      </c>
      <c r="K68" s="8">
        <f t="shared" ca="1" si="0"/>
        <v>1.250001430511702</v>
      </c>
      <c r="L68" s="62">
        <f>VLOOKUP($B68,Overall!$B$5:$I$13,8)</f>
        <v>1</v>
      </c>
      <c r="M68" s="58"/>
      <c r="N68" s="3" t="str">
        <f t="shared" si="1"/>
        <v/>
      </c>
      <c r="O68" s="3" t="str">
        <f t="shared" si="2"/>
        <v/>
      </c>
      <c r="P68" s="3" t="str">
        <f t="shared" si="3"/>
        <v/>
      </c>
      <c r="Q68" s="3">
        <f t="shared" si="4"/>
        <v>0</v>
      </c>
      <c r="R68" s="3">
        <f t="shared" si="5"/>
        <v>0</v>
      </c>
      <c r="S68" s="3" t="e" cm="1">
        <f t="array" aca="1" ref="S68" ca="1">SUMPRODUCT(MID($P68,ROW(INDIRECT("1:23")),1)*2^(-ROW(INDIRECT("1:23"))))</f>
        <v>#VALUE!</v>
      </c>
      <c r="T68" s="3" t="e">
        <f t="shared" ca="1" si="6"/>
        <v>#VALUE!</v>
      </c>
      <c r="U68" s="3" t="e">
        <f t="shared" ca="1" si="7"/>
        <v>#VALUE!</v>
      </c>
      <c r="V68" s="73"/>
      <c r="W68" s="9" t="str">
        <f t="shared" si="8"/>
        <v>NG</v>
      </c>
    </row>
    <row r="69" spans="1:23" x14ac:dyDescent="0.3">
      <c r="A69" s="44">
        <v>66</v>
      </c>
      <c r="B69" s="14">
        <v>2</v>
      </c>
      <c r="C69" s="4">
        <v>5</v>
      </c>
      <c r="D69" s="3" t="str">
        <f>VLOOKUP($C69,Overall!$K$5:$T$36,2)</f>
        <v>Underflow</v>
      </c>
      <c r="E69" s="3">
        <f ca="1">VLOOKUP($C69,Overall!$K$5:$T$36,10)</f>
        <v>-2.9387386796526474E-39</v>
      </c>
      <c r="F69" s="9" t="str">
        <f>VLOOKUP($C69,Overall!$K$5:$T$36,6)</f>
        <v>10000000001000000000000000000010</v>
      </c>
      <c r="G69" s="8">
        <v>12</v>
      </c>
      <c r="H69" s="3" t="str">
        <f>VLOOKUP($G69,Overall!$K$5:$T$36,2)</f>
        <v>Overflow</v>
      </c>
      <c r="I69" s="3">
        <f ca="1">VLOOKUP($G69,Overall!$K$5:$T$36,10)</f>
        <v>-6.8056469327705772E+38</v>
      </c>
      <c r="J69" s="62" t="str">
        <f>VLOOKUP($G69,Overall!$K$5:$T$36,6)</f>
        <v>11111111111111111111111111111111</v>
      </c>
      <c r="K69" s="8">
        <f t="shared" ref="K69:K132" ca="1" si="9">E69*I69</f>
        <v>2.0000017881392296</v>
      </c>
      <c r="L69" s="62">
        <f>VLOOKUP($B69,Overall!$B$5:$I$13,8)</f>
        <v>1</v>
      </c>
      <c r="M69" s="58"/>
      <c r="N69" s="3" t="str">
        <f t="shared" ref="N69:N132" si="10">LEFT($M69,1)</f>
        <v/>
      </c>
      <c r="O69" s="3" t="str">
        <f t="shared" ref="O69:O132" si="11">MID($M69,2,8)</f>
        <v/>
      </c>
      <c r="P69" s="3" t="str">
        <f t="shared" ref="P69:P132" si="12">MID($M69,10,23)</f>
        <v/>
      </c>
      <c r="Q69" s="3">
        <f t="shared" ref="Q69:Q132" si="13">BIN2DEC($N69)</f>
        <v>0</v>
      </c>
      <c r="R69" s="3">
        <f t="shared" ref="R69:R132" si="14">BIN2DEC($O69)</f>
        <v>0</v>
      </c>
      <c r="S69" s="3" t="e" cm="1">
        <f t="array" aca="1" ref="S69" ca="1">SUMPRODUCT(MID($P69,ROW(INDIRECT("1:23")),1)*2^(-ROW(INDIRECT("1:23"))))</f>
        <v>#VALUE!</v>
      </c>
      <c r="T69" s="3" t="e">
        <f t="shared" ref="T69:T132" ca="1" si="15">IF($R69=0,
   (-1)^$Q69 * $S69 * 2^(-126),
   (-1)^$Q69 * (1 + $S69) * 2^($R69 - 127)
)</f>
        <v>#VALUE!</v>
      </c>
      <c r="U69" s="3" t="e">
        <f t="shared" ref="U69:U132" ca="1" si="16">$T69-$K69</f>
        <v>#VALUE!</v>
      </c>
      <c r="V69" s="73"/>
      <c r="W69" s="9" t="str">
        <f t="shared" ref="W69:W132" si="17">IF(L69=V69,"OK","NG")</f>
        <v>NG</v>
      </c>
    </row>
    <row r="70" spans="1:23" x14ac:dyDescent="0.3">
      <c r="A70" s="44">
        <v>67</v>
      </c>
      <c r="B70" s="14">
        <v>2</v>
      </c>
      <c r="C70" s="4">
        <v>6</v>
      </c>
      <c r="D70" s="3" t="str">
        <f>VLOOKUP($C70,Overall!$K$5:$T$36,2)</f>
        <v>Underflow</v>
      </c>
      <c r="E70" s="3">
        <f ca="1">VLOOKUP($C70,Overall!$K$5:$T$36,10)</f>
        <v>-1.1754942106924411E-38</v>
      </c>
      <c r="F70" s="9" t="str">
        <f>VLOOKUP($C70,Overall!$K$5:$T$36,6)</f>
        <v>10000000011111111111111111111111</v>
      </c>
      <c r="G70" s="8">
        <v>7</v>
      </c>
      <c r="H70" s="3" t="str">
        <f>VLOOKUP($G70,Overall!$K$5:$T$36,2)</f>
        <v>Overflow</v>
      </c>
      <c r="I70" s="3">
        <f ca="1">VLOOKUP($G70,Overall!$K$5:$T$36,10)</f>
        <v>3.4028240748575767E+38</v>
      </c>
      <c r="J70" s="62" t="str">
        <f>VLOOKUP($G70,Overall!$K$5:$T$36,6)</f>
        <v>01111111100000000000000000000001</v>
      </c>
      <c r="K70" s="8">
        <f t="shared" ca="1" si="9"/>
        <v>-3.9999999999999432</v>
      </c>
      <c r="L70" s="62">
        <f>VLOOKUP($B70,Overall!$B$5:$I$13,8)</f>
        <v>1</v>
      </c>
      <c r="M70" s="58"/>
      <c r="N70" s="3" t="str">
        <f t="shared" si="10"/>
        <v/>
      </c>
      <c r="O70" s="3" t="str">
        <f t="shared" si="11"/>
        <v/>
      </c>
      <c r="P70" s="3" t="str">
        <f t="shared" si="12"/>
        <v/>
      </c>
      <c r="Q70" s="3">
        <f t="shared" si="13"/>
        <v>0</v>
      </c>
      <c r="R70" s="3">
        <f t="shared" si="14"/>
        <v>0</v>
      </c>
      <c r="S70" s="3" t="e" cm="1">
        <f t="array" aca="1" ref="S70" ca="1">SUMPRODUCT(MID($P70,ROW(INDIRECT("1:23")),1)*2^(-ROW(INDIRECT("1:23"))))</f>
        <v>#VALUE!</v>
      </c>
      <c r="T70" s="3" t="e">
        <f t="shared" ca="1" si="15"/>
        <v>#VALUE!</v>
      </c>
      <c r="U70" s="3" t="e">
        <f t="shared" ca="1" si="16"/>
        <v>#VALUE!</v>
      </c>
      <c r="V70" s="73"/>
      <c r="W70" s="9" t="str">
        <f t="shared" si="17"/>
        <v>NG</v>
      </c>
    </row>
    <row r="71" spans="1:23" x14ac:dyDescent="0.3">
      <c r="A71" s="44">
        <v>68</v>
      </c>
      <c r="B71" s="14">
        <v>2</v>
      </c>
      <c r="C71" s="4">
        <v>6</v>
      </c>
      <c r="D71" s="3" t="str">
        <f>VLOOKUP($C71,Overall!$K$5:$T$36,2)</f>
        <v>Underflow</v>
      </c>
      <c r="E71" s="3">
        <f ca="1">VLOOKUP($C71,Overall!$K$5:$T$36,10)</f>
        <v>-1.1754942106924411E-38</v>
      </c>
      <c r="F71" s="9" t="str">
        <f>VLOOKUP($C71,Overall!$K$5:$T$36,6)</f>
        <v>10000000011111111111111111111111</v>
      </c>
      <c r="G71" s="8">
        <v>8</v>
      </c>
      <c r="H71" s="3" t="str">
        <f>VLOOKUP($G71,Overall!$K$5:$T$36,2)</f>
        <v>Overflow</v>
      </c>
      <c r="I71" s="3">
        <f ca="1">VLOOKUP($G71,Overall!$K$5:$T$36,10)</f>
        <v>4.2535303978081149E+38</v>
      </c>
      <c r="J71" s="62" t="str">
        <f>VLOOKUP($G71,Overall!$K$5:$T$36,6)</f>
        <v>01111111101000000000000000000010</v>
      </c>
      <c r="K71" s="8">
        <f t="shared" ca="1" si="9"/>
        <v>-5.000000357627755</v>
      </c>
      <c r="L71" s="62">
        <f>VLOOKUP($B71,Overall!$B$5:$I$13,8)</f>
        <v>1</v>
      </c>
      <c r="M71" s="58"/>
      <c r="N71" s="3" t="str">
        <f t="shared" si="10"/>
        <v/>
      </c>
      <c r="O71" s="3" t="str">
        <f t="shared" si="11"/>
        <v/>
      </c>
      <c r="P71" s="3" t="str">
        <f t="shared" si="12"/>
        <v/>
      </c>
      <c r="Q71" s="3">
        <f t="shared" si="13"/>
        <v>0</v>
      </c>
      <c r="R71" s="3">
        <f t="shared" si="14"/>
        <v>0</v>
      </c>
      <c r="S71" s="3" t="e" cm="1">
        <f t="array" aca="1" ref="S71" ca="1">SUMPRODUCT(MID($P71,ROW(INDIRECT("1:23")),1)*2^(-ROW(INDIRECT("1:23"))))</f>
        <v>#VALUE!</v>
      </c>
      <c r="T71" s="3" t="e">
        <f t="shared" ca="1" si="15"/>
        <v>#VALUE!</v>
      </c>
      <c r="U71" s="3" t="e">
        <f t="shared" ca="1" si="16"/>
        <v>#VALUE!</v>
      </c>
      <c r="V71" s="73"/>
      <c r="W71" s="9" t="str">
        <f t="shared" si="17"/>
        <v>NG</v>
      </c>
    </row>
    <row r="72" spans="1:23" x14ac:dyDescent="0.3">
      <c r="A72" s="44">
        <v>69</v>
      </c>
      <c r="B72" s="14">
        <v>2</v>
      </c>
      <c r="C72" s="4">
        <v>6</v>
      </c>
      <c r="D72" s="3" t="str">
        <f>VLOOKUP($C72,Overall!$K$5:$T$36,2)</f>
        <v>Underflow</v>
      </c>
      <c r="E72" s="3">
        <f ca="1">VLOOKUP($C72,Overall!$K$5:$T$36,10)</f>
        <v>-1.1754942106924411E-38</v>
      </c>
      <c r="F72" s="9" t="str">
        <f>VLOOKUP($C72,Overall!$K$5:$T$36,6)</f>
        <v>10000000011111111111111111111111</v>
      </c>
      <c r="G72" s="8">
        <v>9</v>
      </c>
      <c r="H72" s="3" t="str">
        <f>VLOOKUP($G72,Overall!$K$5:$T$36,2)</f>
        <v>Overflow</v>
      </c>
      <c r="I72" s="3">
        <f ca="1">VLOOKUP($G72,Overall!$K$5:$T$36,10)</f>
        <v>6.8056469327705772E+38</v>
      </c>
      <c r="J72" s="62" t="str">
        <f>VLOOKUP($G72,Overall!$K$5:$T$36,6)</f>
        <v>01111111111111111111111111111111</v>
      </c>
      <c r="K72" s="8">
        <f t="shared" ca="1" si="9"/>
        <v>-7.9999985694885822</v>
      </c>
      <c r="L72" s="62">
        <f>VLOOKUP($B72,Overall!$B$5:$I$13,8)</f>
        <v>1</v>
      </c>
      <c r="M72" s="58"/>
      <c r="N72" s="3" t="str">
        <f t="shared" si="10"/>
        <v/>
      </c>
      <c r="O72" s="3" t="str">
        <f t="shared" si="11"/>
        <v/>
      </c>
      <c r="P72" s="3" t="str">
        <f t="shared" si="12"/>
        <v/>
      </c>
      <c r="Q72" s="3">
        <f t="shared" si="13"/>
        <v>0</v>
      </c>
      <c r="R72" s="3">
        <f t="shared" si="14"/>
        <v>0</v>
      </c>
      <c r="S72" s="3" t="e" cm="1">
        <f t="array" aca="1" ref="S72" ca="1">SUMPRODUCT(MID($P72,ROW(INDIRECT("1:23")),1)*2^(-ROW(INDIRECT("1:23"))))</f>
        <v>#VALUE!</v>
      </c>
      <c r="T72" s="3" t="e">
        <f t="shared" ca="1" si="15"/>
        <v>#VALUE!</v>
      </c>
      <c r="U72" s="3" t="e">
        <f t="shared" ca="1" si="16"/>
        <v>#VALUE!</v>
      </c>
      <c r="V72" s="73"/>
      <c r="W72" s="9" t="str">
        <f t="shared" si="17"/>
        <v>NG</v>
      </c>
    </row>
    <row r="73" spans="1:23" x14ac:dyDescent="0.3">
      <c r="A73" s="44">
        <v>70</v>
      </c>
      <c r="B73" s="14">
        <v>2</v>
      </c>
      <c r="C73" s="4">
        <v>6</v>
      </c>
      <c r="D73" s="3" t="str">
        <f>VLOOKUP($C73,Overall!$K$5:$T$36,2)</f>
        <v>Underflow</v>
      </c>
      <c r="E73" s="3">
        <f ca="1">VLOOKUP($C73,Overall!$K$5:$T$36,10)</f>
        <v>-1.1754942106924411E-38</v>
      </c>
      <c r="F73" s="9" t="str">
        <f>VLOOKUP($C73,Overall!$K$5:$T$36,6)</f>
        <v>10000000011111111111111111111111</v>
      </c>
      <c r="G73" s="8">
        <v>10</v>
      </c>
      <c r="H73" s="3" t="str">
        <f>VLOOKUP($G73,Overall!$K$5:$T$36,2)</f>
        <v>Overflow</v>
      </c>
      <c r="I73" s="3">
        <f ca="1">VLOOKUP($G73,Overall!$K$5:$T$36,10)</f>
        <v>-3.4028240748575767E+38</v>
      </c>
      <c r="J73" s="62" t="str">
        <f>VLOOKUP($G73,Overall!$K$5:$T$36,6)</f>
        <v>11111111100000000000000000000001</v>
      </c>
      <c r="K73" s="8">
        <f t="shared" ca="1" si="9"/>
        <v>3.9999999999999432</v>
      </c>
      <c r="L73" s="62">
        <f>VLOOKUP($B73,Overall!$B$5:$I$13,8)</f>
        <v>1</v>
      </c>
      <c r="M73" s="58"/>
      <c r="N73" s="3" t="str">
        <f t="shared" si="10"/>
        <v/>
      </c>
      <c r="O73" s="3" t="str">
        <f t="shared" si="11"/>
        <v/>
      </c>
      <c r="P73" s="3" t="str">
        <f t="shared" si="12"/>
        <v/>
      </c>
      <c r="Q73" s="3">
        <f t="shared" si="13"/>
        <v>0</v>
      </c>
      <c r="R73" s="3">
        <f t="shared" si="14"/>
        <v>0</v>
      </c>
      <c r="S73" s="3" t="e" cm="1">
        <f t="array" aca="1" ref="S73" ca="1">SUMPRODUCT(MID($P73,ROW(INDIRECT("1:23")),1)*2^(-ROW(INDIRECT("1:23"))))</f>
        <v>#VALUE!</v>
      </c>
      <c r="T73" s="3" t="e">
        <f t="shared" ca="1" si="15"/>
        <v>#VALUE!</v>
      </c>
      <c r="U73" s="3" t="e">
        <f t="shared" ca="1" si="16"/>
        <v>#VALUE!</v>
      </c>
      <c r="V73" s="73"/>
      <c r="W73" s="9" t="str">
        <f t="shared" si="17"/>
        <v>NG</v>
      </c>
    </row>
    <row r="74" spans="1:23" x14ac:dyDescent="0.3">
      <c r="A74" s="44">
        <v>71</v>
      </c>
      <c r="B74" s="14">
        <v>2</v>
      </c>
      <c r="C74" s="4">
        <v>6</v>
      </c>
      <c r="D74" s="3" t="str">
        <f>VLOOKUP($C74,Overall!$K$5:$T$36,2)</f>
        <v>Underflow</v>
      </c>
      <c r="E74" s="3">
        <f ca="1">VLOOKUP($C74,Overall!$K$5:$T$36,10)</f>
        <v>-1.1754942106924411E-38</v>
      </c>
      <c r="F74" s="9" t="str">
        <f>VLOOKUP($C74,Overall!$K$5:$T$36,6)</f>
        <v>10000000011111111111111111111111</v>
      </c>
      <c r="G74" s="8">
        <v>11</v>
      </c>
      <c r="H74" s="3" t="str">
        <f>VLOOKUP($G74,Overall!$K$5:$T$36,2)</f>
        <v>Overflow</v>
      </c>
      <c r="I74" s="3">
        <f ca="1">VLOOKUP($G74,Overall!$K$5:$T$36,10)</f>
        <v>-4.2535303978081149E+38</v>
      </c>
      <c r="J74" s="62" t="str">
        <f>VLOOKUP($G74,Overall!$K$5:$T$36,6)</f>
        <v>11111111101000000000000000000010</v>
      </c>
      <c r="K74" s="8">
        <f t="shared" ca="1" si="9"/>
        <v>5.000000357627755</v>
      </c>
      <c r="L74" s="62">
        <f>VLOOKUP($B74,Overall!$B$5:$I$13,8)</f>
        <v>1</v>
      </c>
      <c r="M74" s="58"/>
      <c r="N74" s="3" t="str">
        <f t="shared" si="10"/>
        <v/>
      </c>
      <c r="O74" s="3" t="str">
        <f t="shared" si="11"/>
        <v/>
      </c>
      <c r="P74" s="3" t="str">
        <f t="shared" si="12"/>
        <v/>
      </c>
      <c r="Q74" s="3">
        <f t="shared" si="13"/>
        <v>0</v>
      </c>
      <c r="R74" s="3">
        <f t="shared" si="14"/>
        <v>0</v>
      </c>
      <c r="S74" s="3" t="e" cm="1">
        <f t="array" aca="1" ref="S74" ca="1">SUMPRODUCT(MID($P74,ROW(INDIRECT("1:23")),1)*2^(-ROW(INDIRECT("1:23"))))</f>
        <v>#VALUE!</v>
      </c>
      <c r="T74" s="3" t="e">
        <f t="shared" ca="1" si="15"/>
        <v>#VALUE!</v>
      </c>
      <c r="U74" s="3" t="e">
        <f t="shared" ca="1" si="16"/>
        <v>#VALUE!</v>
      </c>
      <c r="V74" s="73"/>
      <c r="W74" s="9" t="str">
        <f t="shared" si="17"/>
        <v>NG</v>
      </c>
    </row>
    <row r="75" spans="1:23" x14ac:dyDescent="0.3">
      <c r="A75" s="44">
        <v>72</v>
      </c>
      <c r="B75" s="14">
        <v>2</v>
      </c>
      <c r="C75" s="4">
        <v>6</v>
      </c>
      <c r="D75" s="3" t="str">
        <f>VLOOKUP($C75,Overall!$K$5:$T$36,2)</f>
        <v>Underflow</v>
      </c>
      <c r="E75" s="3">
        <f ca="1">VLOOKUP($C75,Overall!$K$5:$T$36,10)</f>
        <v>-1.1754942106924411E-38</v>
      </c>
      <c r="F75" s="9" t="str">
        <f>VLOOKUP($C75,Overall!$K$5:$T$36,6)</f>
        <v>10000000011111111111111111111111</v>
      </c>
      <c r="G75" s="8">
        <v>12</v>
      </c>
      <c r="H75" s="3" t="str">
        <f>VLOOKUP($G75,Overall!$K$5:$T$36,2)</f>
        <v>Overflow</v>
      </c>
      <c r="I75" s="3">
        <f ca="1">VLOOKUP($G75,Overall!$K$5:$T$36,10)</f>
        <v>-6.8056469327705772E+38</v>
      </c>
      <c r="J75" s="62" t="str">
        <f>VLOOKUP($G75,Overall!$K$5:$T$36,6)</f>
        <v>11111111111111111111111111111111</v>
      </c>
      <c r="K75" s="8">
        <f t="shared" ca="1" si="9"/>
        <v>7.9999985694885822</v>
      </c>
      <c r="L75" s="62">
        <f>VLOOKUP($B75,Overall!$B$5:$I$13,8)</f>
        <v>1</v>
      </c>
      <c r="M75" s="58"/>
      <c r="N75" s="3" t="str">
        <f t="shared" si="10"/>
        <v/>
      </c>
      <c r="O75" s="3" t="str">
        <f t="shared" si="11"/>
        <v/>
      </c>
      <c r="P75" s="3" t="str">
        <f t="shared" si="12"/>
        <v/>
      </c>
      <c r="Q75" s="3">
        <f t="shared" si="13"/>
        <v>0</v>
      </c>
      <c r="R75" s="3">
        <f t="shared" si="14"/>
        <v>0</v>
      </c>
      <c r="S75" s="3" t="e" cm="1">
        <f t="array" aca="1" ref="S75" ca="1">SUMPRODUCT(MID($P75,ROW(INDIRECT("1:23")),1)*2^(-ROW(INDIRECT("1:23"))))</f>
        <v>#VALUE!</v>
      </c>
      <c r="T75" s="3" t="e">
        <f t="shared" ca="1" si="15"/>
        <v>#VALUE!</v>
      </c>
      <c r="U75" s="3" t="e">
        <f t="shared" ca="1" si="16"/>
        <v>#VALUE!</v>
      </c>
      <c r="V75" s="73"/>
      <c r="W75" s="9" t="str">
        <f t="shared" si="17"/>
        <v>NG</v>
      </c>
    </row>
    <row r="76" spans="1:23" x14ac:dyDescent="0.3">
      <c r="A76" s="44">
        <v>73</v>
      </c>
      <c r="B76" s="14">
        <v>3</v>
      </c>
      <c r="C76" s="4">
        <v>1</v>
      </c>
      <c r="D76" s="3" t="str">
        <f>VLOOKUP($C76,Overall!$K$5:$T$36,2)</f>
        <v>Underflow</v>
      </c>
      <c r="E76" s="3">
        <f ca="1">VLOOKUP($C76,Overall!$K$5:$T$36,10)</f>
        <v>1.4012984643248171E-45</v>
      </c>
      <c r="F76" s="9" t="str">
        <f>VLOOKUP($C76,Overall!$K$5:$T$36,6)</f>
        <v>00000000000000000000000000000001</v>
      </c>
      <c r="G76" s="8">
        <v>13</v>
      </c>
      <c r="H76" s="3" t="str">
        <f>VLOOKUP($G76,Overall!$K$5:$T$36,2)</f>
        <v>Normal</v>
      </c>
      <c r="I76" s="3">
        <f ca="1">VLOOKUP($G76,Overall!$K$5:$T$36,10)</f>
        <v>0</v>
      </c>
      <c r="J76" s="62" t="str">
        <f>VLOOKUP($G76,Overall!$K$5:$T$36,6)</f>
        <v>00000000000000000000000000000000</v>
      </c>
      <c r="K76" s="8">
        <f t="shared" ca="1" si="9"/>
        <v>0</v>
      </c>
      <c r="L76" s="62">
        <f>VLOOKUP($B76,Overall!$B$5:$I$13,8)</f>
        <v>0</v>
      </c>
      <c r="M76" s="58"/>
      <c r="N76" s="3" t="str">
        <f t="shared" si="10"/>
        <v/>
      </c>
      <c r="O76" s="3" t="str">
        <f t="shared" si="11"/>
        <v/>
      </c>
      <c r="P76" s="3" t="str">
        <f t="shared" si="12"/>
        <v/>
      </c>
      <c r="Q76" s="3">
        <f t="shared" si="13"/>
        <v>0</v>
      </c>
      <c r="R76" s="3">
        <f t="shared" si="14"/>
        <v>0</v>
      </c>
      <c r="S76" s="3" t="e" cm="1">
        <f t="array" aca="1" ref="S76" ca="1">SUMPRODUCT(MID($P76,ROW(INDIRECT("1:23")),1)*2^(-ROW(INDIRECT("1:23"))))</f>
        <v>#VALUE!</v>
      </c>
      <c r="T76" s="3" t="e">
        <f t="shared" ca="1" si="15"/>
        <v>#VALUE!</v>
      </c>
      <c r="U76" s="3" t="e">
        <f t="shared" ca="1" si="16"/>
        <v>#VALUE!</v>
      </c>
      <c r="V76" s="73"/>
      <c r="W76" s="9" t="str">
        <f t="shared" si="17"/>
        <v>OK</v>
      </c>
    </row>
    <row r="77" spans="1:23" x14ac:dyDescent="0.3">
      <c r="A77" s="44">
        <v>74</v>
      </c>
      <c r="B77" s="14">
        <v>3</v>
      </c>
      <c r="C77" s="4">
        <v>1</v>
      </c>
      <c r="D77" s="3" t="str">
        <f>VLOOKUP($C77,Overall!$K$5:$T$36,2)</f>
        <v>Underflow</v>
      </c>
      <c r="E77" s="3">
        <f ca="1">VLOOKUP($C77,Overall!$K$5:$T$36,10)</f>
        <v>1.4012984643248171E-45</v>
      </c>
      <c r="F77" s="9" t="str">
        <f>VLOOKUP($C77,Overall!$K$5:$T$36,6)</f>
        <v>00000000000000000000000000000001</v>
      </c>
      <c r="G77" s="8">
        <v>14</v>
      </c>
      <c r="H77" s="3" t="str">
        <f>VLOOKUP($G77,Overall!$K$5:$T$36,2)</f>
        <v>Normal</v>
      </c>
      <c r="I77" s="3">
        <f ca="1">VLOOKUP($G77,Overall!$K$5:$T$36,10)</f>
        <v>0</v>
      </c>
      <c r="J77" s="62" t="str">
        <f>VLOOKUP($G77,Overall!$K$5:$T$36,6)</f>
        <v>10000000000000000000000000000000</v>
      </c>
      <c r="K77" s="8">
        <f t="shared" ca="1" si="9"/>
        <v>0</v>
      </c>
      <c r="L77" s="62">
        <f>VLOOKUP($B77,Overall!$B$5:$I$13,8)</f>
        <v>0</v>
      </c>
      <c r="M77" s="58"/>
      <c r="N77" s="3" t="str">
        <f t="shared" si="10"/>
        <v/>
      </c>
      <c r="O77" s="3" t="str">
        <f t="shared" si="11"/>
        <v/>
      </c>
      <c r="P77" s="3" t="str">
        <f t="shared" si="12"/>
        <v/>
      </c>
      <c r="Q77" s="3">
        <f t="shared" si="13"/>
        <v>0</v>
      </c>
      <c r="R77" s="3">
        <f t="shared" si="14"/>
        <v>0</v>
      </c>
      <c r="S77" s="3" t="e" cm="1">
        <f t="array" aca="1" ref="S77" ca="1">SUMPRODUCT(MID($P77,ROW(INDIRECT("1:23")),1)*2^(-ROW(INDIRECT("1:23"))))</f>
        <v>#VALUE!</v>
      </c>
      <c r="T77" s="3" t="e">
        <f t="shared" ca="1" si="15"/>
        <v>#VALUE!</v>
      </c>
      <c r="U77" s="3" t="e">
        <f t="shared" ca="1" si="16"/>
        <v>#VALUE!</v>
      </c>
      <c r="V77" s="73"/>
      <c r="W77" s="9" t="str">
        <f t="shared" si="17"/>
        <v>OK</v>
      </c>
    </row>
    <row r="78" spans="1:23" x14ac:dyDescent="0.3">
      <c r="A78" s="44">
        <v>75</v>
      </c>
      <c r="B78" s="14">
        <v>3</v>
      </c>
      <c r="C78" s="4">
        <v>1</v>
      </c>
      <c r="D78" s="3" t="str">
        <f>VLOOKUP($C78,Overall!$K$5:$T$36,2)</f>
        <v>Underflow</v>
      </c>
      <c r="E78" s="3">
        <f ca="1">VLOOKUP($C78,Overall!$K$5:$T$36,10)</f>
        <v>1.4012984643248171E-45</v>
      </c>
      <c r="F78" s="9" t="str">
        <f>VLOOKUP($C78,Overall!$K$5:$T$36,6)</f>
        <v>00000000000000000000000000000001</v>
      </c>
      <c r="G78" s="8">
        <v>15</v>
      </c>
      <c r="H78" s="3" t="str">
        <f>VLOOKUP($G78,Overall!$K$5:$T$36,2)</f>
        <v>Normal</v>
      </c>
      <c r="I78" s="3">
        <f ca="1">VLOOKUP($G78,Overall!$K$5:$T$36,10)</f>
        <v>1.1754943508222875E-38</v>
      </c>
      <c r="J78" s="62" t="str">
        <f>VLOOKUP($G78,Overall!$K$5:$T$36,6)</f>
        <v>00000000100000000000000000000000</v>
      </c>
      <c r="K78" s="8">
        <f t="shared" ca="1" si="9"/>
        <v>1.6472184286297693E-83</v>
      </c>
      <c r="L78" s="62">
        <f>VLOOKUP($B78,Overall!$B$5:$I$13,8)</f>
        <v>0</v>
      </c>
      <c r="M78" s="58"/>
      <c r="N78" s="3" t="str">
        <f t="shared" si="10"/>
        <v/>
      </c>
      <c r="O78" s="3" t="str">
        <f t="shared" si="11"/>
        <v/>
      </c>
      <c r="P78" s="3" t="str">
        <f t="shared" si="12"/>
        <v/>
      </c>
      <c r="Q78" s="3">
        <f t="shared" si="13"/>
        <v>0</v>
      </c>
      <c r="R78" s="3">
        <f t="shared" si="14"/>
        <v>0</v>
      </c>
      <c r="S78" s="3" t="e" cm="1">
        <f t="array" aca="1" ref="S78" ca="1">SUMPRODUCT(MID($P78,ROW(INDIRECT("1:23")),1)*2^(-ROW(INDIRECT("1:23"))))</f>
        <v>#VALUE!</v>
      </c>
      <c r="T78" s="3" t="e">
        <f t="shared" ca="1" si="15"/>
        <v>#VALUE!</v>
      </c>
      <c r="U78" s="3" t="e">
        <f t="shared" ca="1" si="16"/>
        <v>#VALUE!</v>
      </c>
      <c r="V78" s="73"/>
      <c r="W78" s="9" t="str">
        <f t="shared" si="17"/>
        <v>OK</v>
      </c>
    </row>
    <row r="79" spans="1:23" x14ac:dyDescent="0.3">
      <c r="A79" s="44">
        <v>76</v>
      </c>
      <c r="B79" s="14">
        <v>3</v>
      </c>
      <c r="C79" s="4">
        <v>1</v>
      </c>
      <c r="D79" s="3" t="str">
        <f>VLOOKUP($C79,Overall!$K$5:$T$36,2)</f>
        <v>Underflow</v>
      </c>
      <c r="E79" s="3">
        <f ca="1">VLOOKUP($C79,Overall!$K$5:$T$36,10)</f>
        <v>1.4012984643248171E-45</v>
      </c>
      <c r="F79" s="9" t="str">
        <f>VLOOKUP($C79,Overall!$K$5:$T$36,6)</f>
        <v>00000000000000000000000000000001</v>
      </c>
      <c r="G79" s="8">
        <v>16</v>
      </c>
      <c r="H79" s="3" t="str">
        <f>VLOOKUP($G79,Overall!$K$5:$T$36,2)</f>
        <v>Normal</v>
      </c>
      <c r="I79" s="3">
        <f ca="1">VLOOKUP($G79,Overall!$K$5:$T$36,10)</f>
        <v>1.1754944909521339E-38</v>
      </c>
      <c r="J79" s="62" t="str">
        <f>VLOOKUP($G79,Overall!$K$5:$T$36,6)</f>
        <v>00000000100000000000000000000001</v>
      </c>
      <c r="K79" s="8">
        <f t="shared" ca="1" si="9"/>
        <v>1.6472186249935079E-83</v>
      </c>
      <c r="L79" s="62">
        <f>VLOOKUP($B79,Overall!$B$5:$I$13,8)</f>
        <v>0</v>
      </c>
      <c r="M79" s="58"/>
      <c r="N79" s="3" t="str">
        <f t="shared" si="10"/>
        <v/>
      </c>
      <c r="O79" s="3" t="str">
        <f t="shared" si="11"/>
        <v/>
      </c>
      <c r="P79" s="3" t="str">
        <f t="shared" si="12"/>
        <v/>
      </c>
      <c r="Q79" s="3">
        <f t="shared" si="13"/>
        <v>0</v>
      </c>
      <c r="R79" s="3">
        <f t="shared" si="14"/>
        <v>0</v>
      </c>
      <c r="S79" s="3" t="e" cm="1">
        <f t="array" aca="1" ref="S79" ca="1">SUMPRODUCT(MID($P79,ROW(INDIRECT("1:23")),1)*2^(-ROW(INDIRECT("1:23"))))</f>
        <v>#VALUE!</v>
      </c>
      <c r="T79" s="3" t="e">
        <f t="shared" ca="1" si="15"/>
        <v>#VALUE!</v>
      </c>
      <c r="U79" s="3" t="e">
        <f t="shared" ca="1" si="16"/>
        <v>#VALUE!</v>
      </c>
      <c r="V79" s="73"/>
      <c r="W79" s="9" t="str">
        <f t="shared" si="17"/>
        <v>OK</v>
      </c>
    </row>
    <row r="80" spans="1:23" x14ac:dyDescent="0.3">
      <c r="A80" s="44">
        <v>77</v>
      </c>
      <c r="B80" s="14">
        <v>3</v>
      </c>
      <c r="C80" s="4">
        <v>1</v>
      </c>
      <c r="D80" s="3" t="str">
        <f>VLOOKUP($C80,Overall!$K$5:$T$36,2)</f>
        <v>Underflow</v>
      </c>
      <c r="E80" s="3">
        <f ca="1">VLOOKUP($C80,Overall!$K$5:$T$36,10)</f>
        <v>1.4012984643248171E-45</v>
      </c>
      <c r="F80" s="9" t="str">
        <f>VLOOKUP($C80,Overall!$K$5:$T$36,6)</f>
        <v>00000000000000000000000000000001</v>
      </c>
      <c r="G80" s="8">
        <v>17</v>
      </c>
      <c r="H80" s="3" t="str">
        <f>VLOOKUP($G80,Overall!$K$5:$T$36,2)</f>
        <v>Normal</v>
      </c>
      <c r="I80" s="3">
        <f ca="1">VLOOKUP($G80,Overall!$K$5:$T$36,10)</f>
        <v>0.5</v>
      </c>
      <c r="J80" s="62" t="str">
        <f>VLOOKUP($G80,Overall!$K$5:$T$36,6)</f>
        <v>00111111000000000000000000000000</v>
      </c>
      <c r="K80" s="8">
        <f t="shared" ca="1" si="9"/>
        <v>7.0064923216240854E-46</v>
      </c>
      <c r="L80" s="62">
        <f>VLOOKUP($B80,Overall!$B$5:$I$13,8)</f>
        <v>0</v>
      </c>
      <c r="M80" s="58"/>
      <c r="N80" s="3" t="str">
        <f t="shared" si="10"/>
        <v/>
      </c>
      <c r="O80" s="3" t="str">
        <f t="shared" si="11"/>
        <v/>
      </c>
      <c r="P80" s="3" t="str">
        <f t="shared" si="12"/>
        <v/>
      </c>
      <c r="Q80" s="3">
        <f t="shared" si="13"/>
        <v>0</v>
      </c>
      <c r="R80" s="3">
        <f t="shared" si="14"/>
        <v>0</v>
      </c>
      <c r="S80" s="3" t="e" cm="1">
        <f t="array" aca="1" ref="S80" ca="1">SUMPRODUCT(MID($P80,ROW(INDIRECT("1:23")),1)*2^(-ROW(INDIRECT("1:23"))))</f>
        <v>#VALUE!</v>
      </c>
      <c r="T80" s="3" t="e">
        <f t="shared" ca="1" si="15"/>
        <v>#VALUE!</v>
      </c>
      <c r="U80" s="3" t="e">
        <f t="shared" ca="1" si="16"/>
        <v>#VALUE!</v>
      </c>
      <c r="V80" s="73"/>
      <c r="W80" s="9" t="str">
        <f t="shared" si="17"/>
        <v>OK</v>
      </c>
    </row>
    <row r="81" spans="1:23" x14ac:dyDescent="0.3">
      <c r="A81" s="44">
        <v>78</v>
      </c>
      <c r="B81" s="14">
        <v>3</v>
      </c>
      <c r="C81" s="4">
        <v>1</v>
      </c>
      <c r="D81" s="3" t="str">
        <f>VLOOKUP($C81,Overall!$K$5:$T$36,2)</f>
        <v>Underflow</v>
      </c>
      <c r="E81" s="3">
        <f ca="1">VLOOKUP($C81,Overall!$K$5:$T$36,10)</f>
        <v>1.4012984643248171E-45</v>
      </c>
      <c r="F81" s="9" t="str">
        <f>VLOOKUP($C81,Overall!$K$5:$T$36,6)</f>
        <v>00000000000000000000000000000001</v>
      </c>
      <c r="G81" s="8">
        <v>18</v>
      </c>
      <c r="H81" s="3" t="str">
        <f>VLOOKUP($G81,Overall!$K$5:$T$36,2)</f>
        <v>Normal</v>
      </c>
      <c r="I81" s="3">
        <f ca="1">VLOOKUP($G81,Overall!$K$5:$T$36,10)</f>
        <v>1</v>
      </c>
      <c r="J81" s="62" t="str">
        <f>VLOOKUP($G81,Overall!$K$5:$T$36,6)</f>
        <v>00111111100000000000000000000000</v>
      </c>
      <c r="K81" s="8">
        <f t="shared" ca="1" si="9"/>
        <v>1.4012984643248171E-45</v>
      </c>
      <c r="L81" s="62">
        <f>VLOOKUP($B81,Overall!$B$5:$I$13,8)</f>
        <v>0</v>
      </c>
      <c r="M81" s="58"/>
      <c r="N81" s="3" t="str">
        <f t="shared" si="10"/>
        <v/>
      </c>
      <c r="O81" s="3" t="str">
        <f t="shared" si="11"/>
        <v/>
      </c>
      <c r="P81" s="3" t="str">
        <f t="shared" si="12"/>
        <v/>
      </c>
      <c r="Q81" s="3">
        <f t="shared" si="13"/>
        <v>0</v>
      </c>
      <c r="R81" s="3">
        <f t="shared" si="14"/>
        <v>0</v>
      </c>
      <c r="S81" s="3" t="e" cm="1">
        <f t="array" aca="1" ref="S81" ca="1">SUMPRODUCT(MID($P81,ROW(INDIRECT("1:23")),1)*2^(-ROW(INDIRECT("1:23"))))</f>
        <v>#VALUE!</v>
      </c>
      <c r="T81" s="3" t="e">
        <f t="shared" ca="1" si="15"/>
        <v>#VALUE!</v>
      </c>
      <c r="U81" s="3" t="e">
        <f t="shared" ca="1" si="16"/>
        <v>#VALUE!</v>
      </c>
      <c r="V81" s="73"/>
      <c r="W81" s="9" t="str">
        <f t="shared" si="17"/>
        <v>OK</v>
      </c>
    </row>
    <row r="82" spans="1:23" x14ac:dyDescent="0.3">
      <c r="A82" s="44">
        <v>79</v>
      </c>
      <c r="B82" s="14">
        <v>3</v>
      </c>
      <c r="C82" s="4">
        <v>1</v>
      </c>
      <c r="D82" s="3" t="str">
        <f>VLOOKUP($C82,Overall!$K$5:$T$36,2)</f>
        <v>Underflow</v>
      </c>
      <c r="E82" s="3">
        <f ca="1">VLOOKUP($C82,Overall!$K$5:$T$36,10)</f>
        <v>1.4012984643248171E-45</v>
      </c>
      <c r="F82" s="9" t="str">
        <f>VLOOKUP($C82,Overall!$K$5:$T$36,6)</f>
        <v>00000000000000000000000000000001</v>
      </c>
      <c r="G82" s="8">
        <v>19</v>
      </c>
      <c r="H82" s="3" t="str">
        <f>VLOOKUP($G82,Overall!$K$5:$T$36,2)</f>
        <v>Normal</v>
      </c>
      <c r="I82" s="3">
        <f ca="1">VLOOKUP($G82,Overall!$K$5:$T$36,10)</f>
        <v>1.5</v>
      </c>
      <c r="J82" s="62" t="str">
        <f>VLOOKUP($G82,Overall!$K$5:$T$36,6)</f>
        <v>00111111110000000000000000000000</v>
      </c>
      <c r="K82" s="8">
        <f t="shared" ca="1" si="9"/>
        <v>2.1019476964872256E-45</v>
      </c>
      <c r="L82" s="62">
        <f>VLOOKUP($B82,Overall!$B$5:$I$13,8)</f>
        <v>0</v>
      </c>
      <c r="M82" s="58"/>
      <c r="N82" s="3" t="str">
        <f t="shared" si="10"/>
        <v/>
      </c>
      <c r="O82" s="3" t="str">
        <f t="shared" si="11"/>
        <v/>
      </c>
      <c r="P82" s="3" t="str">
        <f t="shared" si="12"/>
        <v/>
      </c>
      <c r="Q82" s="3">
        <f t="shared" si="13"/>
        <v>0</v>
      </c>
      <c r="R82" s="3">
        <f t="shared" si="14"/>
        <v>0</v>
      </c>
      <c r="S82" s="3" t="e" cm="1">
        <f t="array" aca="1" ref="S82" ca="1">SUMPRODUCT(MID($P82,ROW(INDIRECT("1:23")),1)*2^(-ROW(INDIRECT("1:23"))))</f>
        <v>#VALUE!</v>
      </c>
      <c r="T82" s="3" t="e">
        <f t="shared" ca="1" si="15"/>
        <v>#VALUE!</v>
      </c>
      <c r="U82" s="3" t="e">
        <f t="shared" ca="1" si="16"/>
        <v>#VALUE!</v>
      </c>
      <c r="V82" s="73"/>
      <c r="W82" s="9" t="str">
        <f t="shared" si="17"/>
        <v>OK</v>
      </c>
    </row>
    <row r="83" spans="1:23" x14ac:dyDescent="0.3">
      <c r="A83" s="44">
        <v>80</v>
      </c>
      <c r="B83" s="14">
        <v>3</v>
      </c>
      <c r="C83" s="4">
        <v>1</v>
      </c>
      <c r="D83" s="3" t="str">
        <f>VLOOKUP($C83,Overall!$K$5:$T$36,2)</f>
        <v>Underflow</v>
      </c>
      <c r="E83" s="3">
        <f ca="1">VLOOKUP($C83,Overall!$K$5:$T$36,10)</f>
        <v>1.4012984643248171E-45</v>
      </c>
      <c r="F83" s="9" t="str">
        <f>VLOOKUP($C83,Overall!$K$5:$T$36,6)</f>
        <v>00000000000000000000000000000001</v>
      </c>
      <c r="G83" s="8">
        <v>20</v>
      </c>
      <c r="H83" s="3" t="str">
        <f>VLOOKUP($G83,Overall!$K$5:$T$36,2)</f>
        <v>Normal</v>
      </c>
      <c r="I83" s="3">
        <f ca="1">VLOOKUP($G83,Overall!$K$5:$T$36,10)</f>
        <v>12345.6787109375</v>
      </c>
      <c r="J83" s="62" t="str">
        <f>VLOOKUP($G83,Overall!$K$5:$T$36,6)</f>
        <v>001000110010000001110011010110111</v>
      </c>
      <c r="K83" s="8">
        <f t="shared" ca="1" si="9"/>
        <v>1.7299980618684306E-41</v>
      </c>
      <c r="L83" s="62">
        <f>VLOOKUP($B83,Overall!$B$5:$I$13,8)</f>
        <v>0</v>
      </c>
      <c r="M83" s="58"/>
      <c r="N83" s="3" t="str">
        <f t="shared" si="10"/>
        <v/>
      </c>
      <c r="O83" s="3" t="str">
        <f t="shared" si="11"/>
        <v/>
      </c>
      <c r="P83" s="3" t="str">
        <f t="shared" si="12"/>
        <v/>
      </c>
      <c r="Q83" s="3">
        <f t="shared" si="13"/>
        <v>0</v>
      </c>
      <c r="R83" s="3">
        <f t="shared" si="14"/>
        <v>0</v>
      </c>
      <c r="S83" s="3" t="e" cm="1">
        <f t="array" aca="1" ref="S83" ca="1">SUMPRODUCT(MID($P83,ROW(INDIRECT("1:23")),1)*2^(-ROW(INDIRECT("1:23"))))</f>
        <v>#VALUE!</v>
      </c>
      <c r="T83" s="3" t="e">
        <f t="shared" ca="1" si="15"/>
        <v>#VALUE!</v>
      </c>
      <c r="U83" s="3" t="e">
        <f t="shared" ca="1" si="16"/>
        <v>#VALUE!</v>
      </c>
      <c r="V83" s="73"/>
      <c r="W83" s="9" t="str">
        <f t="shared" si="17"/>
        <v>OK</v>
      </c>
    </row>
    <row r="84" spans="1:23" x14ac:dyDescent="0.3">
      <c r="A84" s="44">
        <v>81</v>
      </c>
      <c r="B84" s="14">
        <v>3</v>
      </c>
      <c r="C84" s="4">
        <v>1</v>
      </c>
      <c r="D84" s="3" t="str">
        <f>VLOOKUP($C84,Overall!$K$5:$T$36,2)</f>
        <v>Underflow</v>
      </c>
      <c r="E84" s="3">
        <f ca="1">VLOOKUP($C84,Overall!$K$5:$T$36,10)</f>
        <v>1.4012984643248171E-45</v>
      </c>
      <c r="F84" s="9" t="str">
        <f>VLOOKUP($C84,Overall!$K$5:$T$36,6)</f>
        <v>00000000000000000000000000000001</v>
      </c>
      <c r="G84" s="8">
        <v>21</v>
      </c>
      <c r="H84" s="3" t="str">
        <f>VLOOKUP($G84,Overall!$K$5:$T$36,2)</f>
        <v>Normal</v>
      </c>
      <c r="I84" s="3">
        <f ca="1">VLOOKUP($G84,Overall!$K$5:$T$36,10)</f>
        <v>2.345678924830959E+38</v>
      </c>
      <c r="J84" s="62" t="str">
        <f>VLOOKUP($G84,Overall!$K$5:$T$36,6)</f>
        <v>01111111001100000111100000100010</v>
      </c>
      <c r="K84" s="8">
        <f t="shared" ca="1" si="9"/>
        <v>3.2869962751647108E-7</v>
      </c>
      <c r="L84" s="62">
        <f>VLOOKUP($B84,Overall!$B$5:$I$13,8)</f>
        <v>0</v>
      </c>
      <c r="M84" s="58"/>
      <c r="N84" s="3" t="str">
        <f t="shared" si="10"/>
        <v/>
      </c>
      <c r="O84" s="3" t="str">
        <f t="shared" si="11"/>
        <v/>
      </c>
      <c r="P84" s="3" t="str">
        <f t="shared" si="12"/>
        <v/>
      </c>
      <c r="Q84" s="3">
        <f t="shared" si="13"/>
        <v>0</v>
      </c>
      <c r="R84" s="3">
        <f t="shared" si="14"/>
        <v>0</v>
      </c>
      <c r="S84" s="3" t="e" cm="1">
        <f t="array" aca="1" ref="S84" ca="1">SUMPRODUCT(MID($P84,ROW(INDIRECT("1:23")),1)*2^(-ROW(INDIRECT("1:23"))))</f>
        <v>#VALUE!</v>
      </c>
      <c r="T84" s="3" t="e">
        <f t="shared" ca="1" si="15"/>
        <v>#VALUE!</v>
      </c>
      <c r="U84" s="3" t="e">
        <f t="shared" ca="1" si="16"/>
        <v>#VALUE!</v>
      </c>
      <c r="V84" s="73"/>
      <c r="W84" s="9" t="str">
        <f t="shared" si="17"/>
        <v>OK</v>
      </c>
    </row>
    <row r="85" spans="1:23" x14ac:dyDescent="0.3">
      <c r="A85" s="44">
        <v>82</v>
      </c>
      <c r="B85" s="14">
        <v>3</v>
      </c>
      <c r="C85" s="4">
        <v>1</v>
      </c>
      <c r="D85" s="3" t="str">
        <f>VLOOKUP($C85,Overall!$K$5:$T$36,2)</f>
        <v>Underflow</v>
      </c>
      <c r="E85" s="3">
        <f ca="1">VLOOKUP($C85,Overall!$K$5:$T$36,10)</f>
        <v>1.4012984643248171E-45</v>
      </c>
      <c r="F85" s="9" t="str">
        <f>VLOOKUP($C85,Overall!$K$5:$T$36,6)</f>
        <v>00000000000000000000000000000001</v>
      </c>
      <c r="G85" s="8">
        <v>22</v>
      </c>
      <c r="H85" s="3" t="str">
        <f>VLOOKUP($G85,Overall!$K$5:$T$36,2)</f>
        <v>Normal</v>
      </c>
      <c r="I85" s="3">
        <f ca="1">VLOOKUP($G85,Overall!$K$5:$T$36,10)</f>
        <v>3.4028232635611926E+38</v>
      </c>
      <c r="J85" s="62" t="str">
        <f>VLOOKUP($G85,Overall!$K$5:$T$36,6)</f>
        <v>01111111011111111111111111111110</v>
      </c>
      <c r="K85" s="8">
        <f t="shared" ca="1" si="9"/>
        <v>4.7683710135970614E-7</v>
      </c>
      <c r="L85" s="62">
        <f>VLOOKUP($B85,Overall!$B$5:$I$13,8)</f>
        <v>0</v>
      </c>
      <c r="M85" s="58"/>
      <c r="N85" s="3" t="str">
        <f t="shared" si="10"/>
        <v/>
      </c>
      <c r="O85" s="3" t="str">
        <f t="shared" si="11"/>
        <v/>
      </c>
      <c r="P85" s="3" t="str">
        <f t="shared" si="12"/>
        <v/>
      </c>
      <c r="Q85" s="3">
        <f t="shared" si="13"/>
        <v>0</v>
      </c>
      <c r="R85" s="3">
        <f t="shared" si="14"/>
        <v>0</v>
      </c>
      <c r="S85" s="3" t="e" cm="1">
        <f t="array" aca="1" ref="S85" ca="1">SUMPRODUCT(MID($P85,ROW(INDIRECT("1:23")),1)*2^(-ROW(INDIRECT("1:23"))))</f>
        <v>#VALUE!</v>
      </c>
      <c r="T85" s="3" t="e">
        <f t="shared" ca="1" si="15"/>
        <v>#VALUE!</v>
      </c>
      <c r="U85" s="3" t="e">
        <f t="shared" ca="1" si="16"/>
        <v>#VALUE!</v>
      </c>
      <c r="V85" s="73"/>
      <c r="W85" s="9" t="str">
        <f t="shared" si="17"/>
        <v>OK</v>
      </c>
    </row>
    <row r="86" spans="1:23" x14ac:dyDescent="0.3">
      <c r="A86" s="44">
        <v>83</v>
      </c>
      <c r="B86" s="14">
        <v>3</v>
      </c>
      <c r="C86" s="4">
        <v>1</v>
      </c>
      <c r="D86" s="3" t="str">
        <f>VLOOKUP($C86,Overall!$K$5:$T$36,2)</f>
        <v>Underflow</v>
      </c>
      <c r="E86" s="3">
        <f ca="1">VLOOKUP($C86,Overall!$K$5:$T$36,10)</f>
        <v>1.4012984643248171E-45</v>
      </c>
      <c r="F86" s="9" t="str">
        <f>VLOOKUP($C86,Overall!$K$5:$T$36,6)</f>
        <v>00000000000000000000000000000001</v>
      </c>
      <c r="G86" s="8">
        <v>23</v>
      </c>
      <c r="H86" s="3" t="str">
        <f>VLOOKUP($G86,Overall!$K$5:$T$36,2)</f>
        <v>Normal</v>
      </c>
      <c r="I86" s="3">
        <f ca="1">VLOOKUP($G86,Overall!$K$5:$T$36,10)</f>
        <v>3.4028234663852886E+38</v>
      </c>
      <c r="J86" s="62" t="str">
        <f>VLOOKUP($G86,Overall!$K$5:$T$36,6)</f>
        <v>01111111011111111111111111111111</v>
      </c>
      <c r="K86" s="8">
        <f t="shared" ca="1" si="9"/>
        <v>4.7683712978141557E-7</v>
      </c>
      <c r="L86" s="62">
        <f>VLOOKUP($B86,Overall!$B$5:$I$13,8)</f>
        <v>0</v>
      </c>
      <c r="M86" s="58"/>
      <c r="N86" s="3" t="str">
        <f t="shared" si="10"/>
        <v/>
      </c>
      <c r="O86" s="3" t="str">
        <f t="shared" si="11"/>
        <v/>
      </c>
      <c r="P86" s="3" t="str">
        <f t="shared" si="12"/>
        <v/>
      </c>
      <c r="Q86" s="3">
        <f t="shared" si="13"/>
        <v>0</v>
      </c>
      <c r="R86" s="3">
        <f t="shared" si="14"/>
        <v>0</v>
      </c>
      <c r="S86" s="3" t="e" cm="1">
        <f t="array" aca="1" ref="S86" ca="1">SUMPRODUCT(MID($P86,ROW(INDIRECT("1:23")),1)*2^(-ROW(INDIRECT("1:23"))))</f>
        <v>#VALUE!</v>
      </c>
      <c r="T86" s="3" t="e">
        <f t="shared" ca="1" si="15"/>
        <v>#VALUE!</v>
      </c>
      <c r="U86" s="3" t="e">
        <f t="shared" ca="1" si="16"/>
        <v>#VALUE!</v>
      </c>
      <c r="V86" s="73"/>
      <c r="W86" s="9" t="str">
        <f t="shared" si="17"/>
        <v>OK</v>
      </c>
    </row>
    <row r="87" spans="1:23" x14ac:dyDescent="0.3">
      <c r="A87" s="44">
        <v>84</v>
      </c>
      <c r="B87" s="14">
        <v>3</v>
      </c>
      <c r="C87" s="4">
        <v>1</v>
      </c>
      <c r="D87" s="3" t="str">
        <f>VLOOKUP($C87,Overall!$K$5:$T$36,2)</f>
        <v>Underflow</v>
      </c>
      <c r="E87" s="3">
        <f ca="1">VLOOKUP($C87,Overall!$K$5:$T$36,10)</f>
        <v>1.4012984643248171E-45</v>
      </c>
      <c r="F87" s="9" t="str">
        <f>VLOOKUP($C87,Overall!$K$5:$T$36,6)</f>
        <v>00000000000000000000000000000001</v>
      </c>
      <c r="G87" s="8">
        <v>24</v>
      </c>
      <c r="H87" s="3" t="str">
        <f>VLOOKUP($G87,Overall!$K$5:$T$36,2)</f>
        <v>Normal</v>
      </c>
      <c r="I87" s="3">
        <f ca="1">VLOOKUP($G87,Overall!$K$5:$T$36,10)</f>
        <v>-1.1754943508222875E-38</v>
      </c>
      <c r="J87" s="62" t="str">
        <f>VLOOKUP($G87,Overall!$K$5:$T$36,6)</f>
        <v>10000000100000000000000000000000</v>
      </c>
      <c r="K87" s="8">
        <f t="shared" ca="1" si="9"/>
        <v>-1.6472184286297693E-83</v>
      </c>
      <c r="L87" s="62">
        <f>VLOOKUP($B87,Overall!$B$5:$I$13,8)</f>
        <v>0</v>
      </c>
      <c r="M87" s="58"/>
      <c r="N87" s="3" t="str">
        <f t="shared" si="10"/>
        <v/>
      </c>
      <c r="O87" s="3" t="str">
        <f t="shared" si="11"/>
        <v/>
      </c>
      <c r="P87" s="3" t="str">
        <f t="shared" si="12"/>
        <v/>
      </c>
      <c r="Q87" s="3">
        <f t="shared" si="13"/>
        <v>0</v>
      </c>
      <c r="R87" s="3">
        <f t="shared" si="14"/>
        <v>0</v>
      </c>
      <c r="S87" s="3" t="e" cm="1">
        <f t="array" aca="1" ref="S87" ca="1">SUMPRODUCT(MID($P87,ROW(INDIRECT("1:23")),1)*2^(-ROW(INDIRECT("1:23"))))</f>
        <v>#VALUE!</v>
      </c>
      <c r="T87" s="3" t="e">
        <f t="shared" ca="1" si="15"/>
        <v>#VALUE!</v>
      </c>
      <c r="U87" s="3" t="e">
        <f t="shared" ca="1" si="16"/>
        <v>#VALUE!</v>
      </c>
      <c r="V87" s="73"/>
      <c r="W87" s="9" t="str">
        <f t="shared" si="17"/>
        <v>OK</v>
      </c>
    </row>
    <row r="88" spans="1:23" x14ac:dyDescent="0.3">
      <c r="A88" s="44">
        <v>85</v>
      </c>
      <c r="B88" s="14">
        <v>3</v>
      </c>
      <c r="C88" s="4">
        <v>1</v>
      </c>
      <c r="D88" s="3" t="str">
        <f>VLOOKUP($C88,Overall!$K$5:$T$36,2)</f>
        <v>Underflow</v>
      </c>
      <c r="E88" s="3">
        <f ca="1">VLOOKUP($C88,Overall!$K$5:$T$36,10)</f>
        <v>1.4012984643248171E-45</v>
      </c>
      <c r="F88" s="9" t="str">
        <f>VLOOKUP($C88,Overall!$K$5:$T$36,6)</f>
        <v>00000000000000000000000000000001</v>
      </c>
      <c r="G88" s="8">
        <v>25</v>
      </c>
      <c r="H88" s="3" t="str">
        <f>VLOOKUP($G88,Overall!$K$5:$T$36,2)</f>
        <v>Normal</v>
      </c>
      <c r="I88" s="3">
        <f ca="1">VLOOKUP($G88,Overall!$K$5:$T$36,10)</f>
        <v>-1.1754944909521339E-38</v>
      </c>
      <c r="J88" s="62" t="str">
        <f>VLOOKUP($G88,Overall!$K$5:$T$36,6)</f>
        <v>10000000100000000000000000000001</v>
      </c>
      <c r="K88" s="8">
        <f t="shared" ca="1" si="9"/>
        <v>-1.6472186249935079E-83</v>
      </c>
      <c r="L88" s="62">
        <f>VLOOKUP($B88,Overall!$B$5:$I$13,8)</f>
        <v>0</v>
      </c>
      <c r="M88" s="58"/>
      <c r="N88" s="3" t="str">
        <f t="shared" si="10"/>
        <v/>
      </c>
      <c r="O88" s="3" t="str">
        <f t="shared" si="11"/>
        <v/>
      </c>
      <c r="P88" s="3" t="str">
        <f t="shared" si="12"/>
        <v/>
      </c>
      <c r="Q88" s="3">
        <f t="shared" si="13"/>
        <v>0</v>
      </c>
      <c r="R88" s="3">
        <f t="shared" si="14"/>
        <v>0</v>
      </c>
      <c r="S88" s="3" t="e" cm="1">
        <f t="array" aca="1" ref="S88" ca="1">SUMPRODUCT(MID($P88,ROW(INDIRECT("1:23")),1)*2^(-ROW(INDIRECT("1:23"))))</f>
        <v>#VALUE!</v>
      </c>
      <c r="T88" s="3" t="e">
        <f t="shared" ca="1" si="15"/>
        <v>#VALUE!</v>
      </c>
      <c r="U88" s="3" t="e">
        <f t="shared" ca="1" si="16"/>
        <v>#VALUE!</v>
      </c>
      <c r="V88" s="73"/>
      <c r="W88" s="9" t="str">
        <f t="shared" si="17"/>
        <v>OK</v>
      </c>
    </row>
    <row r="89" spans="1:23" x14ac:dyDescent="0.3">
      <c r="A89" s="44">
        <v>86</v>
      </c>
      <c r="B89" s="14">
        <v>3</v>
      </c>
      <c r="C89" s="4">
        <v>1</v>
      </c>
      <c r="D89" s="3" t="str">
        <f>VLOOKUP($C89,Overall!$K$5:$T$36,2)</f>
        <v>Underflow</v>
      </c>
      <c r="E89" s="3">
        <f ca="1">VLOOKUP($C89,Overall!$K$5:$T$36,10)</f>
        <v>1.4012984643248171E-45</v>
      </c>
      <c r="F89" s="9" t="str">
        <f>VLOOKUP($C89,Overall!$K$5:$T$36,6)</f>
        <v>00000000000000000000000000000001</v>
      </c>
      <c r="G89" s="8">
        <v>26</v>
      </c>
      <c r="H89" s="3" t="str">
        <f>VLOOKUP($G89,Overall!$K$5:$T$36,2)</f>
        <v>Normal</v>
      </c>
      <c r="I89" s="3">
        <f ca="1">VLOOKUP($G89,Overall!$K$5:$T$36,10)</f>
        <v>-0.5</v>
      </c>
      <c r="J89" s="62" t="str">
        <f>VLOOKUP($G89,Overall!$K$5:$T$36,6)</f>
        <v>10111111000000000000000000000000</v>
      </c>
      <c r="K89" s="8">
        <f t="shared" ca="1" si="9"/>
        <v>-7.0064923216240854E-46</v>
      </c>
      <c r="L89" s="62">
        <f>VLOOKUP($B89,Overall!$B$5:$I$13,8)</f>
        <v>0</v>
      </c>
      <c r="M89" s="58"/>
      <c r="N89" s="3" t="str">
        <f t="shared" si="10"/>
        <v/>
      </c>
      <c r="O89" s="3" t="str">
        <f t="shared" si="11"/>
        <v/>
      </c>
      <c r="P89" s="3" t="str">
        <f t="shared" si="12"/>
        <v/>
      </c>
      <c r="Q89" s="3">
        <f t="shared" si="13"/>
        <v>0</v>
      </c>
      <c r="R89" s="3">
        <f t="shared" si="14"/>
        <v>0</v>
      </c>
      <c r="S89" s="3" t="e" cm="1">
        <f t="array" aca="1" ref="S89" ca="1">SUMPRODUCT(MID($P89,ROW(INDIRECT("1:23")),1)*2^(-ROW(INDIRECT("1:23"))))</f>
        <v>#VALUE!</v>
      </c>
      <c r="T89" s="3" t="e">
        <f t="shared" ca="1" si="15"/>
        <v>#VALUE!</v>
      </c>
      <c r="U89" s="3" t="e">
        <f t="shared" ca="1" si="16"/>
        <v>#VALUE!</v>
      </c>
      <c r="V89" s="73"/>
      <c r="W89" s="9" t="str">
        <f t="shared" si="17"/>
        <v>OK</v>
      </c>
    </row>
    <row r="90" spans="1:23" x14ac:dyDescent="0.3">
      <c r="A90" s="44">
        <v>87</v>
      </c>
      <c r="B90" s="14">
        <v>3</v>
      </c>
      <c r="C90" s="4">
        <v>1</v>
      </c>
      <c r="D90" s="3" t="str">
        <f>VLOOKUP($C90,Overall!$K$5:$T$36,2)</f>
        <v>Underflow</v>
      </c>
      <c r="E90" s="3">
        <f ca="1">VLOOKUP($C90,Overall!$K$5:$T$36,10)</f>
        <v>1.4012984643248171E-45</v>
      </c>
      <c r="F90" s="9" t="str">
        <f>VLOOKUP($C90,Overall!$K$5:$T$36,6)</f>
        <v>00000000000000000000000000000001</v>
      </c>
      <c r="G90" s="8">
        <v>27</v>
      </c>
      <c r="H90" s="3" t="str">
        <f>VLOOKUP($G90,Overall!$K$5:$T$36,2)</f>
        <v>Normal</v>
      </c>
      <c r="I90" s="3">
        <f ca="1">VLOOKUP($G90,Overall!$K$5:$T$36,10)</f>
        <v>-1</v>
      </c>
      <c r="J90" s="62" t="str">
        <f>VLOOKUP($G90,Overall!$K$5:$T$36,6)</f>
        <v>10111111100000000000000000000000</v>
      </c>
      <c r="K90" s="8">
        <f t="shared" ca="1" si="9"/>
        <v>-1.4012984643248171E-45</v>
      </c>
      <c r="L90" s="62">
        <f>VLOOKUP($B90,Overall!$B$5:$I$13,8)</f>
        <v>0</v>
      </c>
      <c r="M90" s="58"/>
      <c r="N90" s="3" t="str">
        <f t="shared" si="10"/>
        <v/>
      </c>
      <c r="O90" s="3" t="str">
        <f t="shared" si="11"/>
        <v/>
      </c>
      <c r="P90" s="3" t="str">
        <f t="shared" si="12"/>
        <v/>
      </c>
      <c r="Q90" s="3">
        <f t="shared" si="13"/>
        <v>0</v>
      </c>
      <c r="R90" s="3">
        <f t="shared" si="14"/>
        <v>0</v>
      </c>
      <c r="S90" s="3" t="e" cm="1">
        <f t="array" aca="1" ref="S90" ca="1">SUMPRODUCT(MID($P90,ROW(INDIRECT("1:23")),1)*2^(-ROW(INDIRECT("1:23"))))</f>
        <v>#VALUE!</v>
      </c>
      <c r="T90" s="3" t="e">
        <f t="shared" ca="1" si="15"/>
        <v>#VALUE!</v>
      </c>
      <c r="U90" s="3" t="e">
        <f t="shared" ca="1" si="16"/>
        <v>#VALUE!</v>
      </c>
      <c r="V90" s="73"/>
      <c r="W90" s="9" t="str">
        <f t="shared" si="17"/>
        <v>OK</v>
      </c>
    </row>
    <row r="91" spans="1:23" x14ac:dyDescent="0.3">
      <c r="A91" s="44">
        <v>88</v>
      </c>
      <c r="B91" s="14">
        <v>3</v>
      </c>
      <c r="C91" s="4">
        <v>1</v>
      </c>
      <c r="D91" s="3" t="str">
        <f>VLOOKUP($C91,Overall!$K$5:$T$36,2)</f>
        <v>Underflow</v>
      </c>
      <c r="E91" s="3">
        <f ca="1">VLOOKUP($C91,Overall!$K$5:$T$36,10)</f>
        <v>1.4012984643248171E-45</v>
      </c>
      <c r="F91" s="9" t="str">
        <f>VLOOKUP($C91,Overall!$K$5:$T$36,6)</f>
        <v>00000000000000000000000000000001</v>
      </c>
      <c r="G91" s="8">
        <v>28</v>
      </c>
      <c r="H91" s="3" t="str">
        <f>VLOOKUP($G91,Overall!$K$5:$T$36,2)</f>
        <v>Normal</v>
      </c>
      <c r="I91" s="3">
        <f ca="1">VLOOKUP($G91,Overall!$K$5:$T$36,10)</f>
        <v>-1.5</v>
      </c>
      <c r="J91" s="62" t="str">
        <f>VLOOKUP($G91,Overall!$K$5:$T$36,6)</f>
        <v>10111111110000000000000000000000</v>
      </c>
      <c r="K91" s="8">
        <f t="shared" ca="1" si="9"/>
        <v>-2.1019476964872256E-45</v>
      </c>
      <c r="L91" s="62">
        <f>VLOOKUP($B91,Overall!$B$5:$I$13,8)</f>
        <v>0</v>
      </c>
      <c r="M91" s="58"/>
      <c r="N91" s="3" t="str">
        <f t="shared" si="10"/>
        <v/>
      </c>
      <c r="O91" s="3" t="str">
        <f t="shared" si="11"/>
        <v/>
      </c>
      <c r="P91" s="3" t="str">
        <f t="shared" si="12"/>
        <v/>
      </c>
      <c r="Q91" s="3">
        <f t="shared" si="13"/>
        <v>0</v>
      </c>
      <c r="R91" s="3">
        <f t="shared" si="14"/>
        <v>0</v>
      </c>
      <c r="S91" s="3" t="e" cm="1">
        <f t="array" aca="1" ref="S91" ca="1">SUMPRODUCT(MID($P91,ROW(INDIRECT("1:23")),1)*2^(-ROW(INDIRECT("1:23"))))</f>
        <v>#VALUE!</v>
      </c>
      <c r="T91" s="3" t="e">
        <f t="shared" ca="1" si="15"/>
        <v>#VALUE!</v>
      </c>
      <c r="U91" s="3" t="e">
        <f t="shared" ca="1" si="16"/>
        <v>#VALUE!</v>
      </c>
      <c r="V91" s="73"/>
      <c r="W91" s="9" t="str">
        <f t="shared" si="17"/>
        <v>OK</v>
      </c>
    </row>
    <row r="92" spans="1:23" x14ac:dyDescent="0.3">
      <c r="A92" s="44">
        <v>89</v>
      </c>
      <c r="B92" s="14">
        <v>3</v>
      </c>
      <c r="C92" s="4">
        <v>1</v>
      </c>
      <c r="D92" s="3" t="str">
        <f>VLOOKUP($C92,Overall!$K$5:$T$36,2)</f>
        <v>Underflow</v>
      </c>
      <c r="E92" s="3">
        <f ca="1">VLOOKUP($C92,Overall!$K$5:$T$36,10)</f>
        <v>1.4012984643248171E-45</v>
      </c>
      <c r="F92" s="9" t="str">
        <f>VLOOKUP($C92,Overall!$K$5:$T$36,6)</f>
        <v>00000000000000000000000000000001</v>
      </c>
      <c r="G92" s="8">
        <v>29</v>
      </c>
      <c r="H92" s="3" t="str">
        <f>VLOOKUP($G92,Overall!$K$5:$T$36,2)</f>
        <v>Normal</v>
      </c>
      <c r="I92" s="3">
        <f ca="1">VLOOKUP($G92,Overall!$K$5:$T$36,10)</f>
        <v>-12345.6787109375</v>
      </c>
      <c r="J92" s="62" t="str">
        <f>VLOOKUP($G92,Overall!$K$5:$T$36,6)</f>
        <v>101000110010000001110011010110111</v>
      </c>
      <c r="K92" s="8">
        <f t="shared" ca="1" si="9"/>
        <v>-1.7299980618684306E-41</v>
      </c>
      <c r="L92" s="62">
        <f>VLOOKUP($B92,Overall!$B$5:$I$13,8)</f>
        <v>0</v>
      </c>
      <c r="M92" s="58"/>
      <c r="N92" s="3" t="str">
        <f t="shared" si="10"/>
        <v/>
      </c>
      <c r="O92" s="3" t="str">
        <f t="shared" si="11"/>
        <v/>
      </c>
      <c r="P92" s="3" t="str">
        <f t="shared" si="12"/>
        <v/>
      </c>
      <c r="Q92" s="3">
        <f t="shared" si="13"/>
        <v>0</v>
      </c>
      <c r="R92" s="3">
        <f t="shared" si="14"/>
        <v>0</v>
      </c>
      <c r="S92" s="3" t="e" cm="1">
        <f t="array" aca="1" ref="S92" ca="1">SUMPRODUCT(MID($P92,ROW(INDIRECT("1:23")),1)*2^(-ROW(INDIRECT("1:23"))))</f>
        <v>#VALUE!</v>
      </c>
      <c r="T92" s="3" t="e">
        <f t="shared" ca="1" si="15"/>
        <v>#VALUE!</v>
      </c>
      <c r="U92" s="3" t="e">
        <f t="shared" ca="1" si="16"/>
        <v>#VALUE!</v>
      </c>
      <c r="V92" s="73"/>
      <c r="W92" s="9" t="str">
        <f t="shared" si="17"/>
        <v>OK</v>
      </c>
    </row>
    <row r="93" spans="1:23" x14ac:dyDescent="0.3">
      <c r="A93" s="44">
        <v>90</v>
      </c>
      <c r="B93" s="14">
        <v>3</v>
      </c>
      <c r="C93" s="4">
        <v>1</v>
      </c>
      <c r="D93" s="3" t="str">
        <f>VLOOKUP($C93,Overall!$K$5:$T$36,2)</f>
        <v>Underflow</v>
      </c>
      <c r="E93" s="3">
        <f ca="1">VLOOKUP($C93,Overall!$K$5:$T$36,10)</f>
        <v>1.4012984643248171E-45</v>
      </c>
      <c r="F93" s="9" t="str">
        <f>VLOOKUP($C93,Overall!$K$5:$T$36,6)</f>
        <v>00000000000000000000000000000001</v>
      </c>
      <c r="G93" s="8">
        <v>30</v>
      </c>
      <c r="H93" s="3" t="str">
        <f>VLOOKUP($G93,Overall!$K$5:$T$36,2)</f>
        <v>Normal</v>
      </c>
      <c r="I93" s="3">
        <f ca="1">VLOOKUP($G93,Overall!$K$5:$T$36,10)</f>
        <v>-2.345678924830959E+38</v>
      </c>
      <c r="J93" s="62" t="str">
        <f>VLOOKUP($G93,Overall!$K$5:$T$36,6)</f>
        <v>11111111001100000111100000100010</v>
      </c>
      <c r="K93" s="8">
        <f t="shared" ca="1" si="9"/>
        <v>-3.2869962751647108E-7</v>
      </c>
      <c r="L93" s="62">
        <f>VLOOKUP($B93,Overall!$B$5:$I$13,8)</f>
        <v>0</v>
      </c>
      <c r="M93" s="58"/>
      <c r="N93" s="3" t="str">
        <f t="shared" si="10"/>
        <v/>
      </c>
      <c r="O93" s="3" t="str">
        <f t="shared" si="11"/>
        <v/>
      </c>
      <c r="P93" s="3" t="str">
        <f t="shared" si="12"/>
        <v/>
      </c>
      <c r="Q93" s="3">
        <f t="shared" si="13"/>
        <v>0</v>
      </c>
      <c r="R93" s="3">
        <f t="shared" si="14"/>
        <v>0</v>
      </c>
      <c r="S93" s="3" t="e" cm="1">
        <f t="array" aca="1" ref="S93" ca="1">SUMPRODUCT(MID($P93,ROW(INDIRECT("1:23")),1)*2^(-ROW(INDIRECT("1:23"))))</f>
        <v>#VALUE!</v>
      </c>
      <c r="T93" s="3" t="e">
        <f t="shared" ca="1" si="15"/>
        <v>#VALUE!</v>
      </c>
      <c r="U93" s="3" t="e">
        <f t="shared" ca="1" si="16"/>
        <v>#VALUE!</v>
      </c>
      <c r="V93" s="73"/>
      <c r="W93" s="9" t="str">
        <f t="shared" si="17"/>
        <v>OK</v>
      </c>
    </row>
    <row r="94" spans="1:23" x14ac:dyDescent="0.3">
      <c r="A94" s="44">
        <v>91</v>
      </c>
      <c r="B94" s="14">
        <v>3</v>
      </c>
      <c r="C94" s="4">
        <v>1</v>
      </c>
      <c r="D94" s="3" t="str">
        <f>VLOOKUP($C94,Overall!$K$5:$T$36,2)</f>
        <v>Underflow</v>
      </c>
      <c r="E94" s="3">
        <f ca="1">VLOOKUP($C94,Overall!$K$5:$T$36,10)</f>
        <v>1.4012984643248171E-45</v>
      </c>
      <c r="F94" s="9" t="str">
        <f>VLOOKUP($C94,Overall!$K$5:$T$36,6)</f>
        <v>00000000000000000000000000000001</v>
      </c>
      <c r="G94" s="8">
        <v>31</v>
      </c>
      <c r="H94" s="3" t="str">
        <f>VLOOKUP($G94,Overall!$K$5:$T$36,2)</f>
        <v>Normal</v>
      </c>
      <c r="I94" s="3">
        <f ca="1">VLOOKUP($G94,Overall!$K$5:$T$36,10)</f>
        <v>-3.4028232635611926E+38</v>
      </c>
      <c r="J94" s="62" t="str">
        <f>VLOOKUP($G94,Overall!$K$5:$T$36,6)</f>
        <v>11111111011111111111111111111110</v>
      </c>
      <c r="K94" s="8">
        <f t="shared" ca="1" si="9"/>
        <v>-4.7683710135970614E-7</v>
      </c>
      <c r="L94" s="62">
        <f>VLOOKUP($B94,Overall!$B$5:$I$13,8)</f>
        <v>0</v>
      </c>
      <c r="M94" s="58"/>
      <c r="N94" s="3" t="str">
        <f t="shared" si="10"/>
        <v/>
      </c>
      <c r="O94" s="3" t="str">
        <f t="shared" si="11"/>
        <v/>
      </c>
      <c r="P94" s="3" t="str">
        <f t="shared" si="12"/>
        <v/>
      </c>
      <c r="Q94" s="3">
        <f t="shared" si="13"/>
        <v>0</v>
      </c>
      <c r="R94" s="3">
        <f t="shared" si="14"/>
        <v>0</v>
      </c>
      <c r="S94" s="3" t="e" cm="1">
        <f t="array" aca="1" ref="S94" ca="1">SUMPRODUCT(MID($P94,ROW(INDIRECT("1:23")),1)*2^(-ROW(INDIRECT("1:23"))))</f>
        <v>#VALUE!</v>
      </c>
      <c r="T94" s="3" t="e">
        <f t="shared" ca="1" si="15"/>
        <v>#VALUE!</v>
      </c>
      <c r="U94" s="3" t="e">
        <f t="shared" ca="1" si="16"/>
        <v>#VALUE!</v>
      </c>
      <c r="V94" s="73"/>
      <c r="W94" s="9" t="str">
        <f t="shared" si="17"/>
        <v>OK</v>
      </c>
    </row>
    <row r="95" spans="1:23" x14ac:dyDescent="0.3">
      <c r="A95" s="44">
        <v>92</v>
      </c>
      <c r="B95" s="14">
        <v>3</v>
      </c>
      <c r="C95" s="4">
        <v>1</v>
      </c>
      <c r="D95" s="3" t="str">
        <f>VLOOKUP($C95,Overall!$K$5:$T$36,2)</f>
        <v>Underflow</v>
      </c>
      <c r="E95" s="3">
        <f ca="1">VLOOKUP($C95,Overall!$K$5:$T$36,10)</f>
        <v>1.4012984643248171E-45</v>
      </c>
      <c r="F95" s="9" t="str">
        <f>VLOOKUP($C95,Overall!$K$5:$T$36,6)</f>
        <v>00000000000000000000000000000001</v>
      </c>
      <c r="G95" s="8">
        <v>32</v>
      </c>
      <c r="H95" s="3" t="str">
        <f>VLOOKUP($G95,Overall!$K$5:$T$36,2)</f>
        <v>Normal</v>
      </c>
      <c r="I95" s="3">
        <f ca="1">VLOOKUP($G95,Overall!$K$5:$T$36,10)</f>
        <v>-3.4028234663852886E+38</v>
      </c>
      <c r="J95" s="62" t="str">
        <f>VLOOKUP($G95,Overall!$K$5:$T$36,6)</f>
        <v>11111111011111111111111111111111</v>
      </c>
      <c r="K95" s="8">
        <f t="shared" ca="1" si="9"/>
        <v>-4.7683712978141557E-7</v>
      </c>
      <c r="L95" s="62">
        <f>VLOOKUP($B95,Overall!$B$5:$I$13,8)</f>
        <v>0</v>
      </c>
      <c r="M95" s="58"/>
      <c r="N95" s="3" t="str">
        <f t="shared" si="10"/>
        <v/>
      </c>
      <c r="O95" s="3" t="str">
        <f t="shared" si="11"/>
        <v/>
      </c>
      <c r="P95" s="3" t="str">
        <f t="shared" si="12"/>
        <v/>
      </c>
      <c r="Q95" s="3">
        <f t="shared" si="13"/>
        <v>0</v>
      </c>
      <c r="R95" s="3">
        <f t="shared" si="14"/>
        <v>0</v>
      </c>
      <c r="S95" s="3" t="e" cm="1">
        <f t="array" aca="1" ref="S95" ca="1">SUMPRODUCT(MID($P95,ROW(INDIRECT("1:23")),1)*2^(-ROW(INDIRECT("1:23"))))</f>
        <v>#VALUE!</v>
      </c>
      <c r="T95" s="3" t="e">
        <f t="shared" ca="1" si="15"/>
        <v>#VALUE!</v>
      </c>
      <c r="U95" s="3" t="e">
        <f t="shared" ca="1" si="16"/>
        <v>#VALUE!</v>
      </c>
      <c r="V95" s="73"/>
      <c r="W95" s="9" t="str">
        <f t="shared" si="17"/>
        <v>OK</v>
      </c>
    </row>
    <row r="96" spans="1:23" x14ac:dyDescent="0.3">
      <c r="A96" s="44">
        <v>93</v>
      </c>
      <c r="B96" s="14">
        <v>3</v>
      </c>
      <c r="C96" s="4">
        <v>2</v>
      </c>
      <c r="D96" s="3" t="str">
        <f>VLOOKUP($C96,Overall!$K$5:$T$36,2)</f>
        <v>Underflow</v>
      </c>
      <c r="E96" s="3">
        <f ca="1">VLOOKUP($C96,Overall!$K$5:$T$36,10)</f>
        <v>2.9387386796526474E-39</v>
      </c>
      <c r="F96" s="9" t="str">
        <f>VLOOKUP($C96,Overall!$K$5:$T$36,6)</f>
        <v>00000000001000000000000000000010</v>
      </c>
      <c r="G96" s="8">
        <v>13</v>
      </c>
      <c r="H96" s="3" t="str">
        <f>VLOOKUP($G96,Overall!$K$5:$T$36,2)</f>
        <v>Normal</v>
      </c>
      <c r="I96" s="3">
        <f ca="1">VLOOKUP($G96,Overall!$K$5:$T$36,10)</f>
        <v>0</v>
      </c>
      <c r="J96" s="62" t="str">
        <f>VLOOKUP($G96,Overall!$K$5:$T$36,6)</f>
        <v>00000000000000000000000000000000</v>
      </c>
      <c r="K96" s="8">
        <f t="shared" ca="1" si="9"/>
        <v>0</v>
      </c>
      <c r="L96" s="62">
        <f>VLOOKUP($B96,Overall!$B$5:$I$13,8)</f>
        <v>0</v>
      </c>
      <c r="M96" s="58"/>
      <c r="N96" s="3" t="str">
        <f t="shared" si="10"/>
        <v/>
      </c>
      <c r="O96" s="3" t="str">
        <f t="shared" si="11"/>
        <v/>
      </c>
      <c r="P96" s="3" t="str">
        <f t="shared" si="12"/>
        <v/>
      </c>
      <c r="Q96" s="3">
        <f t="shared" si="13"/>
        <v>0</v>
      </c>
      <c r="R96" s="3">
        <f t="shared" si="14"/>
        <v>0</v>
      </c>
      <c r="S96" s="3" t="e" cm="1">
        <f t="array" aca="1" ref="S96" ca="1">SUMPRODUCT(MID($P96,ROW(INDIRECT("1:23")),1)*2^(-ROW(INDIRECT("1:23"))))</f>
        <v>#VALUE!</v>
      </c>
      <c r="T96" s="3" t="e">
        <f t="shared" ca="1" si="15"/>
        <v>#VALUE!</v>
      </c>
      <c r="U96" s="3" t="e">
        <f t="shared" ca="1" si="16"/>
        <v>#VALUE!</v>
      </c>
      <c r="V96" s="73"/>
      <c r="W96" s="9" t="str">
        <f t="shared" si="17"/>
        <v>OK</v>
      </c>
    </row>
    <row r="97" spans="1:23" x14ac:dyDescent="0.3">
      <c r="A97" s="44">
        <v>94</v>
      </c>
      <c r="B97" s="14">
        <v>3</v>
      </c>
      <c r="C97" s="4">
        <v>2</v>
      </c>
      <c r="D97" s="3" t="str">
        <f>VLOOKUP($C97,Overall!$K$5:$T$36,2)</f>
        <v>Underflow</v>
      </c>
      <c r="E97" s="3">
        <f ca="1">VLOOKUP($C97,Overall!$K$5:$T$36,10)</f>
        <v>2.9387386796526474E-39</v>
      </c>
      <c r="F97" s="9" t="str">
        <f>VLOOKUP($C97,Overall!$K$5:$T$36,6)</f>
        <v>00000000001000000000000000000010</v>
      </c>
      <c r="G97" s="8">
        <v>14</v>
      </c>
      <c r="H97" s="3" t="str">
        <f>VLOOKUP($G97,Overall!$K$5:$T$36,2)</f>
        <v>Normal</v>
      </c>
      <c r="I97" s="3">
        <f ca="1">VLOOKUP($G97,Overall!$K$5:$T$36,10)</f>
        <v>0</v>
      </c>
      <c r="J97" s="62" t="str">
        <f>VLOOKUP($G97,Overall!$K$5:$T$36,6)</f>
        <v>10000000000000000000000000000000</v>
      </c>
      <c r="K97" s="8">
        <f t="shared" ca="1" si="9"/>
        <v>0</v>
      </c>
      <c r="L97" s="62">
        <f>VLOOKUP($B97,Overall!$B$5:$I$13,8)</f>
        <v>0</v>
      </c>
      <c r="M97" s="58"/>
      <c r="N97" s="3" t="str">
        <f t="shared" si="10"/>
        <v/>
      </c>
      <c r="O97" s="3" t="str">
        <f t="shared" si="11"/>
        <v/>
      </c>
      <c r="P97" s="3" t="str">
        <f t="shared" si="12"/>
        <v/>
      </c>
      <c r="Q97" s="3">
        <f t="shared" si="13"/>
        <v>0</v>
      </c>
      <c r="R97" s="3">
        <f t="shared" si="14"/>
        <v>0</v>
      </c>
      <c r="S97" s="3" t="e" cm="1">
        <f t="array" aca="1" ref="S97" ca="1">SUMPRODUCT(MID($P97,ROW(INDIRECT("1:23")),1)*2^(-ROW(INDIRECT("1:23"))))</f>
        <v>#VALUE!</v>
      </c>
      <c r="T97" s="3" t="e">
        <f t="shared" ca="1" si="15"/>
        <v>#VALUE!</v>
      </c>
      <c r="U97" s="3" t="e">
        <f t="shared" ca="1" si="16"/>
        <v>#VALUE!</v>
      </c>
      <c r="V97" s="73"/>
      <c r="W97" s="9" t="str">
        <f t="shared" si="17"/>
        <v>OK</v>
      </c>
    </row>
    <row r="98" spans="1:23" x14ac:dyDescent="0.3">
      <c r="A98" s="44">
        <v>95</v>
      </c>
      <c r="B98" s="14">
        <v>3</v>
      </c>
      <c r="C98" s="4">
        <v>2</v>
      </c>
      <c r="D98" s="3" t="str">
        <f>VLOOKUP($C98,Overall!$K$5:$T$36,2)</f>
        <v>Underflow</v>
      </c>
      <c r="E98" s="3">
        <f ca="1">VLOOKUP($C98,Overall!$K$5:$T$36,10)</f>
        <v>2.9387386796526474E-39</v>
      </c>
      <c r="F98" s="9" t="str">
        <f>VLOOKUP($C98,Overall!$K$5:$T$36,6)</f>
        <v>00000000001000000000000000000010</v>
      </c>
      <c r="G98" s="8">
        <v>15</v>
      </c>
      <c r="H98" s="3" t="str">
        <f>VLOOKUP($G98,Overall!$K$5:$T$36,2)</f>
        <v>Normal</v>
      </c>
      <c r="I98" s="3">
        <f ca="1">VLOOKUP($G98,Overall!$K$5:$T$36,10)</f>
        <v>1.1754943508222875E-38</v>
      </c>
      <c r="J98" s="62" t="str">
        <f>VLOOKUP($G98,Overall!$K$5:$T$36,6)</f>
        <v>00000000100000000000000000000000</v>
      </c>
      <c r="K98" s="8">
        <f t="shared" ca="1" si="9"/>
        <v>3.4544707164746351E-77</v>
      </c>
      <c r="L98" s="62">
        <f>VLOOKUP($B98,Overall!$B$5:$I$13,8)</f>
        <v>0</v>
      </c>
      <c r="M98" s="58"/>
      <c r="N98" s="3" t="str">
        <f t="shared" si="10"/>
        <v/>
      </c>
      <c r="O98" s="3" t="str">
        <f t="shared" si="11"/>
        <v/>
      </c>
      <c r="P98" s="3" t="str">
        <f t="shared" si="12"/>
        <v/>
      </c>
      <c r="Q98" s="3">
        <f t="shared" si="13"/>
        <v>0</v>
      </c>
      <c r="R98" s="3">
        <f t="shared" si="14"/>
        <v>0</v>
      </c>
      <c r="S98" s="3" t="e" cm="1">
        <f t="array" aca="1" ref="S98" ca="1">SUMPRODUCT(MID($P98,ROW(INDIRECT("1:23")),1)*2^(-ROW(INDIRECT("1:23"))))</f>
        <v>#VALUE!</v>
      </c>
      <c r="T98" s="3" t="e">
        <f t="shared" ca="1" si="15"/>
        <v>#VALUE!</v>
      </c>
      <c r="U98" s="3" t="e">
        <f t="shared" ca="1" si="16"/>
        <v>#VALUE!</v>
      </c>
      <c r="V98" s="73"/>
      <c r="W98" s="9" t="str">
        <f t="shared" si="17"/>
        <v>OK</v>
      </c>
    </row>
    <row r="99" spans="1:23" x14ac:dyDescent="0.3">
      <c r="A99" s="44">
        <v>96</v>
      </c>
      <c r="B99" s="14">
        <v>3</v>
      </c>
      <c r="C99" s="4">
        <v>2</v>
      </c>
      <c r="D99" s="3" t="str">
        <f>VLOOKUP($C99,Overall!$K$5:$T$36,2)</f>
        <v>Underflow</v>
      </c>
      <c r="E99" s="3">
        <f ca="1">VLOOKUP($C99,Overall!$K$5:$T$36,10)</f>
        <v>2.9387386796526474E-39</v>
      </c>
      <c r="F99" s="9" t="str">
        <f>VLOOKUP($C99,Overall!$K$5:$T$36,6)</f>
        <v>00000000001000000000000000000010</v>
      </c>
      <c r="G99" s="8">
        <v>16</v>
      </c>
      <c r="H99" s="3" t="str">
        <f>VLOOKUP($G99,Overall!$K$5:$T$36,2)</f>
        <v>Normal</v>
      </c>
      <c r="I99" s="3">
        <f ca="1">VLOOKUP($G99,Overall!$K$5:$T$36,10)</f>
        <v>1.1754944909521339E-38</v>
      </c>
      <c r="J99" s="62" t="str">
        <f>VLOOKUP($G99,Overall!$K$5:$T$36,6)</f>
        <v>00000000100000000000000000000001</v>
      </c>
      <c r="K99" s="8">
        <f t="shared" ca="1" si="9"/>
        <v>3.454471128279635E-77</v>
      </c>
      <c r="L99" s="62">
        <f>VLOOKUP($B99,Overall!$B$5:$I$13,8)</f>
        <v>0</v>
      </c>
      <c r="M99" s="58"/>
      <c r="N99" s="3" t="str">
        <f t="shared" si="10"/>
        <v/>
      </c>
      <c r="O99" s="3" t="str">
        <f t="shared" si="11"/>
        <v/>
      </c>
      <c r="P99" s="3" t="str">
        <f t="shared" si="12"/>
        <v/>
      </c>
      <c r="Q99" s="3">
        <f t="shared" si="13"/>
        <v>0</v>
      </c>
      <c r="R99" s="3">
        <f t="shared" si="14"/>
        <v>0</v>
      </c>
      <c r="S99" s="3" t="e" cm="1">
        <f t="array" aca="1" ref="S99" ca="1">SUMPRODUCT(MID($P99,ROW(INDIRECT("1:23")),1)*2^(-ROW(INDIRECT("1:23"))))</f>
        <v>#VALUE!</v>
      </c>
      <c r="T99" s="3" t="e">
        <f t="shared" ca="1" si="15"/>
        <v>#VALUE!</v>
      </c>
      <c r="U99" s="3" t="e">
        <f t="shared" ca="1" si="16"/>
        <v>#VALUE!</v>
      </c>
      <c r="V99" s="73"/>
      <c r="W99" s="9" t="str">
        <f t="shared" si="17"/>
        <v>OK</v>
      </c>
    </row>
    <row r="100" spans="1:23" x14ac:dyDescent="0.3">
      <c r="A100" s="44">
        <v>97</v>
      </c>
      <c r="B100" s="14">
        <v>3</v>
      </c>
      <c r="C100" s="4">
        <v>2</v>
      </c>
      <c r="D100" s="3" t="str">
        <f>VLOOKUP($C100,Overall!$K$5:$T$36,2)</f>
        <v>Underflow</v>
      </c>
      <c r="E100" s="3">
        <f ca="1">VLOOKUP($C100,Overall!$K$5:$T$36,10)</f>
        <v>2.9387386796526474E-39</v>
      </c>
      <c r="F100" s="9" t="str">
        <f>VLOOKUP($C100,Overall!$K$5:$T$36,6)</f>
        <v>00000000001000000000000000000010</v>
      </c>
      <c r="G100" s="8">
        <v>17</v>
      </c>
      <c r="H100" s="3" t="str">
        <f>VLOOKUP($G100,Overall!$K$5:$T$36,2)</f>
        <v>Normal</v>
      </c>
      <c r="I100" s="3">
        <f ca="1">VLOOKUP($G100,Overall!$K$5:$T$36,10)</f>
        <v>0.5</v>
      </c>
      <c r="J100" s="62" t="str">
        <f>VLOOKUP($G100,Overall!$K$5:$T$36,6)</f>
        <v>00111111000000000000000000000000</v>
      </c>
      <c r="K100" s="8">
        <f t="shared" ca="1" si="9"/>
        <v>1.4693693398263237E-39</v>
      </c>
      <c r="L100" s="62">
        <f>VLOOKUP($B100,Overall!$B$5:$I$13,8)</f>
        <v>0</v>
      </c>
      <c r="M100" s="58"/>
      <c r="N100" s="3" t="str">
        <f t="shared" si="10"/>
        <v/>
      </c>
      <c r="O100" s="3" t="str">
        <f t="shared" si="11"/>
        <v/>
      </c>
      <c r="P100" s="3" t="str">
        <f t="shared" si="12"/>
        <v/>
      </c>
      <c r="Q100" s="3">
        <f t="shared" si="13"/>
        <v>0</v>
      </c>
      <c r="R100" s="3">
        <f t="shared" si="14"/>
        <v>0</v>
      </c>
      <c r="S100" s="3" t="e" cm="1">
        <f t="array" aca="1" ref="S100" ca="1">SUMPRODUCT(MID($P100,ROW(INDIRECT("1:23")),1)*2^(-ROW(INDIRECT("1:23"))))</f>
        <v>#VALUE!</v>
      </c>
      <c r="T100" s="3" t="e">
        <f t="shared" ca="1" si="15"/>
        <v>#VALUE!</v>
      </c>
      <c r="U100" s="3" t="e">
        <f t="shared" ca="1" si="16"/>
        <v>#VALUE!</v>
      </c>
      <c r="V100" s="73"/>
      <c r="W100" s="9" t="str">
        <f t="shared" si="17"/>
        <v>OK</v>
      </c>
    </row>
    <row r="101" spans="1:23" x14ac:dyDescent="0.3">
      <c r="A101" s="44">
        <v>98</v>
      </c>
      <c r="B101" s="14">
        <v>3</v>
      </c>
      <c r="C101" s="4">
        <v>2</v>
      </c>
      <c r="D101" s="3" t="str">
        <f>VLOOKUP($C101,Overall!$K$5:$T$36,2)</f>
        <v>Underflow</v>
      </c>
      <c r="E101" s="3">
        <f ca="1">VLOOKUP($C101,Overall!$K$5:$T$36,10)</f>
        <v>2.9387386796526474E-39</v>
      </c>
      <c r="F101" s="9" t="str">
        <f>VLOOKUP($C101,Overall!$K$5:$T$36,6)</f>
        <v>00000000001000000000000000000010</v>
      </c>
      <c r="G101" s="8">
        <v>18</v>
      </c>
      <c r="H101" s="3" t="str">
        <f>VLOOKUP($G101,Overall!$K$5:$T$36,2)</f>
        <v>Normal</v>
      </c>
      <c r="I101" s="3">
        <f ca="1">VLOOKUP($G101,Overall!$K$5:$T$36,10)</f>
        <v>1</v>
      </c>
      <c r="J101" s="62" t="str">
        <f>VLOOKUP($G101,Overall!$K$5:$T$36,6)</f>
        <v>00111111100000000000000000000000</v>
      </c>
      <c r="K101" s="8">
        <f t="shared" ca="1" si="9"/>
        <v>2.9387386796526474E-39</v>
      </c>
      <c r="L101" s="62">
        <f>VLOOKUP($B101,Overall!$B$5:$I$13,8)</f>
        <v>0</v>
      </c>
      <c r="M101" s="58"/>
      <c r="N101" s="3" t="str">
        <f t="shared" si="10"/>
        <v/>
      </c>
      <c r="O101" s="3" t="str">
        <f t="shared" si="11"/>
        <v/>
      </c>
      <c r="P101" s="3" t="str">
        <f t="shared" si="12"/>
        <v/>
      </c>
      <c r="Q101" s="3">
        <f t="shared" si="13"/>
        <v>0</v>
      </c>
      <c r="R101" s="3">
        <f t="shared" si="14"/>
        <v>0</v>
      </c>
      <c r="S101" s="3" t="e" cm="1">
        <f t="array" aca="1" ref="S101" ca="1">SUMPRODUCT(MID($P101,ROW(INDIRECT("1:23")),1)*2^(-ROW(INDIRECT("1:23"))))</f>
        <v>#VALUE!</v>
      </c>
      <c r="T101" s="3" t="e">
        <f t="shared" ca="1" si="15"/>
        <v>#VALUE!</v>
      </c>
      <c r="U101" s="3" t="e">
        <f t="shared" ca="1" si="16"/>
        <v>#VALUE!</v>
      </c>
      <c r="V101" s="73"/>
      <c r="W101" s="9" t="str">
        <f t="shared" si="17"/>
        <v>OK</v>
      </c>
    </row>
    <row r="102" spans="1:23" x14ac:dyDescent="0.3">
      <c r="A102" s="44">
        <v>99</v>
      </c>
      <c r="B102" s="14">
        <v>3</v>
      </c>
      <c r="C102" s="4">
        <v>2</v>
      </c>
      <c r="D102" s="3" t="str">
        <f>VLOOKUP($C102,Overall!$K$5:$T$36,2)</f>
        <v>Underflow</v>
      </c>
      <c r="E102" s="3">
        <f ca="1">VLOOKUP($C102,Overall!$K$5:$T$36,10)</f>
        <v>2.9387386796526474E-39</v>
      </c>
      <c r="F102" s="9" t="str">
        <f>VLOOKUP($C102,Overall!$K$5:$T$36,6)</f>
        <v>00000000001000000000000000000010</v>
      </c>
      <c r="G102" s="8">
        <v>19</v>
      </c>
      <c r="H102" s="3" t="str">
        <f>VLOOKUP($G102,Overall!$K$5:$T$36,2)</f>
        <v>Normal</v>
      </c>
      <c r="I102" s="3">
        <f ca="1">VLOOKUP($G102,Overall!$K$5:$T$36,10)</f>
        <v>1.5</v>
      </c>
      <c r="J102" s="62" t="str">
        <f>VLOOKUP($G102,Overall!$K$5:$T$36,6)</f>
        <v>00111111110000000000000000000000</v>
      </c>
      <c r="K102" s="8">
        <f t="shared" ca="1" si="9"/>
        <v>4.4081080194789711E-39</v>
      </c>
      <c r="L102" s="62">
        <f>VLOOKUP($B102,Overall!$B$5:$I$13,8)</f>
        <v>0</v>
      </c>
      <c r="M102" s="58"/>
      <c r="N102" s="3" t="str">
        <f t="shared" si="10"/>
        <v/>
      </c>
      <c r="O102" s="3" t="str">
        <f t="shared" si="11"/>
        <v/>
      </c>
      <c r="P102" s="3" t="str">
        <f t="shared" si="12"/>
        <v/>
      </c>
      <c r="Q102" s="3">
        <f t="shared" si="13"/>
        <v>0</v>
      </c>
      <c r="R102" s="3">
        <f t="shared" si="14"/>
        <v>0</v>
      </c>
      <c r="S102" s="3" t="e" cm="1">
        <f t="array" aca="1" ref="S102" ca="1">SUMPRODUCT(MID($P102,ROW(INDIRECT("1:23")),1)*2^(-ROW(INDIRECT("1:23"))))</f>
        <v>#VALUE!</v>
      </c>
      <c r="T102" s="3" t="e">
        <f t="shared" ca="1" si="15"/>
        <v>#VALUE!</v>
      </c>
      <c r="U102" s="3" t="e">
        <f t="shared" ca="1" si="16"/>
        <v>#VALUE!</v>
      </c>
      <c r="V102" s="73"/>
      <c r="W102" s="9" t="str">
        <f t="shared" si="17"/>
        <v>OK</v>
      </c>
    </row>
    <row r="103" spans="1:23" x14ac:dyDescent="0.3">
      <c r="A103" s="44">
        <v>100</v>
      </c>
      <c r="B103" s="14">
        <v>3</v>
      </c>
      <c r="C103" s="4">
        <v>2</v>
      </c>
      <c r="D103" s="3" t="str">
        <f>VLOOKUP($C103,Overall!$K$5:$T$36,2)</f>
        <v>Underflow</v>
      </c>
      <c r="E103" s="3">
        <f ca="1">VLOOKUP($C103,Overall!$K$5:$T$36,10)</f>
        <v>2.9387386796526474E-39</v>
      </c>
      <c r="F103" s="9" t="str">
        <f>VLOOKUP($C103,Overall!$K$5:$T$36,6)</f>
        <v>00000000001000000000000000000010</v>
      </c>
      <c r="G103" s="8">
        <v>20</v>
      </c>
      <c r="H103" s="3" t="str">
        <f>VLOOKUP($G103,Overall!$K$5:$T$36,2)</f>
        <v>Normal</v>
      </c>
      <c r="I103" s="3">
        <f ca="1">VLOOKUP($G103,Overall!$K$5:$T$36,10)</f>
        <v>12345.6787109375</v>
      </c>
      <c r="J103" s="62" t="str">
        <f>VLOOKUP($G103,Overall!$K$5:$T$36,6)</f>
        <v>001000110010000001110011010110111</v>
      </c>
      <c r="K103" s="8">
        <f t="shared" ca="1" si="9"/>
        <v>3.6280723554396267E-35</v>
      </c>
      <c r="L103" s="62">
        <f>VLOOKUP($B103,Overall!$B$5:$I$13,8)</f>
        <v>0</v>
      </c>
      <c r="M103" s="58"/>
      <c r="N103" s="3" t="str">
        <f t="shared" si="10"/>
        <v/>
      </c>
      <c r="O103" s="3" t="str">
        <f t="shared" si="11"/>
        <v/>
      </c>
      <c r="P103" s="3" t="str">
        <f t="shared" si="12"/>
        <v/>
      </c>
      <c r="Q103" s="3">
        <f t="shared" si="13"/>
        <v>0</v>
      </c>
      <c r="R103" s="3">
        <f t="shared" si="14"/>
        <v>0</v>
      </c>
      <c r="S103" s="3" t="e" cm="1">
        <f t="array" aca="1" ref="S103" ca="1">SUMPRODUCT(MID($P103,ROW(INDIRECT("1:23")),1)*2^(-ROW(INDIRECT("1:23"))))</f>
        <v>#VALUE!</v>
      </c>
      <c r="T103" s="3" t="e">
        <f t="shared" ca="1" si="15"/>
        <v>#VALUE!</v>
      </c>
      <c r="U103" s="3" t="e">
        <f t="shared" ca="1" si="16"/>
        <v>#VALUE!</v>
      </c>
      <c r="V103" s="73"/>
      <c r="W103" s="9" t="str">
        <f t="shared" si="17"/>
        <v>OK</v>
      </c>
    </row>
    <row r="104" spans="1:23" x14ac:dyDescent="0.3">
      <c r="A104" s="44">
        <v>101</v>
      </c>
      <c r="B104" s="14">
        <v>3</v>
      </c>
      <c r="C104" s="4">
        <v>2</v>
      </c>
      <c r="D104" s="3" t="str">
        <f>VLOOKUP($C104,Overall!$K$5:$T$36,2)</f>
        <v>Underflow</v>
      </c>
      <c r="E104" s="3">
        <f ca="1">VLOOKUP($C104,Overall!$K$5:$T$36,10)</f>
        <v>2.9387386796526474E-39</v>
      </c>
      <c r="F104" s="9" t="str">
        <f>VLOOKUP($C104,Overall!$K$5:$T$36,6)</f>
        <v>00000000001000000000000000000010</v>
      </c>
      <c r="G104" s="8">
        <v>21</v>
      </c>
      <c r="H104" s="3" t="str">
        <f>VLOOKUP($G104,Overall!$K$5:$T$36,2)</f>
        <v>Normal</v>
      </c>
      <c r="I104" s="3">
        <f ca="1">VLOOKUP($G104,Overall!$K$5:$T$36,10)</f>
        <v>2.345678924830959E+38</v>
      </c>
      <c r="J104" s="62" t="str">
        <f>VLOOKUP($G104,Overall!$K$5:$T$36,6)</f>
        <v>01111111001100000111100000100010</v>
      </c>
      <c r="K104" s="8">
        <f t="shared" ca="1" si="9"/>
        <v>0.6893337386446774</v>
      </c>
      <c r="L104" s="62">
        <f>VLOOKUP($B104,Overall!$B$5:$I$13,8)</f>
        <v>0</v>
      </c>
      <c r="M104" s="58"/>
      <c r="N104" s="3" t="str">
        <f t="shared" si="10"/>
        <v/>
      </c>
      <c r="O104" s="3" t="str">
        <f t="shared" si="11"/>
        <v/>
      </c>
      <c r="P104" s="3" t="str">
        <f t="shared" si="12"/>
        <v/>
      </c>
      <c r="Q104" s="3">
        <f t="shared" si="13"/>
        <v>0</v>
      </c>
      <c r="R104" s="3">
        <f t="shared" si="14"/>
        <v>0</v>
      </c>
      <c r="S104" s="3" t="e" cm="1">
        <f t="array" aca="1" ref="S104" ca="1">SUMPRODUCT(MID($P104,ROW(INDIRECT("1:23")),1)*2^(-ROW(INDIRECT("1:23"))))</f>
        <v>#VALUE!</v>
      </c>
      <c r="T104" s="3" t="e">
        <f t="shared" ca="1" si="15"/>
        <v>#VALUE!</v>
      </c>
      <c r="U104" s="3" t="e">
        <f t="shared" ca="1" si="16"/>
        <v>#VALUE!</v>
      </c>
      <c r="V104" s="73"/>
      <c r="W104" s="9" t="str">
        <f t="shared" si="17"/>
        <v>OK</v>
      </c>
    </row>
    <row r="105" spans="1:23" x14ac:dyDescent="0.3">
      <c r="A105" s="44">
        <v>102</v>
      </c>
      <c r="B105" s="14">
        <v>3</v>
      </c>
      <c r="C105" s="4">
        <v>2</v>
      </c>
      <c r="D105" s="3" t="str">
        <f>VLOOKUP($C105,Overall!$K$5:$T$36,2)</f>
        <v>Underflow</v>
      </c>
      <c r="E105" s="3">
        <f ca="1">VLOOKUP($C105,Overall!$K$5:$T$36,10)</f>
        <v>2.9387386796526474E-39</v>
      </c>
      <c r="F105" s="9" t="str">
        <f>VLOOKUP($C105,Overall!$K$5:$T$36,6)</f>
        <v>00000000001000000000000000000010</v>
      </c>
      <c r="G105" s="8">
        <v>22</v>
      </c>
      <c r="H105" s="3" t="str">
        <f>VLOOKUP($G105,Overall!$K$5:$T$36,2)</f>
        <v>Normal</v>
      </c>
      <c r="I105" s="3">
        <f ca="1">VLOOKUP($G105,Overall!$K$5:$T$36,10)</f>
        <v>3.4028232635611926E+38</v>
      </c>
      <c r="J105" s="62" t="str">
        <f>VLOOKUP($G105,Overall!$K$5:$T$36,6)</f>
        <v>01111111011111111111111111111110</v>
      </c>
      <c r="K105" s="8">
        <f t="shared" ca="1" si="9"/>
        <v>1.0000008344649132</v>
      </c>
      <c r="L105" s="62">
        <f>VLOOKUP($B105,Overall!$B$5:$I$13,8)</f>
        <v>0</v>
      </c>
      <c r="M105" s="58"/>
      <c r="N105" s="3" t="str">
        <f t="shared" si="10"/>
        <v/>
      </c>
      <c r="O105" s="3" t="str">
        <f t="shared" si="11"/>
        <v/>
      </c>
      <c r="P105" s="3" t="str">
        <f t="shared" si="12"/>
        <v/>
      </c>
      <c r="Q105" s="3">
        <f t="shared" si="13"/>
        <v>0</v>
      </c>
      <c r="R105" s="3">
        <f t="shared" si="14"/>
        <v>0</v>
      </c>
      <c r="S105" s="3" t="e" cm="1">
        <f t="array" aca="1" ref="S105" ca="1">SUMPRODUCT(MID($P105,ROW(INDIRECT("1:23")),1)*2^(-ROW(INDIRECT("1:23"))))</f>
        <v>#VALUE!</v>
      </c>
      <c r="T105" s="3" t="e">
        <f t="shared" ca="1" si="15"/>
        <v>#VALUE!</v>
      </c>
      <c r="U105" s="3" t="e">
        <f t="shared" ca="1" si="16"/>
        <v>#VALUE!</v>
      </c>
      <c r="V105" s="73"/>
      <c r="W105" s="9" t="str">
        <f t="shared" si="17"/>
        <v>OK</v>
      </c>
    </row>
    <row r="106" spans="1:23" x14ac:dyDescent="0.3">
      <c r="A106" s="44">
        <v>103</v>
      </c>
      <c r="B106" s="14">
        <v>3</v>
      </c>
      <c r="C106" s="4">
        <v>2</v>
      </c>
      <c r="D106" s="3" t="str">
        <f>VLOOKUP($C106,Overall!$K$5:$T$36,2)</f>
        <v>Underflow</v>
      </c>
      <c r="E106" s="3">
        <f ca="1">VLOOKUP($C106,Overall!$K$5:$T$36,10)</f>
        <v>2.9387386796526474E-39</v>
      </c>
      <c r="F106" s="9" t="str">
        <f>VLOOKUP($C106,Overall!$K$5:$T$36,6)</f>
        <v>00000000001000000000000000000010</v>
      </c>
      <c r="G106" s="8">
        <v>23</v>
      </c>
      <c r="H106" s="3" t="str">
        <f>VLOOKUP($G106,Overall!$K$5:$T$36,2)</f>
        <v>Normal</v>
      </c>
      <c r="I106" s="3">
        <f ca="1">VLOOKUP($G106,Overall!$K$5:$T$36,10)</f>
        <v>3.4028234663852886E+38</v>
      </c>
      <c r="J106" s="62" t="str">
        <f>VLOOKUP($G106,Overall!$K$5:$T$36,6)</f>
        <v>01111111011111111111111111111111</v>
      </c>
      <c r="K106" s="8">
        <f t="shared" ca="1" si="9"/>
        <v>1.0000008940696148</v>
      </c>
      <c r="L106" s="62">
        <f>VLOOKUP($B106,Overall!$B$5:$I$13,8)</f>
        <v>0</v>
      </c>
      <c r="M106" s="58"/>
      <c r="N106" s="3" t="str">
        <f t="shared" si="10"/>
        <v/>
      </c>
      <c r="O106" s="3" t="str">
        <f t="shared" si="11"/>
        <v/>
      </c>
      <c r="P106" s="3" t="str">
        <f t="shared" si="12"/>
        <v/>
      </c>
      <c r="Q106" s="3">
        <f t="shared" si="13"/>
        <v>0</v>
      </c>
      <c r="R106" s="3">
        <f t="shared" si="14"/>
        <v>0</v>
      </c>
      <c r="S106" s="3" t="e" cm="1">
        <f t="array" aca="1" ref="S106" ca="1">SUMPRODUCT(MID($P106,ROW(INDIRECT("1:23")),1)*2^(-ROW(INDIRECT("1:23"))))</f>
        <v>#VALUE!</v>
      </c>
      <c r="T106" s="3" t="e">
        <f t="shared" ca="1" si="15"/>
        <v>#VALUE!</v>
      </c>
      <c r="U106" s="3" t="e">
        <f t="shared" ca="1" si="16"/>
        <v>#VALUE!</v>
      </c>
      <c r="V106" s="73"/>
      <c r="W106" s="9" t="str">
        <f t="shared" si="17"/>
        <v>OK</v>
      </c>
    </row>
    <row r="107" spans="1:23" x14ac:dyDescent="0.3">
      <c r="A107" s="44">
        <v>104</v>
      </c>
      <c r="B107" s="14">
        <v>3</v>
      </c>
      <c r="C107" s="4">
        <v>2</v>
      </c>
      <c r="D107" s="3" t="str">
        <f>VLOOKUP($C107,Overall!$K$5:$T$36,2)</f>
        <v>Underflow</v>
      </c>
      <c r="E107" s="3">
        <f ca="1">VLOOKUP($C107,Overall!$K$5:$T$36,10)</f>
        <v>2.9387386796526474E-39</v>
      </c>
      <c r="F107" s="9" t="str">
        <f>VLOOKUP($C107,Overall!$K$5:$T$36,6)</f>
        <v>00000000001000000000000000000010</v>
      </c>
      <c r="G107" s="8">
        <v>24</v>
      </c>
      <c r="H107" s="3" t="str">
        <f>VLOOKUP($G107,Overall!$K$5:$T$36,2)</f>
        <v>Normal</v>
      </c>
      <c r="I107" s="3">
        <f ca="1">VLOOKUP($G107,Overall!$K$5:$T$36,10)</f>
        <v>-1.1754943508222875E-38</v>
      </c>
      <c r="J107" s="62" t="str">
        <f>VLOOKUP($G107,Overall!$K$5:$T$36,6)</f>
        <v>10000000100000000000000000000000</v>
      </c>
      <c r="K107" s="8">
        <f t="shared" ca="1" si="9"/>
        <v>-3.4544707164746351E-77</v>
      </c>
      <c r="L107" s="62">
        <f>VLOOKUP($B107,Overall!$B$5:$I$13,8)</f>
        <v>0</v>
      </c>
      <c r="M107" s="58"/>
      <c r="N107" s="3" t="str">
        <f t="shared" si="10"/>
        <v/>
      </c>
      <c r="O107" s="3" t="str">
        <f t="shared" si="11"/>
        <v/>
      </c>
      <c r="P107" s="3" t="str">
        <f t="shared" si="12"/>
        <v/>
      </c>
      <c r="Q107" s="3">
        <f t="shared" si="13"/>
        <v>0</v>
      </c>
      <c r="R107" s="3">
        <f t="shared" si="14"/>
        <v>0</v>
      </c>
      <c r="S107" s="3" t="e" cm="1">
        <f t="array" aca="1" ref="S107" ca="1">SUMPRODUCT(MID($P107,ROW(INDIRECT("1:23")),1)*2^(-ROW(INDIRECT("1:23"))))</f>
        <v>#VALUE!</v>
      </c>
      <c r="T107" s="3" t="e">
        <f t="shared" ca="1" si="15"/>
        <v>#VALUE!</v>
      </c>
      <c r="U107" s="3" t="e">
        <f t="shared" ca="1" si="16"/>
        <v>#VALUE!</v>
      </c>
      <c r="V107" s="73"/>
      <c r="W107" s="9" t="str">
        <f t="shared" si="17"/>
        <v>OK</v>
      </c>
    </row>
    <row r="108" spans="1:23" x14ac:dyDescent="0.3">
      <c r="A108" s="44">
        <v>105</v>
      </c>
      <c r="B108" s="14">
        <v>3</v>
      </c>
      <c r="C108" s="4">
        <v>2</v>
      </c>
      <c r="D108" s="3" t="str">
        <f>VLOOKUP($C108,Overall!$K$5:$T$36,2)</f>
        <v>Underflow</v>
      </c>
      <c r="E108" s="3">
        <f ca="1">VLOOKUP($C108,Overall!$K$5:$T$36,10)</f>
        <v>2.9387386796526474E-39</v>
      </c>
      <c r="F108" s="9" t="str">
        <f>VLOOKUP($C108,Overall!$K$5:$T$36,6)</f>
        <v>00000000001000000000000000000010</v>
      </c>
      <c r="G108" s="8">
        <v>25</v>
      </c>
      <c r="H108" s="3" t="str">
        <f>VLOOKUP($G108,Overall!$K$5:$T$36,2)</f>
        <v>Normal</v>
      </c>
      <c r="I108" s="3">
        <f ca="1">VLOOKUP($G108,Overall!$K$5:$T$36,10)</f>
        <v>-1.1754944909521339E-38</v>
      </c>
      <c r="J108" s="62" t="str">
        <f>VLOOKUP($G108,Overall!$K$5:$T$36,6)</f>
        <v>10000000100000000000000000000001</v>
      </c>
      <c r="K108" s="8">
        <f t="shared" ca="1" si="9"/>
        <v>-3.454471128279635E-77</v>
      </c>
      <c r="L108" s="62">
        <f>VLOOKUP($B108,Overall!$B$5:$I$13,8)</f>
        <v>0</v>
      </c>
      <c r="M108" s="58"/>
      <c r="N108" s="3" t="str">
        <f t="shared" si="10"/>
        <v/>
      </c>
      <c r="O108" s="3" t="str">
        <f t="shared" si="11"/>
        <v/>
      </c>
      <c r="P108" s="3" t="str">
        <f t="shared" si="12"/>
        <v/>
      </c>
      <c r="Q108" s="3">
        <f t="shared" si="13"/>
        <v>0</v>
      </c>
      <c r="R108" s="3">
        <f t="shared" si="14"/>
        <v>0</v>
      </c>
      <c r="S108" s="3" t="e" cm="1">
        <f t="array" aca="1" ref="S108" ca="1">SUMPRODUCT(MID($P108,ROW(INDIRECT("1:23")),1)*2^(-ROW(INDIRECT("1:23"))))</f>
        <v>#VALUE!</v>
      </c>
      <c r="T108" s="3" t="e">
        <f t="shared" ca="1" si="15"/>
        <v>#VALUE!</v>
      </c>
      <c r="U108" s="3" t="e">
        <f t="shared" ca="1" si="16"/>
        <v>#VALUE!</v>
      </c>
      <c r="V108" s="73"/>
      <c r="W108" s="9" t="str">
        <f t="shared" si="17"/>
        <v>OK</v>
      </c>
    </row>
    <row r="109" spans="1:23" x14ac:dyDescent="0.3">
      <c r="A109" s="44">
        <v>106</v>
      </c>
      <c r="B109" s="14">
        <v>3</v>
      </c>
      <c r="C109" s="4">
        <v>2</v>
      </c>
      <c r="D109" s="3" t="str">
        <f>VLOOKUP($C109,Overall!$K$5:$T$36,2)</f>
        <v>Underflow</v>
      </c>
      <c r="E109" s="3">
        <f ca="1">VLOOKUP($C109,Overall!$K$5:$T$36,10)</f>
        <v>2.9387386796526474E-39</v>
      </c>
      <c r="F109" s="9" t="str">
        <f>VLOOKUP($C109,Overall!$K$5:$T$36,6)</f>
        <v>00000000001000000000000000000010</v>
      </c>
      <c r="G109" s="8">
        <v>26</v>
      </c>
      <c r="H109" s="3" t="str">
        <f>VLOOKUP($G109,Overall!$K$5:$T$36,2)</f>
        <v>Normal</v>
      </c>
      <c r="I109" s="3">
        <f ca="1">VLOOKUP($G109,Overall!$K$5:$T$36,10)</f>
        <v>-0.5</v>
      </c>
      <c r="J109" s="62" t="str">
        <f>VLOOKUP($G109,Overall!$K$5:$T$36,6)</f>
        <v>10111111000000000000000000000000</v>
      </c>
      <c r="K109" s="8">
        <f t="shared" ca="1" si="9"/>
        <v>-1.4693693398263237E-39</v>
      </c>
      <c r="L109" s="62">
        <f>VLOOKUP($B109,Overall!$B$5:$I$13,8)</f>
        <v>0</v>
      </c>
      <c r="M109" s="58"/>
      <c r="N109" s="3" t="str">
        <f t="shared" si="10"/>
        <v/>
      </c>
      <c r="O109" s="3" t="str">
        <f t="shared" si="11"/>
        <v/>
      </c>
      <c r="P109" s="3" t="str">
        <f t="shared" si="12"/>
        <v/>
      </c>
      <c r="Q109" s="3">
        <f t="shared" si="13"/>
        <v>0</v>
      </c>
      <c r="R109" s="3">
        <f t="shared" si="14"/>
        <v>0</v>
      </c>
      <c r="S109" s="3" t="e" cm="1">
        <f t="array" aca="1" ref="S109" ca="1">SUMPRODUCT(MID($P109,ROW(INDIRECT("1:23")),1)*2^(-ROW(INDIRECT("1:23"))))</f>
        <v>#VALUE!</v>
      </c>
      <c r="T109" s="3" t="e">
        <f t="shared" ca="1" si="15"/>
        <v>#VALUE!</v>
      </c>
      <c r="U109" s="3" t="e">
        <f t="shared" ca="1" si="16"/>
        <v>#VALUE!</v>
      </c>
      <c r="V109" s="73"/>
      <c r="W109" s="9" t="str">
        <f t="shared" si="17"/>
        <v>OK</v>
      </c>
    </row>
    <row r="110" spans="1:23" x14ac:dyDescent="0.3">
      <c r="A110" s="44">
        <v>107</v>
      </c>
      <c r="B110" s="14">
        <v>3</v>
      </c>
      <c r="C110" s="4">
        <v>2</v>
      </c>
      <c r="D110" s="3" t="str">
        <f>VLOOKUP($C110,Overall!$K$5:$T$36,2)</f>
        <v>Underflow</v>
      </c>
      <c r="E110" s="3">
        <f ca="1">VLOOKUP($C110,Overall!$K$5:$T$36,10)</f>
        <v>2.9387386796526474E-39</v>
      </c>
      <c r="F110" s="9" t="str">
        <f>VLOOKUP($C110,Overall!$K$5:$T$36,6)</f>
        <v>00000000001000000000000000000010</v>
      </c>
      <c r="G110" s="8">
        <v>27</v>
      </c>
      <c r="H110" s="3" t="str">
        <f>VLOOKUP($G110,Overall!$K$5:$T$36,2)</f>
        <v>Normal</v>
      </c>
      <c r="I110" s="3">
        <f ca="1">VLOOKUP($G110,Overall!$K$5:$T$36,10)</f>
        <v>-1</v>
      </c>
      <c r="J110" s="62" t="str">
        <f>VLOOKUP($G110,Overall!$K$5:$T$36,6)</f>
        <v>10111111100000000000000000000000</v>
      </c>
      <c r="K110" s="8">
        <f t="shared" ca="1" si="9"/>
        <v>-2.9387386796526474E-39</v>
      </c>
      <c r="L110" s="62">
        <f>VLOOKUP($B110,Overall!$B$5:$I$13,8)</f>
        <v>0</v>
      </c>
      <c r="M110" s="58"/>
      <c r="N110" s="3" t="str">
        <f t="shared" si="10"/>
        <v/>
      </c>
      <c r="O110" s="3" t="str">
        <f t="shared" si="11"/>
        <v/>
      </c>
      <c r="P110" s="3" t="str">
        <f t="shared" si="12"/>
        <v/>
      </c>
      <c r="Q110" s="3">
        <f t="shared" si="13"/>
        <v>0</v>
      </c>
      <c r="R110" s="3">
        <f t="shared" si="14"/>
        <v>0</v>
      </c>
      <c r="S110" s="3" t="e" cm="1">
        <f t="array" aca="1" ref="S110" ca="1">SUMPRODUCT(MID($P110,ROW(INDIRECT("1:23")),1)*2^(-ROW(INDIRECT("1:23"))))</f>
        <v>#VALUE!</v>
      </c>
      <c r="T110" s="3" t="e">
        <f t="shared" ca="1" si="15"/>
        <v>#VALUE!</v>
      </c>
      <c r="U110" s="3" t="e">
        <f t="shared" ca="1" si="16"/>
        <v>#VALUE!</v>
      </c>
      <c r="V110" s="73"/>
      <c r="W110" s="9" t="str">
        <f t="shared" si="17"/>
        <v>OK</v>
      </c>
    </row>
    <row r="111" spans="1:23" x14ac:dyDescent="0.3">
      <c r="A111" s="44">
        <v>108</v>
      </c>
      <c r="B111" s="14">
        <v>3</v>
      </c>
      <c r="C111" s="4">
        <v>2</v>
      </c>
      <c r="D111" s="3" t="str">
        <f>VLOOKUP($C111,Overall!$K$5:$T$36,2)</f>
        <v>Underflow</v>
      </c>
      <c r="E111" s="3">
        <f ca="1">VLOOKUP($C111,Overall!$K$5:$T$36,10)</f>
        <v>2.9387386796526474E-39</v>
      </c>
      <c r="F111" s="9" t="str">
        <f>VLOOKUP($C111,Overall!$K$5:$T$36,6)</f>
        <v>00000000001000000000000000000010</v>
      </c>
      <c r="G111" s="8">
        <v>28</v>
      </c>
      <c r="H111" s="3" t="str">
        <f>VLOOKUP($G111,Overall!$K$5:$T$36,2)</f>
        <v>Normal</v>
      </c>
      <c r="I111" s="3">
        <f ca="1">VLOOKUP($G111,Overall!$K$5:$T$36,10)</f>
        <v>-1.5</v>
      </c>
      <c r="J111" s="62" t="str">
        <f>VLOOKUP($G111,Overall!$K$5:$T$36,6)</f>
        <v>10111111110000000000000000000000</v>
      </c>
      <c r="K111" s="8">
        <f t="shared" ca="1" si="9"/>
        <v>-4.4081080194789711E-39</v>
      </c>
      <c r="L111" s="62">
        <f>VLOOKUP($B111,Overall!$B$5:$I$13,8)</f>
        <v>0</v>
      </c>
      <c r="M111" s="58"/>
      <c r="N111" s="3" t="str">
        <f t="shared" si="10"/>
        <v/>
      </c>
      <c r="O111" s="3" t="str">
        <f t="shared" si="11"/>
        <v/>
      </c>
      <c r="P111" s="3" t="str">
        <f t="shared" si="12"/>
        <v/>
      </c>
      <c r="Q111" s="3">
        <f t="shared" si="13"/>
        <v>0</v>
      </c>
      <c r="R111" s="3">
        <f t="shared" si="14"/>
        <v>0</v>
      </c>
      <c r="S111" s="3" t="e" cm="1">
        <f t="array" aca="1" ref="S111" ca="1">SUMPRODUCT(MID($P111,ROW(INDIRECT("1:23")),1)*2^(-ROW(INDIRECT("1:23"))))</f>
        <v>#VALUE!</v>
      </c>
      <c r="T111" s="3" t="e">
        <f t="shared" ca="1" si="15"/>
        <v>#VALUE!</v>
      </c>
      <c r="U111" s="3" t="e">
        <f t="shared" ca="1" si="16"/>
        <v>#VALUE!</v>
      </c>
      <c r="V111" s="73"/>
      <c r="W111" s="9" t="str">
        <f t="shared" si="17"/>
        <v>OK</v>
      </c>
    </row>
    <row r="112" spans="1:23" x14ac:dyDescent="0.3">
      <c r="A112" s="44">
        <v>109</v>
      </c>
      <c r="B112" s="14">
        <v>3</v>
      </c>
      <c r="C112" s="4">
        <v>2</v>
      </c>
      <c r="D112" s="3" t="str">
        <f>VLOOKUP($C112,Overall!$K$5:$T$36,2)</f>
        <v>Underflow</v>
      </c>
      <c r="E112" s="3">
        <f ca="1">VLOOKUP($C112,Overall!$K$5:$T$36,10)</f>
        <v>2.9387386796526474E-39</v>
      </c>
      <c r="F112" s="9" t="str">
        <f>VLOOKUP($C112,Overall!$K$5:$T$36,6)</f>
        <v>00000000001000000000000000000010</v>
      </c>
      <c r="G112" s="8">
        <v>29</v>
      </c>
      <c r="H112" s="3" t="str">
        <f>VLOOKUP($G112,Overall!$K$5:$T$36,2)</f>
        <v>Normal</v>
      </c>
      <c r="I112" s="3">
        <f ca="1">VLOOKUP($G112,Overall!$K$5:$T$36,10)</f>
        <v>-12345.6787109375</v>
      </c>
      <c r="J112" s="62" t="str">
        <f>VLOOKUP($G112,Overall!$K$5:$T$36,6)</f>
        <v>101000110010000001110011010110111</v>
      </c>
      <c r="K112" s="8">
        <f t="shared" ca="1" si="9"/>
        <v>-3.6280723554396267E-35</v>
      </c>
      <c r="L112" s="62">
        <f>VLOOKUP($B112,Overall!$B$5:$I$13,8)</f>
        <v>0</v>
      </c>
      <c r="M112" s="58"/>
      <c r="N112" s="3" t="str">
        <f t="shared" si="10"/>
        <v/>
      </c>
      <c r="O112" s="3" t="str">
        <f t="shared" si="11"/>
        <v/>
      </c>
      <c r="P112" s="3" t="str">
        <f t="shared" si="12"/>
        <v/>
      </c>
      <c r="Q112" s="3">
        <f t="shared" si="13"/>
        <v>0</v>
      </c>
      <c r="R112" s="3">
        <f t="shared" si="14"/>
        <v>0</v>
      </c>
      <c r="S112" s="3" t="e" cm="1">
        <f t="array" aca="1" ref="S112" ca="1">SUMPRODUCT(MID($P112,ROW(INDIRECT("1:23")),1)*2^(-ROW(INDIRECT("1:23"))))</f>
        <v>#VALUE!</v>
      </c>
      <c r="T112" s="3" t="e">
        <f t="shared" ca="1" si="15"/>
        <v>#VALUE!</v>
      </c>
      <c r="U112" s="3" t="e">
        <f t="shared" ca="1" si="16"/>
        <v>#VALUE!</v>
      </c>
      <c r="V112" s="73"/>
      <c r="W112" s="9" t="str">
        <f t="shared" si="17"/>
        <v>OK</v>
      </c>
    </row>
    <row r="113" spans="1:23" x14ac:dyDescent="0.3">
      <c r="A113" s="44">
        <v>110</v>
      </c>
      <c r="B113" s="14">
        <v>3</v>
      </c>
      <c r="C113" s="4">
        <v>2</v>
      </c>
      <c r="D113" s="3" t="str">
        <f>VLOOKUP($C113,Overall!$K$5:$T$36,2)</f>
        <v>Underflow</v>
      </c>
      <c r="E113" s="3">
        <f ca="1">VLOOKUP($C113,Overall!$K$5:$T$36,10)</f>
        <v>2.9387386796526474E-39</v>
      </c>
      <c r="F113" s="9" t="str">
        <f>VLOOKUP($C113,Overall!$K$5:$T$36,6)</f>
        <v>00000000001000000000000000000010</v>
      </c>
      <c r="G113" s="8">
        <v>30</v>
      </c>
      <c r="H113" s="3" t="str">
        <f>VLOOKUP($G113,Overall!$K$5:$T$36,2)</f>
        <v>Normal</v>
      </c>
      <c r="I113" s="3">
        <f ca="1">VLOOKUP($G113,Overall!$K$5:$T$36,10)</f>
        <v>-2.345678924830959E+38</v>
      </c>
      <c r="J113" s="62" t="str">
        <f>VLOOKUP($G113,Overall!$K$5:$T$36,6)</f>
        <v>11111111001100000111100000100010</v>
      </c>
      <c r="K113" s="8">
        <f t="shared" ca="1" si="9"/>
        <v>-0.6893337386446774</v>
      </c>
      <c r="L113" s="62">
        <f>VLOOKUP($B113,Overall!$B$5:$I$13,8)</f>
        <v>0</v>
      </c>
      <c r="M113" s="58"/>
      <c r="N113" s="3" t="str">
        <f t="shared" si="10"/>
        <v/>
      </c>
      <c r="O113" s="3" t="str">
        <f t="shared" si="11"/>
        <v/>
      </c>
      <c r="P113" s="3" t="str">
        <f t="shared" si="12"/>
        <v/>
      </c>
      <c r="Q113" s="3">
        <f t="shared" si="13"/>
        <v>0</v>
      </c>
      <c r="R113" s="3">
        <f t="shared" si="14"/>
        <v>0</v>
      </c>
      <c r="S113" s="3" t="e" cm="1">
        <f t="array" aca="1" ref="S113" ca="1">SUMPRODUCT(MID($P113,ROW(INDIRECT("1:23")),1)*2^(-ROW(INDIRECT("1:23"))))</f>
        <v>#VALUE!</v>
      </c>
      <c r="T113" s="3" t="e">
        <f t="shared" ca="1" si="15"/>
        <v>#VALUE!</v>
      </c>
      <c r="U113" s="3" t="e">
        <f t="shared" ca="1" si="16"/>
        <v>#VALUE!</v>
      </c>
      <c r="V113" s="73"/>
      <c r="W113" s="9" t="str">
        <f t="shared" si="17"/>
        <v>OK</v>
      </c>
    </row>
    <row r="114" spans="1:23" x14ac:dyDescent="0.3">
      <c r="A114" s="44">
        <v>111</v>
      </c>
      <c r="B114" s="14">
        <v>3</v>
      </c>
      <c r="C114" s="4">
        <v>2</v>
      </c>
      <c r="D114" s="3" t="str">
        <f>VLOOKUP($C114,Overall!$K$5:$T$36,2)</f>
        <v>Underflow</v>
      </c>
      <c r="E114" s="3">
        <f ca="1">VLOOKUP($C114,Overall!$K$5:$T$36,10)</f>
        <v>2.9387386796526474E-39</v>
      </c>
      <c r="F114" s="9" t="str">
        <f>VLOOKUP($C114,Overall!$K$5:$T$36,6)</f>
        <v>00000000001000000000000000000010</v>
      </c>
      <c r="G114" s="8">
        <v>31</v>
      </c>
      <c r="H114" s="3" t="str">
        <f>VLOOKUP($G114,Overall!$K$5:$T$36,2)</f>
        <v>Normal</v>
      </c>
      <c r="I114" s="3">
        <f ca="1">VLOOKUP($G114,Overall!$K$5:$T$36,10)</f>
        <v>-3.4028232635611926E+38</v>
      </c>
      <c r="J114" s="62" t="str">
        <f>VLOOKUP($G114,Overall!$K$5:$T$36,6)</f>
        <v>11111111011111111111111111111110</v>
      </c>
      <c r="K114" s="8">
        <f t="shared" ca="1" si="9"/>
        <v>-1.0000008344649132</v>
      </c>
      <c r="L114" s="62">
        <f>VLOOKUP($B114,Overall!$B$5:$I$13,8)</f>
        <v>0</v>
      </c>
      <c r="M114" s="58"/>
      <c r="N114" s="3" t="str">
        <f t="shared" si="10"/>
        <v/>
      </c>
      <c r="O114" s="3" t="str">
        <f t="shared" si="11"/>
        <v/>
      </c>
      <c r="P114" s="3" t="str">
        <f t="shared" si="12"/>
        <v/>
      </c>
      <c r="Q114" s="3">
        <f t="shared" si="13"/>
        <v>0</v>
      </c>
      <c r="R114" s="3">
        <f t="shared" si="14"/>
        <v>0</v>
      </c>
      <c r="S114" s="3" t="e" cm="1">
        <f t="array" aca="1" ref="S114" ca="1">SUMPRODUCT(MID($P114,ROW(INDIRECT("1:23")),1)*2^(-ROW(INDIRECT("1:23"))))</f>
        <v>#VALUE!</v>
      </c>
      <c r="T114" s="3" t="e">
        <f t="shared" ca="1" si="15"/>
        <v>#VALUE!</v>
      </c>
      <c r="U114" s="3" t="e">
        <f t="shared" ca="1" si="16"/>
        <v>#VALUE!</v>
      </c>
      <c r="V114" s="73"/>
      <c r="W114" s="9" t="str">
        <f t="shared" si="17"/>
        <v>OK</v>
      </c>
    </row>
    <row r="115" spans="1:23" x14ac:dyDescent="0.3">
      <c r="A115" s="44">
        <v>112</v>
      </c>
      <c r="B115" s="14">
        <v>3</v>
      </c>
      <c r="C115" s="4">
        <v>2</v>
      </c>
      <c r="D115" s="3" t="str">
        <f>VLOOKUP($C115,Overall!$K$5:$T$36,2)</f>
        <v>Underflow</v>
      </c>
      <c r="E115" s="3">
        <f ca="1">VLOOKUP($C115,Overall!$K$5:$T$36,10)</f>
        <v>2.9387386796526474E-39</v>
      </c>
      <c r="F115" s="9" t="str">
        <f>VLOOKUP($C115,Overall!$K$5:$T$36,6)</f>
        <v>00000000001000000000000000000010</v>
      </c>
      <c r="G115" s="8">
        <v>32</v>
      </c>
      <c r="H115" s="3" t="str">
        <f>VLOOKUP($G115,Overall!$K$5:$T$36,2)</f>
        <v>Normal</v>
      </c>
      <c r="I115" s="3">
        <f ca="1">VLOOKUP($G115,Overall!$K$5:$T$36,10)</f>
        <v>-3.4028234663852886E+38</v>
      </c>
      <c r="J115" s="62" t="str">
        <f>VLOOKUP($G115,Overall!$K$5:$T$36,6)</f>
        <v>11111111011111111111111111111111</v>
      </c>
      <c r="K115" s="8">
        <f t="shared" ca="1" si="9"/>
        <v>-1.0000008940696148</v>
      </c>
      <c r="L115" s="62">
        <f>VLOOKUP($B115,Overall!$B$5:$I$13,8)</f>
        <v>0</v>
      </c>
      <c r="M115" s="58"/>
      <c r="N115" s="3" t="str">
        <f t="shared" si="10"/>
        <v/>
      </c>
      <c r="O115" s="3" t="str">
        <f t="shared" si="11"/>
        <v/>
      </c>
      <c r="P115" s="3" t="str">
        <f t="shared" si="12"/>
        <v/>
      </c>
      <c r="Q115" s="3">
        <f t="shared" si="13"/>
        <v>0</v>
      </c>
      <c r="R115" s="3">
        <f t="shared" si="14"/>
        <v>0</v>
      </c>
      <c r="S115" s="3" t="e" cm="1">
        <f t="array" aca="1" ref="S115" ca="1">SUMPRODUCT(MID($P115,ROW(INDIRECT("1:23")),1)*2^(-ROW(INDIRECT("1:23"))))</f>
        <v>#VALUE!</v>
      </c>
      <c r="T115" s="3" t="e">
        <f t="shared" ca="1" si="15"/>
        <v>#VALUE!</v>
      </c>
      <c r="U115" s="3" t="e">
        <f t="shared" ca="1" si="16"/>
        <v>#VALUE!</v>
      </c>
      <c r="V115" s="73"/>
      <c r="W115" s="9" t="str">
        <f t="shared" si="17"/>
        <v>OK</v>
      </c>
    </row>
    <row r="116" spans="1:23" x14ac:dyDescent="0.3">
      <c r="A116" s="44">
        <v>113</v>
      </c>
      <c r="B116" s="14">
        <v>3</v>
      </c>
      <c r="C116" s="4">
        <v>3</v>
      </c>
      <c r="D116" s="3" t="str">
        <f>VLOOKUP($C116,Overall!$K$5:$T$36,2)</f>
        <v>Underflow</v>
      </c>
      <c r="E116" s="3">
        <f ca="1">VLOOKUP($C116,Overall!$K$5:$T$36,10)</f>
        <v>1.1754942106924411E-38</v>
      </c>
      <c r="F116" s="9" t="str">
        <f>VLOOKUP($C116,Overall!$K$5:$T$36,6)</f>
        <v>00000000011111111111111111111111</v>
      </c>
      <c r="G116" s="8">
        <v>13</v>
      </c>
      <c r="H116" s="3" t="str">
        <f>VLOOKUP($G116,Overall!$K$5:$T$36,2)</f>
        <v>Normal</v>
      </c>
      <c r="I116" s="3">
        <f ca="1">VLOOKUP($G116,Overall!$K$5:$T$36,10)</f>
        <v>0</v>
      </c>
      <c r="J116" s="62" t="str">
        <f>VLOOKUP($G116,Overall!$K$5:$T$36,6)</f>
        <v>00000000000000000000000000000000</v>
      </c>
      <c r="K116" s="8">
        <f t="shared" ca="1" si="9"/>
        <v>0</v>
      </c>
      <c r="L116" s="62">
        <f>VLOOKUP($B116,Overall!$B$5:$I$13,8)</f>
        <v>0</v>
      </c>
      <c r="M116" s="58"/>
      <c r="N116" s="3" t="str">
        <f t="shared" si="10"/>
        <v/>
      </c>
      <c r="O116" s="3" t="str">
        <f t="shared" si="11"/>
        <v/>
      </c>
      <c r="P116" s="3" t="str">
        <f t="shared" si="12"/>
        <v/>
      </c>
      <c r="Q116" s="3">
        <f t="shared" si="13"/>
        <v>0</v>
      </c>
      <c r="R116" s="3">
        <f t="shared" si="14"/>
        <v>0</v>
      </c>
      <c r="S116" s="3" t="e" cm="1">
        <f t="array" aca="1" ref="S116" ca="1">SUMPRODUCT(MID($P116,ROW(INDIRECT("1:23")),1)*2^(-ROW(INDIRECT("1:23"))))</f>
        <v>#VALUE!</v>
      </c>
      <c r="T116" s="3" t="e">
        <f t="shared" ca="1" si="15"/>
        <v>#VALUE!</v>
      </c>
      <c r="U116" s="3" t="e">
        <f t="shared" ca="1" si="16"/>
        <v>#VALUE!</v>
      </c>
      <c r="V116" s="73"/>
      <c r="W116" s="9" t="str">
        <f t="shared" si="17"/>
        <v>OK</v>
      </c>
    </row>
    <row r="117" spans="1:23" x14ac:dyDescent="0.3">
      <c r="A117" s="44">
        <v>114</v>
      </c>
      <c r="B117" s="14">
        <v>3</v>
      </c>
      <c r="C117" s="4">
        <v>3</v>
      </c>
      <c r="D117" s="3" t="str">
        <f>VLOOKUP($C117,Overall!$K$5:$T$36,2)</f>
        <v>Underflow</v>
      </c>
      <c r="E117" s="3">
        <f ca="1">VLOOKUP($C117,Overall!$K$5:$T$36,10)</f>
        <v>1.1754942106924411E-38</v>
      </c>
      <c r="F117" s="9" t="str">
        <f>VLOOKUP($C117,Overall!$K$5:$T$36,6)</f>
        <v>00000000011111111111111111111111</v>
      </c>
      <c r="G117" s="8">
        <v>14</v>
      </c>
      <c r="H117" s="3" t="str">
        <f>VLOOKUP($G117,Overall!$K$5:$T$36,2)</f>
        <v>Normal</v>
      </c>
      <c r="I117" s="3">
        <f ca="1">VLOOKUP($G117,Overall!$K$5:$T$36,10)</f>
        <v>0</v>
      </c>
      <c r="J117" s="62" t="str">
        <f>VLOOKUP($G117,Overall!$K$5:$T$36,6)</f>
        <v>10000000000000000000000000000000</v>
      </c>
      <c r="K117" s="8">
        <f t="shared" ca="1" si="9"/>
        <v>0</v>
      </c>
      <c r="L117" s="62">
        <f>VLOOKUP($B117,Overall!$B$5:$I$13,8)</f>
        <v>0</v>
      </c>
      <c r="M117" s="58"/>
      <c r="N117" s="3" t="str">
        <f t="shared" si="10"/>
        <v/>
      </c>
      <c r="O117" s="3" t="str">
        <f t="shared" si="11"/>
        <v/>
      </c>
      <c r="P117" s="3" t="str">
        <f t="shared" si="12"/>
        <v/>
      </c>
      <c r="Q117" s="3">
        <f t="shared" si="13"/>
        <v>0</v>
      </c>
      <c r="R117" s="3">
        <f t="shared" si="14"/>
        <v>0</v>
      </c>
      <c r="S117" s="3" t="e" cm="1">
        <f t="array" aca="1" ref="S117" ca="1">SUMPRODUCT(MID($P117,ROW(INDIRECT("1:23")),1)*2^(-ROW(INDIRECT("1:23"))))</f>
        <v>#VALUE!</v>
      </c>
      <c r="T117" s="3" t="e">
        <f t="shared" ca="1" si="15"/>
        <v>#VALUE!</v>
      </c>
      <c r="U117" s="3" t="e">
        <f t="shared" ca="1" si="16"/>
        <v>#VALUE!</v>
      </c>
      <c r="V117" s="73"/>
      <c r="W117" s="9" t="str">
        <f t="shared" si="17"/>
        <v>OK</v>
      </c>
    </row>
    <row r="118" spans="1:23" x14ac:dyDescent="0.3">
      <c r="A118" s="44">
        <v>115</v>
      </c>
      <c r="B118" s="14">
        <v>3</v>
      </c>
      <c r="C118" s="4">
        <v>3</v>
      </c>
      <c r="D118" s="3" t="str">
        <f>VLOOKUP($C118,Overall!$K$5:$T$36,2)</f>
        <v>Underflow</v>
      </c>
      <c r="E118" s="3">
        <f ca="1">VLOOKUP($C118,Overall!$K$5:$T$36,10)</f>
        <v>1.1754942106924411E-38</v>
      </c>
      <c r="F118" s="9" t="str">
        <f>VLOOKUP($C118,Overall!$K$5:$T$36,6)</f>
        <v>00000000011111111111111111111111</v>
      </c>
      <c r="G118" s="8">
        <v>15</v>
      </c>
      <c r="H118" s="3" t="str">
        <f>VLOOKUP($G118,Overall!$K$5:$T$36,2)</f>
        <v>Normal</v>
      </c>
      <c r="I118" s="3">
        <f ca="1">VLOOKUP($G118,Overall!$K$5:$T$36,10)</f>
        <v>1.1754943508222875E-38</v>
      </c>
      <c r="J118" s="62" t="str">
        <f>VLOOKUP($G118,Overall!$K$5:$T$36,6)</f>
        <v>00000000100000000000000000000000</v>
      </c>
      <c r="K118" s="8">
        <f t="shared" ca="1" si="9"/>
        <v>1.3817868040932683E-76</v>
      </c>
      <c r="L118" s="62">
        <f>VLOOKUP($B118,Overall!$B$5:$I$13,8)</f>
        <v>0</v>
      </c>
      <c r="M118" s="58"/>
      <c r="N118" s="3" t="str">
        <f t="shared" si="10"/>
        <v/>
      </c>
      <c r="O118" s="3" t="str">
        <f t="shared" si="11"/>
        <v/>
      </c>
      <c r="P118" s="3" t="str">
        <f t="shared" si="12"/>
        <v/>
      </c>
      <c r="Q118" s="3">
        <f t="shared" si="13"/>
        <v>0</v>
      </c>
      <c r="R118" s="3">
        <f t="shared" si="14"/>
        <v>0</v>
      </c>
      <c r="S118" s="3" t="e" cm="1">
        <f t="array" aca="1" ref="S118" ca="1">SUMPRODUCT(MID($P118,ROW(INDIRECT("1:23")),1)*2^(-ROW(INDIRECT("1:23"))))</f>
        <v>#VALUE!</v>
      </c>
      <c r="T118" s="3" t="e">
        <f t="shared" ca="1" si="15"/>
        <v>#VALUE!</v>
      </c>
      <c r="U118" s="3" t="e">
        <f t="shared" ca="1" si="16"/>
        <v>#VALUE!</v>
      </c>
      <c r="V118" s="73"/>
      <c r="W118" s="9" t="str">
        <f t="shared" si="17"/>
        <v>OK</v>
      </c>
    </row>
    <row r="119" spans="1:23" x14ac:dyDescent="0.3">
      <c r="A119" s="44">
        <v>116</v>
      </c>
      <c r="B119" s="14">
        <v>3</v>
      </c>
      <c r="C119" s="4">
        <v>3</v>
      </c>
      <c r="D119" s="3" t="str">
        <f>VLOOKUP($C119,Overall!$K$5:$T$36,2)</f>
        <v>Underflow</v>
      </c>
      <c r="E119" s="3">
        <f ca="1">VLOOKUP($C119,Overall!$K$5:$T$36,10)</f>
        <v>1.1754942106924411E-38</v>
      </c>
      <c r="F119" s="9" t="str">
        <f>VLOOKUP($C119,Overall!$K$5:$T$36,6)</f>
        <v>00000000011111111111111111111111</v>
      </c>
      <c r="G119" s="8">
        <v>16</v>
      </c>
      <c r="H119" s="3" t="str">
        <f>VLOOKUP($G119,Overall!$K$5:$T$36,2)</f>
        <v>Normal</v>
      </c>
      <c r="I119" s="3">
        <f ca="1">VLOOKUP($G119,Overall!$K$5:$T$36,10)</f>
        <v>1.1754944909521339E-38</v>
      </c>
      <c r="J119" s="62" t="str">
        <f>VLOOKUP($G119,Overall!$K$5:$T$36,6)</f>
        <v>00000000100000000000000000000001</v>
      </c>
      <c r="K119" s="8">
        <f t="shared" ca="1" si="9"/>
        <v>1.3817869688150915E-76</v>
      </c>
      <c r="L119" s="62">
        <f>VLOOKUP($B119,Overall!$B$5:$I$13,8)</f>
        <v>0</v>
      </c>
      <c r="M119" s="58"/>
      <c r="N119" s="3" t="str">
        <f t="shared" si="10"/>
        <v/>
      </c>
      <c r="O119" s="3" t="str">
        <f t="shared" si="11"/>
        <v/>
      </c>
      <c r="P119" s="3" t="str">
        <f t="shared" si="12"/>
        <v/>
      </c>
      <c r="Q119" s="3">
        <f t="shared" si="13"/>
        <v>0</v>
      </c>
      <c r="R119" s="3">
        <f t="shared" si="14"/>
        <v>0</v>
      </c>
      <c r="S119" s="3" t="e" cm="1">
        <f t="array" aca="1" ref="S119" ca="1">SUMPRODUCT(MID($P119,ROW(INDIRECT("1:23")),1)*2^(-ROW(INDIRECT("1:23"))))</f>
        <v>#VALUE!</v>
      </c>
      <c r="T119" s="3" t="e">
        <f t="shared" ca="1" si="15"/>
        <v>#VALUE!</v>
      </c>
      <c r="U119" s="3" t="e">
        <f t="shared" ca="1" si="16"/>
        <v>#VALUE!</v>
      </c>
      <c r="V119" s="73"/>
      <c r="W119" s="9" t="str">
        <f t="shared" si="17"/>
        <v>OK</v>
      </c>
    </row>
    <row r="120" spans="1:23" x14ac:dyDescent="0.3">
      <c r="A120" s="44">
        <v>117</v>
      </c>
      <c r="B120" s="14">
        <v>3</v>
      </c>
      <c r="C120" s="4">
        <v>3</v>
      </c>
      <c r="D120" s="3" t="str">
        <f>VLOOKUP($C120,Overall!$K$5:$T$36,2)</f>
        <v>Underflow</v>
      </c>
      <c r="E120" s="3">
        <f ca="1">VLOOKUP($C120,Overall!$K$5:$T$36,10)</f>
        <v>1.1754942106924411E-38</v>
      </c>
      <c r="F120" s="9" t="str">
        <f>VLOOKUP($C120,Overall!$K$5:$T$36,6)</f>
        <v>00000000011111111111111111111111</v>
      </c>
      <c r="G120" s="8">
        <v>17</v>
      </c>
      <c r="H120" s="3" t="str">
        <f>VLOOKUP($G120,Overall!$K$5:$T$36,2)</f>
        <v>Normal</v>
      </c>
      <c r="I120" s="3">
        <f ca="1">VLOOKUP($G120,Overall!$K$5:$T$36,10)</f>
        <v>0.5</v>
      </c>
      <c r="J120" s="62" t="str">
        <f>VLOOKUP($G120,Overall!$K$5:$T$36,6)</f>
        <v>00111111000000000000000000000000</v>
      </c>
      <c r="K120" s="8">
        <f t="shared" ca="1" si="9"/>
        <v>5.8774710534622054E-39</v>
      </c>
      <c r="L120" s="62">
        <f>VLOOKUP($B120,Overall!$B$5:$I$13,8)</f>
        <v>0</v>
      </c>
      <c r="M120" s="58"/>
      <c r="N120" s="3" t="str">
        <f t="shared" si="10"/>
        <v/>
      </c>
      <c r="O120" s="3" t="str">
        <f t="shared" si="11"/>
        <v/>
      </c>
      <c r="P120" s="3" t="str">
        <f t="shared" si="12"/>
        <v/>
      </c>
      <c r="Q120" s="3">
        <f t="shared" si="13"/>
        <v>0</v>
      </c>
      <c r="R120" s="3">
        <f t="shared" si="14"/>
        <v>0</v>
      </c>
      <c r="S120" s="3" t="e" cm="1">
        <f t="array" aca="1" ref="S120" ca="1">SUMPRODUCT(MID($P120,ROW(INDIRECT("1:23")),1)*2^(-ROW(INDIRECT("1:23"))))</f>
        <v>#VALUE!</v>
      </c>
      <c r="T120" s="3" t="e">
        <f t="shared" ca="1" si="15"/>
        <v>#VALUE!</v>
      </c>
      <c r="U120" s="3" t="e">
        <f t="shared" ca="1" si="16"/>
        <v>#VALUE!</v>
      </c>
      <c r="V120" s="73"/>
      <c r="W120" s="9" t="str">
        <f t="shared" si="17"/>
        <v>OK</v>
      </c>
    </row>
    <row r="121" spans="1:23" x14ac:dyDescent="0.3">
      <c r="A121" s="44">
        <v>118</v>
      </c>
      <c r="B121" s="14">
        <v>3</v>
      </c>
      <c r="C121" s="4">
        <v>3</v>
      </c>
      <c r="D121" s="3" t="str">
        <f>VLOOKUP($C121,Overall!$K$5:$T$36,2)</f>
        <v>Underflow</v>
      </c>
      <c r="E121" s="3">
        <f ca="1">VLOOKUP($C121,Overall!$K$5:$T$36,10)</f>
        <v>1.1754942106924411E-38</v>
      </c>
      <c r="F121" s="9" t="str">
        <f>VLOOKUP($C121,Overall!$K$5:$T$36,6)</f>
        <v>00000000011111111111111111111111</v>
      </c>
      <c r="G121" s="8">
        <v>18</v>
      </c>
      <c r="H121" s="3" t="str">
        <f>VLOOKUP($G121,Overall!$K$5:$T$36,2)</f>
        <v>Normal</v>
      </c>
      <c r="I121" s="3">
        <f ca="1">VLOOKUP($G121,Overall!$K$5:$T$36,10)</f>
        <v>1</v>
      </c>
      <c r="J121" s="62" t="str">
        <f>VLOOKUP($G121,Overall!$K$5:$T$36,6)</f>
        <v>00111111100000000000000000000000</v>
      </c>
      <c r="K121" s="8">
        <f t="shared" ca="1" si="9"/>
        <v>1.1754942106924411E-38</v>
      </c>
      <c r="L121" s="62">
        <f>VLOOKUP($B121,Overall!$B$5:$I$13,8)</f>
        <v>0</v>
      </c>
      <c r="M121" s="58"/>
      <c r="N121" s="3" t="str">
        <f t="shared" si="10"/>
        <v/>
      </c>
      <c r="O121" s="3" t="str">
        <f t="shared" si="11"/>
        <v/>
      </c>
      <c r="P121" s="3" t="str">
        <f t="shared" si="12"/>
        <v/>
      </c>
      <c r="Q121" s="3">
        <f t="shared" si="13"/>
        <v>0</v>
      </c>
      <c r="R121" s="3">
        <f t="shared" si="14"/>
        <v>0</v>
      </c>
      <c r="S121" s="3" t="e" cm="1">
        <f t="array" aca="1" ref="S121" ca="1">SUMPRODUCT(MID($P121,ROW(INDIRECT("1:23")),1)*2^(-ROW(INDIRECT("1:23"))))</f>
        <v>#VALUE!</v>
      </c>
      <c r="T121" s="3" t="e">
        <f t="shared" ca="1" si="15"/>
        <v>#VALUE!</v>
      </c>
      <c r="U121" s="3" t="e">
        <f t="shared" ca="1" si="16"/>
        <v>#VALUE!</v>
      </c>
      <c r="V121" s="73"/>
      <c r="W121" s="9" t="str">
        <f t="shared" si="17"/>
        <v>OK</v>
      </c>
    </row>
    <row r="122" spans="1:23" x14ac:dyDescent="0.3">
      <c r="A122" s="44">
        <v>119</v>
      </c>
      <c r="B122" s="14">
        <v>3</v>
      </c>
      <c r="C122" s="4">
        <v>3</v>
      </c>
      <c r="D122" s="3" t="str">
        <f>VLOOKUP($C122,Overall!$K$5:$T$36,2)</f>
        <v>Underflow</v>
      </c>
      <c r="E122" s="3">
        <f ca="1">VLOOKUP($C122,Overall!$K$5:$T$36,10)</f>
        <v>1.1754942106924411E-38</v>
      </c>
      <c r="F122" s="9" t="str">
        <f>VLOOKUP($C122,Overall!$K$5:$T$36,6)</f>
        <v>00000000011111111111111111111111</v>
      </c>
      <c r="G122" s="8">
        <v>19</v>
      </c>
      <c r="H122" s="3" t="str">
        <f>VLOOKUP($G122,Overall!$K$5:$T$36,2)</f>
        <v>Normal</v>
      </c>
      <c r="I122" s="3">
        <f ca="1">VLOOKUP($G122,Overall!$K$5:$T$36,10)</f>
        <v>1.5</v>
      </c>
      <c r="J122" s="62" t="str">
        <f>VLOOKUP($G122,Overall!$K$5:$T$36,6)</f>
        <v>00111111110000000000000000000000</v>
      </c>
      <c r="K122" s="8">
        <f t="shared" ca="1" si="9"/>
        <v>1.7632413160386616E-38</v>
      </c>
      <c r="L122" s="62">
        <f>VLOOKUP($B122,Overall!$B$5:$I$13,8)</f>
        <v>0</v>
      </c>
      <c r="M122" s="58"/>
      <c r="N122" s="3" t="str">
        <f t="shared" si="10"/>
        <v/>
      </c>
      <c r="O122" s="3" t="str">
        <f t="shared" si="11"/>
        <v/>
      </c>
      <c r="P122" s="3" t="str">
        <f t="shared" si="12"/>
        <v/>
      </c>
      <c r="Q122" s="3">
        <f t="shared" si="13"/>
        <v>0</v>
      </c>
      <c r="R122" s="3">
        <f t="shared" si="14"/>
        <v>0</v>
      </c>
      <c r="S122" s="3" t="e" cm="1">
        <f t="array" aca="1" ref="S122" ca="1">SUMPRODUCT(MID($P122,ROW(INDIRECT("1:23")),1)*2^(-ROW(INDIRECT("1:23"))))</f>
        <v>#VALUE!</v>
      </c>
      <c r="T122" s="3" t="e">
        <f t="shared" ca="1" si="15"/>
        <v>#VALUE!</v>
      </c>
      <c r="U122" s="3" t="e">
        <f t="shared" ca="1" si="16"/>
        <v>#VALUE!</v>
      </c>
      <c r="V122" s="73"/>
      <c r="W122" s="9" t="str">
        <f t="shared" si="17"/>
        <v>OK</v>
      </c>
    </row>
    <row r="123" spans="1:23" x14ac:dyDescent="0.3">
      <c r="A123" s="44">
        <v>120</v>
      </c>
      <c r="B123" s="14">
        <v>3</v>
      </c>
      <c r="C123" s="4">
        <v>3</v>
      </c>
      <c r="D123" s="3" t="str">
        <f>VLOOKUP($C123,Overall!$K$5:$T$36,2)</f>
        <v>Underflow</v>
      </c>
      <c r="E123" s="3">
        <f ca="1">VLOOKUP($C123,Overall!$K$5:$T$36,10)</f>
        <v>1.1754942106924411E-38</v>
      </c>
      <c r="F123" s="9" t="str">
        <f>VLOOKUP($C123,Overall!$K$5:$T$36,6)</f>
        <v>00000000011111111111111111111111</v>
      </c>
      <c r="G123" s="8">
        <v>20</v>
      </c>
      <c r="H123" s="3" t="str">
        <f>VLOOKUP($G123,Overall!$K$5:$T$36,2)</f>
        <v>Normal</v>
      </c>
      <c r="I123" s="3">
        <f ca="1">VLOOKUP($G123,Overall!$K$5:$T$36,10)</f>
        <v>12345.6787109375</v>
      </c>
      <c r="J123" s="62" t="str">
        <f>VLOOKUP($G123,Overall!$K$5:$T$36,6)</f>
        <v>001000110010000001110011010110111</v>
      </c>
      <c r="K123" s="8">
        <f t="shared" ca="1" si="9"/>
        <v>1.451227385177595E-34</v>
      </c>
      <c r="L123" s="62">
        <f>VLOOKUP($B123,Overall!$B$5:$I$13,8)</f>
        <v>0</v>
      </c>
      <c r="M123" s="58"/>
      <c r="N123" s="3" t="str">
        <f t="shared" si="10"/>
        <v/>
      </c>
      <c r="O123" s="3" t="str">
        <f t="shared" si="11"/>
        <v/>
      </c>
      <c r="P123" s="3" t="str">
        <f t="shared" si="12"/>
        <v/>
      </c>
      <c r="Q123" s="3">
        <f t="shared" si="13"/>
        <v>0</v>
      </c>
      <c r="R123" s="3">
        <f t="shared" si="14"/>
        <v>0</v>
      </c>
      <c r="S123" s="3" t="e" cm="1">
        <f t="array" aca="1" ref="S123" ca="1">SUMPRODUCT(MID($P123,ROW(INDIRECT("1:23")),1)*2^(-ROW(INDIRECT("1:23"))))</f>
        <v>#VALUE!</v>
      </c>
      <c r="T123" s="3" t="e">
        <f t="shared" ca="1" si="15"/>
        <v>#VALUE!</v>
      </c>
      <c r="U123" s="3" t="e">
        <f t="shared" ca="1" si="16"/>
        <v>#VALUE!</v>
      </c>
      <c r="V123" s="73"/>
      <c r="W123" s="9" t="str">
        <f t="shared" si="17"/>
        <v>OK</v>
      </c>
    </row>
    <row r="124" spans="1:23" x14ac:dyDescent="0.3">
      <c r="A124" s="44">
        <v>121</v>
      </c>
      <c r="B124" s="14">
        <v>3</v>
      </c>
      <c r="C124" s="4">
        <v>3</v>
      </c>
      <c r="D124" s="3" t="str">
        <f>VLOOKUP($C124,Overall!$K$5:$T$36,2)</f>
        <v>Underflow</v>
      </c>
      <c r="E124" s="3">
        <f ca="1">VLOOKUP($C124,Overall!$K$5:$T$36,10)</f>
        <v>1.1754942106924411E-38</v>
      </c>
      <c r="F124" s="9" t="str">
        <f>VLOOKUP($C124,Overall!$K$5:$T$36,6)</f>
        <v>00000000011111111111111111111111</v>
      </c>
      <c r="G124" s="8">
        <v>21</v>
      </c>
      <c r="H124" s="3" t="str">
        <f>VLOOKUP($G124,Overall!$K$5:$T$36,2)</f>
        <v>Normal</v>
      </c>
      <c r="I124" s="3">
        <f ca="1">VLOOKUP($G124,Overall!$K$5:$T$36,10)</f>
        <v>2.345678924830959E+38</v>
      </c>
      <c r="J124" s="62" t="str">
        <f>VLOOKUP($G124,Overall!$K$5:$T$36,6)</f>
        <v>01111111001100000111100000100010</v>
      </c>
      <c r="K124" s="8">
        <f t="shared" ca="1" si="9"/>
        <v>2.7573319962820619</v>
      </c>
      <c r="L124" s="62">
        <f>VLOOKUP($B124,Overall!$B$5:$I$13,8)</f>
        <v>0</v>
      </c>
      <c r="M124" s="58"/>
      <c r="N124" s="3" t="str">
        <f t="shared" si="10"/>
        <v/>
      </c>
      <c r="O124" s="3" t="str">
        <f t="shared" si="11"/>
        <v/>
      </c>
      <c r="P124" s="3" t="str">
        <f t="shared" si="12"/>
        <v/>
      </c>
      <c r="Q124" s="3">
        <f t="shared" si="13"/>
        <v>0</v>
      </c>
      <c r="R124" s="3">
        <f t="shared" si="14"/>
        <v>0</v>
      </c>
      <c r="S124" s="3" t="e" cm="1">
        <f t="array" aca="1" ref="S124" ca="1">SUMPRODUCT(MID($P124,ROW(INDIRECT("1:23")),1)*2^(-ROW(INDIRECT("1:23"))))</f>
        <v>#VALUE!</v>
      </c>
      <c r="T124" s="3" t="e">
        <f t="shared" ca="1" si="15"/>
        <v>#VALUE!</v>
      </c>
      <c r="U124" s="3" t="e">
        <f t="shared" ca="1" si="16"/>
        <v>#VALUE!</v>
      </c>
      <c r="V124" s="73"/>
      <c r="W124" s="9" t="str">
        <f t="shared" si="17"/>
        <v>OK</v>
      </c>
    </row>
    <row r="125" spans="1:23" x14ac:dyDescent="0.3">
      <c r="A125" s="44">
        <v>122</v>
      </c>
      <c r="B125" s="14">
        <v>3</v>
      </c>
      <c r="C125" s="4">
        <v>3</v>
      </c>
      <c r="D125" s="3" t="str">
        <f>VLOOKUP($C125,Overall!$K$5:$T$36,2)</f>
        <v>Underflow</v>
      </c>
      <c r="E125" s="3">
        <f ca="1">VLOOKUP($C125,Overall!$K$5:$T$36,10)</f>
        <v>1.1754942106924411E-38</v>
      </c>
      <c r="F125" s="9" t="str">
        <f>VLOOKUP($C125,Overall!$K$5:$T$36,6)</f>
        <v>00000000011111111111111111111111</v>
      </c>
      <c r="G125" s="8">
        <v>22</v>
      </c>
      <c r="H125" s="3" t="str">
        <f>VLOOKUP($G125,Overall!$K$5:$T$36,2)</f>
        <v>Normal</v>
      </c>
      <c r="I125" s="3">
        <f ca="1">VLOOKUP($G125,Overall!$K$5:$T$36,10)</f>
        <v>3.4028232635611926E+38</v>
      </c>
      <c r="J125" s="62" t="str">
        <f>VLOOKUP($G125,Overall!$K$5:$T$36,6)</f>
        <v>01111111011111111111111111111110</v>
      </c>
      <c r="K125" s="8">
        <f t="shared" ca="1" si="9"/>
        <v>3.9999990463257404</v>
      </c>
      <c r="L125" s="62">
        <f>VLOOKUP($B125,Overall!$B$5:$I$13,8)</f>
        <v>0</v>
      </c>
      <c r="M125" s="58"/>
      <c r="N125" s="3" t="str">
        <f t="shared" si="10"/>
        <v/>
      </c>
      <c r="O125" s="3" t="str">
        <f t="shared" si="11"/>
        <v/>
      </c>
      <c r="P125" s="3" t="str">
        <f t="shared" si="12"/>
        <v/>
      </c>
      <c r="Q125" s="3">
        <f t="shared" si="13"/>
        <v>0</v>
      </c>
      <c r="R125" s="3">
        <f t="shared" si="14"/>
        <v>0</v>
      </c>
      <c r="S125" s="3" t="e" cm="1">
        <f t="array" aca="1" ref="S125" ca="1">SUMPRODUCT(MID($P125,ROW(INDIRECT("1:23")),1)*2^(-ROW(INDIRECT("1:23"))))</f>
        <v>#VALUE!</v>
      </c>
      <c r="T125" s="3" t="e">
        <f t="shared" ca="1" si="15"/>
        <v>#VALUE!</v>
      </c>
      <c r="U125" s="3" t="e">
        <f t="shared" ca="1" si="16"/>
        <v>#VALUE!</v>
      </c>
      <c r="V125" s="73"/>
      <c r="W125" s="9" t="str">
        <f t="shared" si="17"/>
        <v>OK</v>
      </c>
    </row>
    <row r="126" spans="1:23" x14ac:dyDescent="0.3">
      <c r="A126" s="44">
        <v>123</v>
      </c>
      <c r="B126" s="14">
        <v>3</v>
      </c>
      <c r="C126" s="4">
        <v>3</v>
      </c>
      <c r="D126" s="3" t="str">
        <f>VLOOKUP($C126,Overall!$K$5:$T$36,2)</f>
        <v>Underflow</v>
      </c>
      <c r="E126" s="3">
        <f ca="1">VLOOKUP($C126,Overall!$K$5:$T$36,10)</f>
        <v>1.1754942106924411E-38</v>
      </c>
      <c r="F126" s="9" t="str">
        <f>VLOOKUP($C126,Overall!$K$5:$T$36,6)</f>
        <v>00000000011111111111111111111111</v>
      </c>
      <c r="G126" s="8">
        <v>23</v>
      </c>
      <c r="H126" s="3" t="str">
        <f>VLOOKUP($G126,Overall!$K$5:$T$36,2)</f>
        <v>Normal</v>
      </c>
      <c r="I126" s="3">
        <f ca="1">VLOOKUP($G126,Overall!$K$5:$T$36,10)</f>
        <v>3.4028234663852886E+38</v>
      </c>
      <c r="J126" s="62" t="str">
        <f>VLOOKUP($G126,Overall!$K$5:$T$36,6)</f>
        <v>01111111011111111111111111111111</v>
      </c>
      <c r="K126" s="8">
        <f t="shared" ca="1" si="9"/>
        <v>3.9999992847442911</v>
      </c>
      <c r="L126" s="62">
        <f>VLOOKUP($B126,Overall!$B$5:$I$13,8)</f>
        <v>0</v>
      </c>
      <c r="M126" s="58"/>
      <c r="N126" s="3" t="str">
        <f t="shared" si="10"/>
        <v/>
      </c>
      <c r="O126" s="3" t="str">
        <f t="shared" si="11"/>
        <v/>
      </c>
      <c r="P126" s="3" t="str">
        <f t="shared" si="12"/>
        <v/>
      </c>
      <c r="Q126" s="3">
        <f t="shared" si="13"/>
        <v>0</v>
      </c>
      <c r="R126" s="3">
        <f t="shared" si="14"/>
        <v>0</v>
      </c>
      <c r="S126" s="3" t="e" cm="1">
        <f t="array" aca="1" ref="S126" ca="1">SUMPRODUCT(MID($P126,ROW(INDIRECT("1:23")),1)*2^(-ROW(INDIRECT("1:23"))))</f>
        <v>#VALUE!</v>
      </c>
      <c r="T126" s="3" t="e">
        <f t="shared" ca="1" si="15"/>
        <v>#VALUE!</v>
      </c>
      <c r="U126" s="3" t="e">
        <f t="shared" ca="1" si="16"/>
        <v>#VALUE!</v>
      </c>
      <c r="V126" s="73"/>
      <c r="W126" s="9" t="str">
        <f t="shared" si="17"/>
        <v>OK</v>
      </c>
    </row>
    <row r="127" spans="1:23" x14ac:dyDescent="0.3">
      <c r="A127" s="44">
        <v>124</v>
      </c>
      <c r="B127" s="14">
        <v>3</v>
      </c>
      <c r="C127" s="4">
        <v>3</v>
      </c>
      <c r="D127" s="3" t="str">
        <f>VLOOKUP($C127,Overall!$K$5:$T$36,2)</f>
        <v>Underflow</v>
      </c>
      <c r="E127" s="3">
        <f ca="1">VLOOKUP($C127,Overall!$K$5:$T$36,10)</f>
        <v>1.1754942106924411E-38</v>
      </c>
      <c r="F127" s="9" t="str">
        <f>VLOOKUP($C127,Overall!$K$5:$T$36,6)</f>
        <v>00000000011111111111111111111111</v>
      </c>
      <c r="G127" s="8">
        <v>24</v>
      </c>
      <c r="H127" s="3" t="str">
        <f>VLOOKUP($G127,Overall!$K$5:$T$36,2)</f>
        <v>Normal</v>
      </c>
      <c r="I127" s="3">
        <f ca="1">VLOOKUP($G127,Overall!$K$5:$T$36,10)</f>
        <v>-1.1754943508222875E-38</v>
      </c>
      <c r="J127" s="62" t="str">
        <f>VLOOKUP($G127,Overall!$K$5:$T$36,6)</f>
        <v>10000000100000000000000000000000</v>
      </c>
      <c r="K127" s="8">
        <f t="shared" ca="1" si="9"/>
        <v>-1.3817868040932683E-76</v>
      </c>
      <c r="L127" s="62">
        <f>VLOOKUP($B127,Overall!$B$5:$I$13,8)</f>
        <v>0</v>
      </c>
      <c r="M127" s="58"/>
      <c r="N127" s="3" t="str">
        <f t="shared" si="10"/>
        <v/>
      </c>
      <c r="O127" s="3" t="str">
        <f t="shared" si="11"/>
        <v/>
      </c>
      <c r="P127" s="3" t="str">
        <f t="shared" si="12"/>
        <v/>
      </c>
      <c r="Q127" s="3">
        <f t="shared" si="13"/>
        <v>0</v>
      </c>
      <c r="R127" s="3">
        <f t="shared" si="14"/>
        <v>0</v>
      </c>
      <c r="S127" s="3" t="e" cm="1">
        <f t="array" aca="1" ref="S127" ca="1">SUMPRODUCT(MID($P127,ROW(INDIRECT("1:23")),1)*2^(-ROW(INDIRECT("1:23"))))</f>
        <v>#VALUE!</v>
      </c>
      <c r="T127" s="3" t="e">
        <f t="shared" ca="1" si="15"/>
        <v>#VALUE!</v>
      </c>
      <c r="U127" s="3" t="e">
        <f t="shared" ca="1" si="16"/>
        <v>#VALUE!</v>
      </c>
      <c r="V127" s="73"/>
      <c r="W127" s="9" t="str">
        <f t="shared" si="17"/>
        <v>OK</v>
      </c>
    </row>
    <row r="128" spans="1:23" x14ac:dyDescent="0.3">
      <c r="A128" s="44">
        <v>125</v>
      </c>
      <c r="B128" s="14">
        <v>3</v>
      </c>
      <c r="C128" s="4">
        <v>3</v>
      </c>
      <c r="D128" s="3" t="str">
        <f>VLOOKUP($C128,Overall!$K$5:$T$36,2)</f>
        <v>Underflow</v>
      </c>
      <c r="E128" s="3">
        <f ca="1">VLOOKUP($C128,Overall!$K$5:$T$36,10)</f>
        <v>1.1754942106924411E-38</v>
      </c>
      <c r="F128" s="9" t="str">
        <f>VLOOKUP($C128,Overall!$K$5:$T$36,6)</f>
        <v>00000000011111111111111111111111</v>
      </c>
      <c r="G128" s="8">
        <v>25</v>
      </c>
      <c r="H128" s="3" t="str">
        <f>VLOOKUP($G128,Overall!$K$5:$T$36,2)</f>
        <v>Normal</v>
      </c>
      <c r="I128" s="3">
        <f ca="1">VLOOKUP($G128,Overall!$K$5:$T$36,10)</f>
        <v>-1.1754944909521339E-38</v>
      </c>
      <c r="J128" s="62" t="str">
        <f>VLOOKUP($G128,Overall!$K$5:$T$36,6)</f>
        <v>10000000100000000000000000000001</v>
      </c>
      <c r="K128" s="8">
        <f t="shared" ca="1" si="9"/>
        <v>-1.3817869688150915E-76</v>
      </c>
      <c r="L128" s="62">
        <f>VLOOKUP($B128,Overall!$B$5:$I$13,8)</f>
        <v>0</v>
      </c>
      <c r="M128" s="58"/>
      <c r="N128" s="3" t="str">
        <f t="shared" si="10"/>
        <v/>
      </c>
      <c r="O128" s="3" t="str">
        <f t="shared" si="11"/>
        <v/>
      </c>
      <c r="P128" s="3" t="str">
        <f t="shared" si="12"/>
        <v/>
      </c>
      <c r="Q128" s="3">
        <f t="shared" si="13"/>
        <v>0</v>
      </c>
      <c r="R128" s="3">
        <f t="shared" si="14"/>
        <v>0</v>
      </c>
      <c r="S128" s="3" t="e" cm="1">
        <f t="array" aca="1" ref="S128" ca="1">SUMPRODUCT(MID($P128,ROW(INDIRECT("1:23")),1)*2^(-ROW(INDIRECT("1:23"))))</f>
        <v>#VALUE!</v>
      </c>
      <c r="T128" s="3" t="e">
        <f t="shared" ca="1" si="15"/>
        <v>#VALUE!</v>
      </c>
      <c r="U128" s="3" t="e">
        <f t="shared" ca="1" si="16"/>
        <v>#VALUE!</v>
      </c>
      <c r="V128" s="73"/>
      <c r="W128" s="9" t="str">
        <f t="shared" si="17"/>
        <v>OK</v>
      </c>
    </row>
    <row r="129" spans="1:23" x14ac:dyDescent="0.3">
      <c r="A129" s="44">
        <v>126</v>
      </c>
      <c r="B129" s="14">
        <v>3</v>
      </c>
      <c r="C129" s="4">
        <v>3</v>
      </c>
      <c r="D129" s="3" t="str">
        <f>VLOOKUP($C129,Overall!$K$5:$T$36,2)</f>
        <v>Underflow</v>
      </c>
      <c r="E129" s="3">
        <f ca="1">VLOOKUP($C129,Overall!$K$5:$T$36,10)</f>
        <v>1.1754942106924411E-38</v>
      </c>
      <c r="F129" s="9" t="str">
        <f>VLOOKUP($C129,Overall!$K$5:$T$36,6)</f>
        <v>00000000011111111111111111111111</v>
      </c>
      <c r="G129" s="8">
        <v>26</v>
      </c>
      <c r="H129" s="3" t="str">
        <f>VLOOKUP($G129,Overall!$K$5:$T$36,2)</f>
        <v>Normal</v>
      </c>
      <c r="I129" s="3">
        <f ca="1">VLOOKUP($G129,Overall!$K$5:$T$36,10)</f>
        <v>-0.5</v>
      </c>
      <c r="J129" s="62" t="str">
        <f>VLOOKUP($G129,Overall!$K$5:$T$36,6)</f>
        <v>10111111000000000000000000000000</v>
      </c>
      <c r="K129" s="8">
        <f t="shared" ca="1" si="9"/>
        <v>-5.8774710534622054E-39</v>
      </c>
      <c r="L129" s="62">
        <f>VLOOKUP($B129,Overall!$B$5:$I$13,8)</f>
        <v>0</v>
      </c>
      <c r="M129" s="58"/>
      <c r="N129" s="3" t="str">
        <f t="shared" si="10"/>
        <v/>
      </c>
      <c r="O129" s="3" t="str">
        <f t="shared" si="11"/>
        <v/>
      </c>
      <c r="P129" s="3" t="str">
        <f t="shared" si="12"/>
        <v/>
      </c>
      <c r="Q129" s="3">
        <f t="shared" si="13"/>
        <v>0</v>
      </c>
      <c r="R129" s="3">
        <f t="shared" si="14"/>
        <v>0</v>
      </c>
      <c r="S129" s="3" t="e" cm="1">
        <f t="array" aca="1" ref="S129" ca="1">SUMPRODUCT(MID($P129,ROW(INDIRECT("1:23")),1)*2^(-ROW(INDIRECT("1:23"))))</f>
        <v>#VALUE!</v>
      </c>
      <c r="T129" s="3" t="e">
        <f t="shared" ca="1" si="15"/>
        <v>#VALUE!</v>
      </c>
      <c r="U129" s="3" t="e">
        <f t="shared" ca="1" si="16"/>
        <v>#VALUE!</v>
      </c>
      <c r="V129" s="73"/>
      <c r="W129" s="9" t="str">
        <f t="shared" si="17"/>
        <v>OK</v>
      </c>
    </row>
    <row r="130" spans="1:23" x14ac:dyDescent="0.3">
      <c r="A130" s="44">
        <v>127</v>
      </c>
      <c r="B130" s="14">
        <v>3</v>
      </c>
      <c r="C130" s="4">
        <v>3</v>
      </c>
      <c r="D130" s="3" t="str">
        <f>VLOOKUP($C130,Overall!$K$5:$T$36,2)</f>
        <v>Underflow</v>
      </c>
      <c r="E130" s="3">
        <f ca="1">VLOOKUP($C130,Overall!$K$5:$T$36,10)</f>
        <v>1.1754942106924411E-38</v>
      </c>
      <c r="F130" s="9" t="str">
        <f>VLOOKUP($C130,Overall!$K$5:$T$36,6)</f>
        <v>00000000011111111111111111111111</v>
      </c>
      <c r="G130" s="8">
        <v>27</v>
      </c>
      <c r="H130" s="3" t="str">
        <f>VLOOKUP($G130,Overall!$K$5:$T$36,2)</f>
        <v>Normal</v>
      </c>
      <c r="I130" s="3">
        <f ca="1">VLOOKUP($G130,Overall!$K$5:$T$36,10)</f>
        <v>-1</v>
      </c>
      <c r="J130" s="62" t="str">
        <f>VLOOKUP($G130,Overall!$K$5:$T$36,6)</f>
        <v>10111111100000000000000000000000</v>
      </c>
      <c r="K130" s="8">
        <f t="shared" ca="1" si="9"/>
        <v>-1.1754942106924411E-38</v>
      </c>
      <c r="L130" s="62">
        <f>VLOOKUP($B130,Overall!$B$5:$I$13,8)</f>
        <v>0</v>
      </c>
      <c r="M130" s="58"/>
      <c r="N130" s="3" t="str">
        <f t="shared" si="10"/>
        <v/>
      </c>
      <c r="O130" s="3" t="str">
        <f t="shared" si="11"/>
        <v/>
      </c>
      <c r="P130" s="3" t="str">
        <f t="shared" si="12"/>
        <v/>
      </c>
      <c r="Q130" s="3">
        <f t="shared" si="13"/>
        <v>0</v>
      </c>
      <c r="R130" s="3">
        <f t="shared" si="14"/>
        <v>0</v>
      </c>
      <c r="S130" s="3" t="e" cm="1">
        <f t="array" aca="1" ref="S130" ca="1">SUMPRODUCT(MID($P130,ROW(INDIRECT("1:23")),1)*2^(-ROW(INDIRECT("1:23"))))</f>
        <v>#VALUE!</v>
      </c>
      <c r="T130" s="3" t="e">
        <f t="shared" ca="1" si="15"/>
        <v>#VALUE!</v>
      </c>
      <c r="U130" s="3" t="e">
        <f t="shared" ca="1" si="16"/>
        <v>#VALUE!</v>
      </c>
      <c r="V130" s="73"/>
      <c r="W130" s="9" t="str">
        <f t="shared" si="17"/>
        <v>OK</v>
      </c>
    </row>
    <row r="131" spans="1:23" x14ac:dyDescent="0.3">
      <c r="A131" s="44">
        <v>128</v>
      </c>
      <c r="B131" s="14">
        <v>3</v>
      </c>
      <c r="C131" s="4">
        <v>3</v>
      </c>
      <c r="D131" s="3" t="str">
        <f>VLOOKUP($C131,Overall!$K$5:$T$36,2)</f>
        <v>Underflow</v>
      </c>
      <c r="E131" s="3">
        <f ca="1">VLOOKUP($C131,Overall!$K$5:$T$36,10)</f>
        <v>1.1754942106924411E-38</v>
      </c>
      <c r="F131" s="9" t="str">
        <f>VLOOKUP($C131,Overall!$K$5:$T$36,6)</f>
        <v>00000000011111111111111111111111</v>
      </c>
      <c r="G131" s="8">
        <v>28</v>
      </c>
      <c r="H131" s="3" t="str">
        <f>VLOOKUP($G131,Overall!$K$5:$T$36,2)</f>
        <v>Normal</v>
      </c>
      <c r="I131" s="3">
        <f ca="1">VLOOKUP($G131,Overall!$K$5:$T$36,10)</f>
        <v>-1.5</v>
      </c>
      <c r="J131" s="62" t="str">
        <f>VLOOKUP($G131,Overall!$K$5:$T$36,6)</f>
        <v>10111111110000000000000000000000</v>
      </c>
      <c r="K131" s="8">
        <f t="shared" ca="1" si="9"/>
        <v>-1.7632413160386616E-38</v>
      </c>
      <c r="L131" s="62">
        <f>VLOOKUP($B131,Overall!$B$5:$I$13,8)</f>
        <v>0</v>
      </c>
      <c r="M131" s="58"/>
      <c r="N131" s="3" t="str">
        <f t="shared" si="10"/>
        <v/>
      </c>
      <c r="O131" s="3" t="str">
        <f t="shared" si="11"/>
        <v/>
      </c>
      <c r="P131" s="3" t="str">
        <f t="shared" si="12"/>
        <v/>
      </c>
      <c r="Q131" s="3">
        <f t="shared" si="13"/>
        <v>0</v>
      </c>
      <c r="R131" s="3">
        <f t="shared" si="14"/>
        <v>0</v>
      </c>
      <c r="S131" s="3" t="e" cm="1">
        <f t="array" aca="1" ref="S131" ca="1">SUMPRODUCT(MID($P131,ROW(INDIRECT("1:23")),1)*2^(-ROW(INDIRECT("1:23"))))</f>
        <v>#VALUE!</v>
      </c>
      <c r="T131" s="3" t="e">
        <f t="shared" ca="1" si="15"/>
        <v>#VALUE!</v>
      </c>
      <c r="U131" s="3" t="e">
        <f t="shared" ca="1" si="16"/>
        <v>#VALUE!</v>
      </c>
      <c r="V131" s="73"/>
      <c r="W131" s="9" t="str">
        <f t="shared" si="17"/>
        <v>OK</v>
      </c>
    </row>
    <row r="132" spans="1:23" x14ac:dyDescent="0.3">
      <c r="A132" s="44">
        <v>129</v>
      </c>
      <c r="B132" s="14">
        <v>3</v>
      </c>
      <c r="C132" s="4">
        <v>3</v>
      </c>
      <c r="D132" s="3" t="str">
        <f>VLOOKUP($C132,Overall!$K$5:$T$36,2)</f>
        <v>Underflow</v>
      </c>
      <c r="E132" s="3">
        <f ca="1">VLOOKUP($C132,Overall!$K$5:$T$36,10)</f>
        <v>1.1754942106924411E-38</v>
      </c>
      <c r="F132" s="9" t="str">
        <f>VLOOKUP($C132,Overall!$K$5:$T$36,6)</f>
        <v>00000000011111111111111111111111</v>
      </c>
      <c r="G132" s="8">
        <v>29</v>
      </c>
      <c r="H132" s="3" t="str">
        <f>VLOOKUP($G132,Overall!$K$5:$T$36,2)</f>
        <v>Normal</v>
      </c>
      <c r="I132" s="3">
        <f ca="1">VLOOKUP($G132,Overall!$K$5:$T$36,10)</f>
        <v>-12345.6787109375</v>
      </c>
      <c r="J132" s="62" t="str">
        <f>VLOOKUP($G132,Overall!$K$5:$T$36,6)</f>
        <v>101000110010000001110011010110111</v>
      </c>
      <c r="K132" s="8">
        <f t="shared" ca="1" si="9"/>
        <v>-1.451227385177595E-34</v>
      </c>
      <c r="L132" s="62">
        <f>VLOOKUP($B132,Overall!$B$5:$I$13,8)</f>
        <v>0</v>
      </c>
      <c r="M132" s="58"/>
      <c r="N132" s="3" t="str">
        <f t="shared" si="10"/>
        <v/>
      </c>
      <c r="O132" s="3" t="str">
        <f t="shared" si="11"/>
        <v/>
      </c>
      <c r="P132" s="3" t="str">
        <f t="shared" si="12"/>
        <v/>
      </c>
      <c r="Q132" s="3">
        <f t="shared" si="13"/>
        <v>0</v>
      </c>
      <c r="R132" s="3">
        <f t="shared" si="14"/>
        <v>0</v>
      </c>
      <c r="S132" s="3" t="e" cm="1">
        <f t="array" aca="1" ref="S132" ca="1">SUMPRODUCT(MID($P132,ROW(INDIRECT("1:23")),1)*2^(-ROW(INDIRECT("1:23"))))</f>
        <v>#VALUE!</v>
      </c>
      <c r="T132" s="3" t="e">
        <f t="shared" ca="1" si="15"/>
        <v>#VALUE!</v>
      </c>
      <c r="U132" s="3" t="e">
        <f t="shared" ca="1" si="16"/>
        <v>#VALUE!</v>
      </c>
      <c r="V132" s="73"/>
      <c r="W132" s="9" t="str">
        <f t="shared" si="17"/>
        <v>OK</v>
      </c>
    </row>
    <row r="133" spans="1:23" x14ac:dyDescent="0.3">
      <c r="A133" s="44">
        <v>130</v>
      </c>
      <c r="B133" s="14">
        <v>3</v>
      </c>
      <c r="C133" s="4">
        <v>3</v>
      </c>
      <c r="D133" s="3" t="str">
        <f>VLOOKUP($C133,Overall!$K$5:$T$36,2)</f>
        <v>Underflow</v>
      </c>
      <c r="E133" s="3">
        <f ca="1">VLOOKUP($C133,Overall!$K$5:$T$36,10)</f>
        <v>1.1754942106924411E-38</v>
      </c>
      <c r="F133" s="9" t="str">
        <f>VLOOKUP($C133,Overall!$K$5:$T$36,6)</f>
        <v>00000000011111111111111111111111</v>
      </c>
      <c r="G133" s="8">
        <v>30</v>
      </c>
      <c r="H133" s="3" t="str">
        <f>VLOOKUP($G133,Overall!$K$5:$T$36,2)</f>
        <v>Normal</v>
      </c>
      <c r="I133" s="3">
        <f ca="1">VLOOKUP($G133,Overall!$K$5:$T$36,10)</f>
        <v>-2.345678924830959E+38</v>
      </c>
      <c r="J133" s="62" t="str">
        <f>VLOOKUP($G133,Overall!$K$5:$T$36,6)</f>
        <v>11111111001100000111100000100010</v>
      </c>
      <c r="K133" s="8">
        <f t="shared" ref="K133:K196" ca="1" si="18">E133*I133</f>
        <v>-2.7573319962820619</v>
      </c>
      <c r="L133" s="62">
        <f>VLOOKUP($B133,Overall!$B$5:$I$13,8)</f>
        <v>0</v>
      </c>
      <c r="M133" s="58"/>
      <c r="N133" s="3" t="str">
        <f t="shared" ref="N133:N196" si="19">LEFT($M133,1)</f>
        <v/>
      </c>
      <c r="O133" s="3" t="str">
        <f t="shared" ref="O133:O196" si="20">MID($M133,2,8)</f>
        <v/>
      </c>
      <c r="P133" s="3" t="str">
        <f t="shared" ref="P133:P196" si="21">MID($M133,10,23)</f>
        <v/>
      </c>
      <c r="Q133" s="3">
        <f t="shared" ref="Q133:Q196" si="22">BIN2DEC($N133)</f>
        <v>0</v>
      </c>
      <c r="R133" s="3">
        <f t="shared" ref="R133:R196" si="23">BIN2DEC($O133)</f>
        <v>0</v>
      </c>
      <c r="S133" s="3" t="e" cm="1">
        <f t="array" aca="1" ref="S133" ca="1">SUMPRODUCT(MID($P133,ROW(INDIRECT("1:23")),1)*2^(-ROW(INDIRECT("1:23"))))</f>
        <v>#VALUE!</v>
      </c>
      <c r="T133" s="3" t="e">
        <f t="shared" ref="T133:T196" ca="1" si="24">IF($R133=0,
   (-1)^$Q133 * $S133 * 2^(-126),
   (-1)^$Q133 * (1 + $S133) * 2^($R133 - 127)
)</f>
        <v>#VALUE!</v>
      </c>
      <c r="U133" s="3" t="e">
        <f t="shared" ref="U133:U196" ca="1" si="25">$T133-$K133</f>
        <v>#VALUE!</v>
      </c>
      <c r="V133" s="73"/>
      <c r="W133" s="9" t="str">
        <f t="shared" ref="W133:W196" si="26">IF(L133=V133,"OK","NG")</f>
        <v>OK</v>
      </c>
    </row>
    <row r="134" spans="1:23" x14ac:dyDescent="0.3">
      <c r="A134" s="44">
        <v>131</v>
      </c>
      <c r="B134" s="14">
        <v>3</v>
      </c>
      <c r="C134" s="4">
        <v>3</v>
      </c>
      <c r="D134" s="3" t="str">
        <f>VLOOKUP($C134,Overall!$K$5:$T$36,2)</f>
        <v>Underflow</v>
      </c>
      <c r="E134" s="3">
        <f ca="1">VLOOKUP($C134,Overall!$K$5:$T$36,10)</f>
        <v>1.1754942106924411E-38</v>
      </c>
      <c r="F134" s="9" t="str">
        <f>VLOOKUP($C134,Overall!$K$5:$T$36,6)</f>
        <v>00000000011111111111111111111111</v>
      </c>
      <c r="G134" s="8">
        <v>31</v>
      </c>
      <c r="H134" s="3" t="str">
        <f>VLOOKUP($G134,Overall!$K$5:$T$36,2)</f>
        <v>Normal</v>
      </c>
      <c r="I134" s="3">
        <f ca="1">VLOOKUP($G134,Overall!$K$5:$T$36,10)</f>
        <v>-3.4028232635611926E+38</v>
      </c>
      <c r="J134" s="62" t="str">
        <f>VLOOKUP($G134,Overall!$K$5:$T$36,6)</f>
        <v>11111111011111111111111111111110</v>
      </c>
      <c r="K134" s="8">
        <f t="shared" ca="1" si="18"/>
        <v>-3.9999990463257404</v>
      </c>
      <c r="L134" s="62">
        <f>VLOOKUP($B134,Overall!$B$5:$I$13,8)</f>
        <v>0</v>
      </c>
      <c r="M134" s="58"/>
      <c r="N134" s="3" t="str">
        <f t="shared" si="19"/>
        <v/>
      </c>
      <c r="O134" s="3" t="str">
        <f t="shared" si="20"/>
        <v/>
      </c>
      <c r="P134" s="3" t="str">
        <f t="shared" si="21"/>
        <v/>
      </c>
      <c r="Q134" s="3">
        <f t="shared" si="22"/>
        <v>0</v>
      </c>
      <c r="R134" s="3">
        <f t="shared" si="23"/>
        <v>0</v>
      </c>
      <c r="S134" s="3" t="e" cm="1">
        <f t="array" aca="1" ref="S134" ca="1">SUMPRODUCT(MID($P134,ROW(INDIRECT("1:23")),1)*2^(-ROW(INDIRECT("1:23"))))</f>
        <v>#VALUE!</v>
      </c>
      <c r="T134" s="3" t="e">
        <f t="shared" ca="1" si="24"/>
        <v>#VALUE!</v>
      </c>
      <c r="U134" s="3" t="e">
        <f t="shared" ca="1" si="25"/>
        <v>#VALUE!</v>
      </c>
      <c r="V134" s="73"/>
      <c r="W134" s="9" t="str">
        <f t="shared" si="26"/>
        <v>OK</v>
      </c>
    </row>
    <row r="135" spans="1:23" x14ac:dyDescent="0.3">
      <c r="A135" s="44">
        <v>132</v>
      </c>
      <c r="B135" s="14">
        <v>3</v>
      </c>
      <c r="C135" s="4">
        <v>3</v>
      </c>
      <c r="D135" s="3" t="str">
        <f>VLOOKUP($C135,Overall!$K$5:$T$36,2)</f>
        <v>Underflow</v>
      </c>
      <c r="E135" s="3">
        <f ca="1">VLOOKUP($C135,Overall!$K$5:$T$36,10)</f>
        <v>1.1754942106924411E-38</v>
      </c>
      <c r="F135" s="9" t="str">
        <f>VLOOKUP($C135,Overall!$K$5:$T$36,6)</f>
        <v>00000000011111111111111111111111</v>
      </c>
      <c r="G135" s="8">
        <v>32</v>
      </c>
      <c r="H135" s="3" t="str">
        <f>VLOOKUP($G135,Overall!$K$5:$T$36,2)</f>
        <v>Normal</v>
      </c>
      <c r="I135" s="3">
        <f ca="1">VLOOKUP($G135,Overall!$K$5:$T$36,10)</f>
        <v>-3.4028234663852886E+38</v>
      </c>
      <c r="J135" s="62" t="str">
        <f>VLOOKUP($G135,Overall!$K$5:$T$36,6)</f>
        <v>11111111011111111111111111111111</v>
      </c>
      <c r="K135" s="8">
        <f t="shared" ca="1" si="18"/>
        <v>-3.9999992847442911</v>
      </c>
      <c r="L135" s="62">
        <f>VLOOKUP($B135,Overall!$B$5:$I$13,8)</f>
        <v>0</v>
      </c>
      <c r="M135" s="58"/>
      <c r="N135" s="3" t="str">
        <f t="shared" si="19"/>
        <v/>
      </c>
      <c r="O135" s="3" t="str">
        <f t="shared" si="20"/>
        <v/>
      </c>
      <c r="P135" s="3" t="str">
        <f t="shared" si="21"/>
        <v/>
      </c>
      <c r="Q135" s="3">
        <f t="shared" si="22"/>
        <v>0</v>
      </c>
      <c r="R135" s="3">
        <f t="shared" si="23"/>
        <v>0</v>
      </c>
      <c r="S135" s="3" t="e" cm="1">
        <f t="array" aca="1" ref="S135" ca="1">SUMPRODUCT(MID($P135,ROW(INDIRECT("1:23")),1)*2^(-ROW(INDIRECT("1:23"))))</f>
        <v>#VALUE!</v>
      </c>
      <c r="T135" s="3" t="e">
        <f t="shared" ca="1" si="24"/>
        <v>#VALUE!</v>
      </c>
      <c r="U135" s="3" t="e">
        <f t="shared" ca="1" si="25"/>
        <v>#VALUE!</v>
      </c>
      <c r="V135" s="73"/>
      <c r="W135" s="9" t="str">
        <f t="shared" si="26"/>
        <v>OK</v>
      </c>
    </row>
    <row r="136" spans="1:23" x14ac:dyDescent="0.3">
      <c r="A136" s="44">
        <v>133</v>
      </c>
      <c r="B136" s="14">
        <v>3</v>
      </c>
      <c r="C136" s="4">
        <v>4</v>
      </c>
      <c r="D136" s="3" t="str">
        <f>VLOOKUP($C136,Overall!$K$5:$T$36,2)</f>
        <v>Underflow</v>
      </c>
      <c r="E136" s="3">
        <f ca="1">VLOOKUP($C136,Overall!$K$5:$T$36,10)</f>
        <v>-1.4012984643248171E-45</v>
      </c>
      <c r="F136" s="9" t="str">
        <f>VLOOKUP($C136,Overall!$K$5:$T$36,6)</f>
        <v>10000000000000000000000000000001</v>
      </c>
      <c r="G136" s="8">
        <v>13</v>
      </c>
      <c r="H136" s="3" t="str">
        <f>VLOOKUP($G136,Overall!$K$5:$T$36,2)</f>
        <v>Normal</v>
      </c>
      <c r="I136" s="3">
        <f ca="1">VLOOKUP($G136,Overall!$K$5:$T$36,10)</f>
        <v>0</v>
      </c>
      <c r="J136" s="62" t="str">
        <f>VLOOKUP($G136,Overall!$K$5:$T$36,6)</f>
        <v>00000000000000000000000000000000</v>
      </c>
      <c r="K136" s="8">
        <f t="shared" ca="1" si="18"/>
        <v>0</v>
      </c>
      <c r="L136" s="62">
        <f>VLOOKUP($B136,Overall!$B$5:$I$13,8)</f>
        <v>0</v>
      </c>
      <c r="M136" s="58"/>
      <c r="N136" s="3" t="str">
        <f t="shared" si="19"/>
        <v/>
      </c>
      <c r="O136" s="3" t="str">
        <f t="shared" si="20"/>
        <v/>
      </c>
      <c r="P136" s="3" t="str">
        <f t="shared" si="21"/>
        <v/>
      </c>
      <c r="Q136" s="3">
        <f t="shared" si="22"/>
        <v>0</v>
      </c>
      <c r="R136" s="3">
        <f t="shared" si="23"/>
        <v>0</v>
      </c>
      <c r="S136" s="3" t="e" cm="1">
        <f t="array" aca="1" ref="S136" ca="1">SUMPRODUCT(MID($P136,ROW(INDIRECT("1:23")),1)*2^(-ROW(INDIRECT("1:23"))))</f>
        <v>#VALUE!</v>
      </c>
      <c r="T136" s="3" t="e">
        <f t="shared" ca="1" si="24"/>
        <v>#VALUE!</v>
      </c>
      <c r="U136" s="3" t="e">
        <f t="shared" ca="1" si="25"/>
        <v>#VALUE!</v>
      </c>
      <c r="V136" s="73"/>
      <c r="W136" s="9" t="str">
        <f t="shared" si="26"/>
        <v>OK</v>
      </c>
    </row>
    <row r="137" spans="1:23" x14ac:dyDescent="0.3">
      <c r="A137" s="44">
        <v>134</v>
      </c>
      <c r="B137" s="14">
        <v>3</v>
      </c>
      <c r="C137" s="4">
        <v>4</v>
      </c>
      <c r="D137" s="3" t="str">
        <f>VLOOKUP($C137,Overall!$K$5:$T$36,2)</f>
        <v>Underflow</v>
      </c>
      <c r="E137" s="3">
        <f ca="1">VLOOKUP($C137,Overall!$K$5:$T$36,10)</f>
        <v>-1.4012984643248171E-45</v>
      </c>
      <c r="F137" s="9" t="str">
        <f>VLOOKUP($C137,Overall!$K$5:$T$36,6)</f>
        <v>10000000000000000000000000000001</v>
      </c>
      <c r="G137" s="8">
        <v>14</v>
      </c>
      <c r="H137" s="3" t="str">
        <f>VLOOKUP($G137,Overall!$K$5:$T$36,2)</f>
        <v>Normal</v>
      </c>
      <c r="I137" s="3">
        <f ca="1">VLOOKUP($G137,Overall!$K$5:$T$36,10)</f>
        <v>0</v>
      </c>
      <c r="J137" s="62" t="str">
        <f>VLOOKUP($G137,Overall!$K$5:$T$36,6)</f>
        <v>10000000000000000000000000000000</v>
      </c>
      <c r="K137" s="8">
        <f t="shared" ca="1" si="18"/>
        <v>0</v>
      </c>
      <c r="L137" s="62">
        <f>VLOOKUP($B137,Overall!$B$5:$I$13,8)</f>
        <v>0</v>
      </c>
      <c r="M137" s="58"/>
      <c r="N137" s="3" t="str">
        <f t="shared" si="19"/>
        <v/>
      </c>
      <c r="O137" s="3" t="str">
        <f t="shared" si="20"/>
        <v/>
      </c>
      <c r="P137" s="3" t="str">
        <f t="shared" si="21"/>
        <v/>
      </c>
      <c r="Q137" s="3">
        <f t="shared" si="22"/>
        <v>0</v>
      </c>
      <c r="R137" s="3">
        <f t="shared" si="23"/>
        <v>0</v>
      </c>
      <c r="S137" s="3" t="e" cm="1">
        <f t="array" aca="1" ref="S137" ca="1">SUMPRODUCT(MID($P137,ROW(INDIRECT("1:23")),1)*2^(-ROW(INDIRECT("1:23"))))</f>
        <v>#VALUE!</v>
      </c>
      <c r="T137" s="3" t="e">
        <f t="shared" ca="1" si="24"/>
        <v>#VALUE!</v>
      </c>
      <c r="U137" s="3" t="e">
        <f t="shared" ca="1" si="25"/>
        <v>#VALUE!</v>
      </c>
      <c r="V137" s="73"/>
      <c r="W137" s="9" t="str">
        <f t="shared" si="26"/>
        <v>OK</v>
      </c>
    </row>
    <row r="138" spans="1:23" x14ac:dyDescent="0.3">
      <c r="A138" s="44">
        <v>135</v>
      </c>
      <c r="B138" s="14">
        <v>3</v>
      </c>
      <c r="C138" s="4">
        <v>4</v>
      </c>
      <c r="D138" s="3" t="str">
        <f>VLOOKUP($C138,Overall!$K$5:$T$36,2)</f>
        <v>Underflow</v>
      </c>
      <c r="E138" s="3">
        <f ca="1">VLOOKUP($C138,Overall!$K$5:$T$36,10)</f>
        <v>-1.4012984643248171E-45</v>
      </c>
      <c r="F138" s="9" t="str">
        <f>VLOOKUP($C138,Overall!$K$5:$T$36,6)</f>
        <v>10000000000000000000000000000001</v>
      </c>
      <c r="G138" s="8">
        <v>15</v>
      </c>
      <c r="H138" s="3" t="str">
        <f>VLOOKUP($G138,Overall!$K$5:$T$36,2)</f>
        <v>Normal</v>
      </c>
      <c r="I138" s="3">
        <f ca="1">VLOOKUP($G138,Overall!$K$5:$T$36,10)</f>
        <v>1.1754943508222875E-38</v>
      </c>
      <c r="J138" s="62" t="str">
        <f>VLOOKUP($G138,Overall!$K$5:$T$36,6)</f>
        <v>00000000100000000000000000000000</v>
      </c>
      <c r="K138" s="8">
        <f t="shared" ca="1" si="18"/>
        <v>-1.6472184286297693E-83</v>
      </c>
      <c r="L138" s="62">
        <f>VLOOKUP($B138,Overall!$B$5:$I$13,8)</f>
        <v>0</v>
      </c>
      <c r="M138" s="58"/>
      <c r="N138" s="3" t="str">
        <f t="shared" si="19"/>
        <v/>
      </c>
      <c r="O138" s="3" t="str">
        <f t="shared" si="20"/>
        <v/>
      </c>
      <c r="P138" s="3" t="str">
        <f t="shared" si="21"/>
        <v/>
      </c>
      <c r="Q138" s="3">
        <f t="shared" si="22"/>
        <v>0</v>
      </c>
      <c r="R138" s="3">
        <f t="shared" si="23"/>
        <v>0</v>
      </c>
      <c r="S138" s="3" t="e" cm="1">
        <f t="array" aca="1" ref="S138" ca="1">SUMPRODUCT(MID($P138,ROW(INDIRECT("1:23")),1)*2^(-ROW(INDIRECT("1:23"))))</f>
        <v>#VALUE!</v>
      </c>
      <c r="T138" s="3" t="e">
        <f t="shared" ca="1" si="24"/>
        <v>#VALUE!</v>
      </c>
      <c r="U138" s="3" t="e">
        <f t="shared" ca="1" si="25"/>
        <v>#VALUE!</v>
      </c>
      <c r="V138" s="73"/>
      <c r="W138" s="9" t="str">
        <f t="shared" si="26"/>
        <v>OK</v>
      </c>
    </row>
    <row r="139" spans="1:23" x14ac:dyDescent="0.3">
      <c r="A139" s="44">
        <v>136</v>
      </c>
      <c r="B139" s="14">
        <v>3</v>
      </c>
      <c r="C139" s="4">
        <v>4</v>
      </c>
      <c r="D139" s="3" t="str">
        <f>VLOOKUP($C139,Overall!$K$5:$T$36,2)</f>
        <v>Underflow</v>
      </c>
      <c r="E139" s="3">
        <f ca="1">VLOOKUP($C139,Overall!$K$5:$T$36,10)</f>
        <v>-1.4012984643248171E-45</v>
      </c>
      <c r="F139" s="9" t="str">
        <f>VLOOKUP($C139,Overall!$K$5:$T$36,6)</f>
        <v>10000000000000000000000000000001</v>
      </c>
      <c r="G139" s="8">
        <v>16</v>
      </c>
      <c r="H139" s="3" t="str">
        <f>VLOOKUP($G139,Overall!$K$5:$T$36,2)</f>
        <v>Normal</v>
      </c>
      <c r="I139" s="3">
        <f ca="1">VLOOKUP($G139,Overall!$K$5:$T$36,10)</f>
        <v>1.1754944909521339E-38</v>
      </c>
      <c r="J139" s="62" t="str">
        <f>VLOOKUP($G139,Overall!$K$5:$T$36,6)</f>
        <v>00000000100000000000000000000001</v>
      </c>
      <c r="K139" s="8">
        <f t="shared" ca="1" si="18"/>
        <v>-1.6472186249935079E-83</v>
      </c>
      <c r="L139" s="62">
        <f>VLOOKUP($B139,Overall!$B$5:$I$13,8)</f>
        <v>0</v>
      </c>
      <c r="M139" s="58"/>
      <c r="N139" s="3" t="str">
        <f t="shared" si="19"/>
        <v/>
      </c>
      <c r="O139" s="3" t="str">
        <f t="shared" si="20"/>
        <v/>
      </c>
      <c r="P139" s="3" t="str">
        <f t="shared" si="21"/>
        <v/>
      </c>
      <c r="Q139" s="3">
        <f t="shared" si="22"/>
        <v>0</v>
      </c>
      <c r="R139" s="3">
        <f t="shared" si="23"/>
        <v>0</v>
      </c>
      <c r="S139" s="3" t="e" cm="1">
        <f t="array" aca="1" ref="S139" ca="1">SUMPRODUCT(MID($P139,ROW(INDIRECT("1:23")),1)*2^(-ROW(INDIRECT("1:23"))))</f>
        <v>#VALUE!</v>
      </c>
      <c r="T139" s="3" t="e">
        <f t="shared" ca="1" si="24"/>
        <v>#VALUE!</v>
      </c>
      <c r="U139" s="3" t="e">
        <f t="shared" ca="1" si="25"/>
        <v>#VALUE!</v>
      </c>
      <c r="V139" s="73"/>
      <c r="W139" s="9" t="str">
        <f t="shared" si="26"/>
        <v>OK</v>
      </c>
    </row>
    <row r="140" spans="1:23" x14ac:dyDescent="0.3">
      <c r="A140" s="44">
        <v>137</v>
      </c>
      <c r="B140" s="14">
        <v>3</v>
      </c>
      <c r="C140" s="4">
        <v>4</v>
      </c>
      <c r="D140" s="3" t="str">
        <f>VLOOKUP($C140,Overall!$K$5:$T$36,2)</f>
        <v>Underflow</v>
      </c>
      <c r="E140" s="3">
        <f ca="1">VLOOKUP($C140,Overall!$K$5:$T$36,10)</f>
        <v>-1.4012984643248171E-45</v>
      </c>
      <c r="F140" s="9" t="str">
        <f>VLOOKUP($C140,Overall!$K$5:$T$36,6)</f>
        <v>10000000000000000000000000000001</v>
      </c>
      <c r="G140" s="8">
        <v>17</v>
      </c>
      <c r="H140" s="3" t="str">
        <f>VLOOKUP($G140,Overall!$K$5:$T$36,2)</f>
        <v>Normal</v>
      </c>
      <c r="I140" s="3">
        <f ca="1">VLOOKUP($G140,Overall!$K$5:$T$36,10)</f>
        <v>0.5</v>
      </c>
      <c r="J140" s="62" t="str">
        <f>VLOOKUP($G140,Overall!$K$5:$T$36,6)</f>
        <v>00111111000000000000000000000000</v>
      </c>
      <c r="K140" s="8">
        <f t="shared" ca="1" si="18"/>
        <v>-7.0064923216240854E-46</v>
      </c>
      <c r="L140" s="62">
        <f>VLOOKUP($B140,Overall!$B$5:$I$13,8)</f>
        <v>0</v>
      </c>
      <c r="M140" s="58"/>
      <c r="N140" s="3" t="str">
        <f t="shared" si="19"/>
        <v/>
      </c>
      <c r="O140" s="3" t="str">
        <f t="shared" si="20"/>
        <v/>
      </c>
      <c r="P140" s="3" t="str">
        <f t="shared" si="21"/>
        <v/>
      </c>
      <c r="Q140" s="3">
        <f t="shared" si="22"/>
        <v>0</v>
      </c>
      <c r="R140" s="3">
        <f t="shared" si="23"/>
        <v>0</v>
      </c>
      <c r="S140" s="3" t="e" cm="1">
        <f t="array" aca="1" ref="S140" ca="1">SUMPRODUCT(MID($P140,ROW(INDIRECT("1:23")),1)*2^(-ROW(INDIRECT("1:23"))))</f>
        <v>#VALUE!</v>
      </c>
      <c r="T140" s="3" t="e">
        <f t="shared" ca="1" si="24"/>
        <v>#VALUE!</v>
      </c>
      <c r="U140" s="3" t="e">
        <f t="shared" ca="1" si="25"/>
        <v>#VALUE!</v>
      </c>
      <c r="V140" s="73"/>
      <c r="W140" s="9" t="str">
        <f t="shared" si="26"/>
        <v>OK</v>
      </c>
    </row>
    <row r="141" spans="1:23" x14ac:dyDescent="0.3">
      <c r="A141" s="44">
        <v>138</v>
      </c>
      <c r="B141" s="14">
        <v>3</v>
      </c>
      <c r="C141" s="4">
        <v>4</v>
      </c>
      <c r="D141" s="3" t="str">
        <f>VLOOKUP($C141,Overall!$K$5:$T$36,2)</f>
        <v>Underflow</v>
      </c>
      <c r="E141" s="3">
        <f ca="1">VLOOKUP($C141,Overall!$K$5:$T$36,10)</f>
        <v>-1.4012984643248171E-45</v>
      </c>
      <c r="F141" s="9" t="str">
        <f>VLOOKUP($C141,Overall!$K$5:$T$36,6)</f>
        <v>10000000000000000000000000000001</v>
      </c>
      <c r="G141" s="8">
        <v>18</v>
      </c>
      <c r="H141" s="3" t="str">
        <f>VLOOKUP($G141,Overall!$K$5:$T$36,2)</f>
        <v>Normal</v>
      </c>
      <c r="I141" s="3">
        <f ca="1">VLOOKUP($G141,Overall!$K$5:$T$36,10)</f>
        <v>1</v>
      </c>
      <c r="J141" s="62" t="str">
        <f>VLOOKUP($G141,Overall!$K$5:$T$36,6)</f>
        <v>00111111100000000000000000000000</v>
      </c>
      <c r="K141" s="8">
        <f t="shared" ca="1" si="18"/>
        <v>-1.4012984643248171E-45</v>
      </c>
      <c r="L141" s="62">
        <f>VLOOKUP($B141,Overall!$B$5:$I$13,8)</f>
        <v>0</v>
      </c>
      <c r="M141" s="58"/>
      <c r="N141" s="3" t="str">
        <f t="shared" si="19"/>
        <v/>
      </c>
      <c r="O141" s="3" t="str">
        <f t="shared" si="20"/>
        <v/>
      </c>
      <c r="P141" s="3" t="str">
        <f t="shared" si="21"/>
        <v/>
      </c>
      <c r="Q141" s="3">
        <f t="shared" si="22"/>
        <v>0</v>
      </c>
      <c r="R141" s="3">
        <f t="shared" si="23"/>
        <v>0</v>
      </c>
      <c r="S141" s="3" t="e" cm="1">
        <f t="array" aca="1" ref="S141" ca="1">SUMPRODUCT(MID($P141,ROW(INDIRECT("1:23")),1)*2^(-ROW(INDIRECT("1:23"))))</f>
        <v>#VALUE!</v>
      </c>
      <c r="T141" s="3" t="e">
        <f t="shared" ca="1" si="24"/>
        <v>#VALUE!</v>
      </c>
      <c r="U141" s="3" t="e">
        <f t="shared" ca="1" si="25"/>
        <v>#VALUE!</v>
      </c>
      <c r="V141" s="73"/>
      <c r="W141" s="9" t="str">
        <f t="shared" si="26"/>
        <v>OK</v>
      </c>
    </row>
    <row r="142" spans="1:23" x14ac:dyDescent="0.3">
      <c r="A142" s="44">
        <v>139</v>
      </c>
      <c r="B142" s="14">
        <v>3</v>
      </c>
      <c r="C142" s="4">
        <v>4</v>
      </c>
      <c r="D142" s="3" t="str">
        <f>VLOOKUP($C142,Overall!$K$5:$T$36,2)</f>
        <v>Underflow</v>
      </c>
      <c r="E142" s="3">
        <f ca="1">VLOOKUP($C142,Overall!$K$5:$T$36,10)</f>
        <v>-1.4012984643248171E-45</v>
      </c>
      <c r="F142" s="9" t="str">
        <f>VLOOKUP($C142,Overall!$K$5:$T$36,6)</f>
        <v>10000000000000000000000000000001</v>
      </c>
      <c r="G142" s="8">
        <v>19</v>
      </c>
      <c r="H142" s="3" t="str">
        <f>VLOOKUP($G142,Overall!$K$5:$T$36,2)</f>
        <v>Normal</v>
      </c>
      <c r="I142" s="3">
        <f ca="1">VLOOKUP($G142,Overall!$K$5:$T$36,10)</f>
        <v>1.5</v>
      </c>
      <c r="J142" s="62" t="str">
        <f>VLOOKUP($G142,Overall!$K$5:$T$36,6)</f>
        <v>00111111110000000000000000000000</v>
      </c>
      <c r="K142" s="8">
        <f t="shared" ca="1" si="18"/>
        <v>-2.1019476964872256E-45</v>
      </c>
      <c r="L142" s="62">
        <f>VLOOKUP($B142,Overall!$B$5:$I$13,8)</f>
        <v>0</v>
      </c>
      <c r="M142" s="58"/>
      <c r="N142" s="3" t="str">
        <f t="shared" si="19"/>
        <v/>
      </c>
      <c r="O142" s="3" t="str">
        <f t="shared" si="20"/>
        <v/>
      </c>
      <c r="P142" s="3" t="str">
        <f t="shared" si="21"/>
        <v/>
      </c>
      <c r="Q142" s="3">
        <f t="shared" si="22"/>
        <v>0</v>
      </c>
      <c r="R142" s="3">
        <f t="shared" si="23"/>
        <v>0</v>
      </c>
      <c r="S142" s="3" t="e" cm="1">
        <f t="array" aca="1" ref="S142" ca="1">SUMPRODUCT(MID($P142,ROW(INDIRECT("1:23")),1)*2^(-ROW(INDIRECT("1:23"))))</f>
        <v>#VALUE!</v>
      </c>
      <c r="T142" s="3" t="e">
        <f t="shared" ca="1" si="24"/>
        <v>#VALUE!</v>
      </c>
      <c r="U142" s="3" t="e">
        <f t="shared" ca="1" si="25"/>
        <v>#VALUE!</v>
      </c>
      <c r="V142" s="73"/>
      <c r="W142" s="9" t="str">
        <f t="shared" si="26"/>
        <v>OK</v>
      </c>
    </row>
    <row r="143" spans="1:23" x14ac:dyDescent="0.3">
      <c r="A143" s="44">
        <v>140</v>
      </c>
      <c r="B143" s="14">
        <v>3</v>
      </c>
      <c r="C143" s="4">
        <v>4</v>
      </c>
      <c r="D143" s="3" t="str">
        <f>VLOOKUP($C143,Overall!$K$5:$T$36,2)</f>
        <v>Underflow</v>
      </c>
      <c r="E143" s="3">
        <f ca="1">VLOOKUP($C143,Overall!$K$5:$T$36,10)</f>
        <v>-1.4012984643248171E-45</v>
      </c>
      <c r="F143" s="9" t="str">
        <f>VLOOKUP($C143,Overall!$K$5:$T$36,6)</f>
        <v>10000000000000000000000000000001</v>
      </c>
      <c r="G143" s="8">
        <v>20</v>
      </c>
      <c r="H143" s="3" t="str">
        <f>VLOOKUP($G143,Overall!$K$5:$T$36,2)</f>
        <v>Normal</v>
      </c>
      <c r="I143" s="3">
        <f ca="1">VLOOKUP($G143,Overall!$K$5:$T$36,10)</f>
        <v>12345.6787109375</v>
      </c>
      <c r="J143" s="62" t="str">
        <f>VLOOKUP($G143,Overall!$K$5:$T$36,6)</f>
        <v>001000110010000001110011010110111</v>
      </c>
      <c r="K143" s="8">
        <f t="shared" ca="1" si="18"/>
        <v>-1.7299980618684306E-41</v>
      </c>
      <c r="L143" s="62">
        <f>VLOOKUP($B143,Overall!$B$5:$I$13,8)</f>
        <v>0</v>
      </c>
      <c r="M143" s="58"/>
      <c r="N143" s="3" t="str">
        <f t="shared" si="19"/>
        <v/>
      </c>
      <c r="O143" s="3" t="str">
        <f t="shared" si="20"/>
        <v/>
      </c>
      <c r="P143" s="3" t="str">
        <f t="shared" si="21"/>
        <v/>
      </c>
      <c r="Q143" s="3">
        <f t="shared" si="22"/>
        <v>0</v>
      </c>
      <c r="R143" s="3">
        <f t="shared" si="23"/>
        <v>0</v>
      </c>
      <c r="S143" s="3" t="e" cm="1">
        <f t="array" aca="1" ref="S143" ca="1">SUMPRODUCT(MID($P143,ROW(INDIRECT("1:23")),1)*2^(-ROW(INDIRECT("1:23"))))</f>
        <v>#VALUE!</v>
      </c>
      <c r="T143" s="3" t="e">
        <f t="shared" ca="1" si="24"/>
        <v>#VALUE!</v>
      </c>
      <c r="U143" s="3" t="e">
        <f t="shared" ca="1" si="25"/>
        <v>#VALUE!</v>
      </c>
      <c r="V143" s="73"/>
      <c r="W143" s="9" t="str">
        <f t="shared" si="26"/>
        <v>OK</v>
      </c>
    </row>
    <row r="144" spans="1:23" x14ac:dyDescent="0.3">
      <c r="A144" s="44">
        <v>141</v>
      </c>
      <c r="B144" s="14">
        <v>3</v>
      </c>
      <c r="C144" s="4">
        <v>4</v>
      </c>
      <c r="D144" s="3" t="str">
        <f>VLOOKUP($C144,Overall!$K$5:$T$36,2)</f>
        <v>Underflow</v>
      </c>
      <c r="E144" s="3">
        <f ca="1">VLOOKUP($C144,Overall!$K$5:$T$36,10)</f>
        <v>-1.4012984643248171E-45</v>
      </c>
      <c r="F144" s="9" t="str">
        <f>VLOOKUP($C144,Overall!$K$5:$T$36,6)</f>
        <v>10000000000000000000000000000001</v>
      </c>
      <c r="G144" s="8">
        <v>21</v>
      </c>
      <c r="H144" s="3" t="str">
        <f>VLOOKUP($G144,Overall!$K$5:$T$36,2)</f>
        <v>Normal</v>
      </c>
      <c r="I144" s="3">
        <f ca="1">VLOOKUP($G144,Overall!$K$5:$T$36,10)</f>
        <v>2.345678924830959E+38</v>
      </c>
      <c r="J144" s="62" t="str">
        <f>VLOOKUP($G144,Overall!$K$5:$T$36,6)</f>
        <v>01111111001100000111100000100010</v>
      </c>
      <c r="K144" s="8">
        <f t="shared" ca="1" si="18"/>
        <v>-3.2869962751647108E-7</v>
      </c>
      <c r="L144" s="62">
        <f>VLOOKUP($B144,Overall!$B$5:$I$13,8)</f>
        <v>0</v>
      </c>
      <c r="M144" s="58"/>
      <c r="N144" s="3" t="str">
        <f t="shared" si="19"/>
        <v/>
      </c>
      <c r="O144" s="3" t="str">
        <f t="shared" si="20"/>
        <v/>
      </c>
      <c r="P144" s="3" t="str">
        <f t="shared" si="21"/>
        <v/>
      </c>
      <c r="Q144" s="3">
        <f t="shared" si="22"/>
        <v>0</v>
      </c>
      <c r="R144" s="3">
        <f t="shared" si="23"/>
        <v>0</v>
      </c>
      <c r="S144" s="3" t="e" cm="1">
        <f t="array" aca="1" ref="S144" ca="1">SUMPRODUCT(MID($P144,ROW(INDIRECT("1:23")),1)*2^(-ROW(INDIRECT("1:23"))))</f>
        <v>#VALUE!</v>
      </c>
      <c r="T144" s="3" t="e">
        <f t="shared" ca="1" si="24"/>
        <v>#VALUE!</v>
      </c>
      <c r="U144" s="3" t="e">
        <f t="shared" ca="1" si="25"/>
        <v>#VALUE!</v>
      </c>
      <c r="V144" s="73"/>
      <c r="W144" s="9" t="str">
        <f t="shared" si="26"/>
        <v>OK</v>
      </c>
    </row>
    <row r="145" spans="1:23" x14ac:dyDescent="0.3">
      <c r="A145" s="44">
        <v>142</v>
      </c>
      <c r="B145" s="14">
        <v>3</v>
      </c>
      <c r="C145" s="4">
        <v>4</v>
      </c>
      <c r="D145" s="3" t="str">
        <f>VLOOKUP($C145,Overall!$K$5:$T$36,2)</f>
        <v>Underflow</v>
      </c>
      <c r="E145" s="3">
        <f ca="1">VLOOKUP($C145,Overall!$K$5:$T$36,10)</f>
        <v>-1.4012984643248171E-45</v>
      </c>
      <c r="F145" s="9" t="str">
        <f>VLOOKUP($C145,Overall!$K$5:$T$36,6)</f>
        <v>10000000000000000000000000000001</v>
      </c>
      <c r="G145" s="8">
        <v>22</v>
      </c>
      <c r="H145" s="3" t="str">
        <f>VLOOKUP($G145,Overall!$K$5:$T$36,2)</f>
        <v>Normal</v>
      </c>
      <c r="I145" s="3">
        <f ca="1">VLOOKUP($G145,Overall!$K$5:$T$36,10)</f>
        <v>3.4028232635611926E+38</v>
      </c>
      <c r="J145" s="62" t="str">
        <f>VLOOKUP($G145,Overall!$K$5:$T$36,6)</f>
        <v>01111111011111111111111111111110</v>
      </c>
      <c r="K145" s="8">
        <f t="shared" ca="1" si="18"/>
        <v>-4.7683710135970614E-7</v>
      </c>
      <c r="L145" s="62">
        <f>VLOOKUP($B145,Overall!$B$5:$I$13,8)</f>
        <v>0</v>
      </c>
      <c r="M145" s="58"/>
      <c r="N145" s="3" t="str">
        <f t="shared" si="19"/>
        <v/>
      </c>
      <c r="O145" s="3" t="str">
        <f t="shared" si="20"/>
        <v/>
      </c>
      <c r="P145" s="3" t="str">
        <f t="shared" si="21"/>
        <v/>
      </c>
      <c r="Q145" s="3">
        <f t="shared" si="22"/>
        <v>0</v>
      </c>
      <c r="R145" s="3">
        <f t="shared" si="23"/>
        <v>0</v>
      </c>
      <c r="S145" s="3" t="e" cm="1">
        <f t="array" aca="1" ref="S145" ca="1">SUMPRODUCT(MID($P145,ROW(INDIRECT("1:23")),1)*2^(-ROW(INDIRECT("1:23"))))</f>
        <v>#VALUE!</v>
      </c>
      <c r="T145" s="3" t="e">
        <f t="shared" ca="1" si="24"/>
        <v>#VALUE!</v>
      </c>
      <c r="U145" s="3" t="e">
        <f t="shared" ca="1" si="25"/>
        <v>#VALUE!</v>
      </c>
      <c r="V145" s="73"/>
      <c r="W145" s="9" t="str">
        <f t="shared" si="26"/>
        <v>OK</v>
      </c>
    </row>
    <row r="146" spans="1:23" x14ac:dyDescent="0.3">
      <c r="A146" s="44">
        <v>143</v>
      </c>
      <c r="B146" s="14">
        <v>3</v>
      </c>
      <c r="C146" s="4">
        <v>4</v>
      </c>
      <c r="D146" s="3" t="str">
        <f>VLOOKUP($C146,Overall!$K$5:$T$36,2)</f>
        <v>Underflow</v>
      </c>
      <c r="E146" s="3">
        <f ca="1">VLOOKUP($C146,Overall!$K$5:$T$36,10)</f>
        <v>-1.4012984643248171E-45</v>
      </c>
      <c r="F146" s="9" t="str">
        <f>VLOOKUP($C146,Overall!$K$5:$T$36,6)</f>
        <v>10000000000000000000000000000001</v>
      </c>
      <c r="G146" s="8">
        <v>23</v>
      </c>
      <c r="H146" s="3" t="str">
        <f>VLOOKUP($G146,Overall!$K$5:$T$36,2)</f>
        <v>Normal</v>
      </c>
      <c r="I146" s="3">
        <f ca="1">VLOOKUP($G146,Overall!$K$5:$T$36,10)</f>
        <v>3.4028234663852886E+38</v>
      </c>
      <c r="J146" s="62" t="str">
        <f>VLOOKUP($G146,Overall!$K$5:$T$36,6)</f>
        <v>01111111011111111111111111111111</v>
      </c>
      <c r="K146" s="8">
        <f t="shared" ca="1" si="18"/>
        <v>-4.7683712978141557E-7</v>
      </c>
      <c r="L146" s="62">
        <f>VLOOKUP($B146,Overall!$B$5:$I$13,8)</f>
        <v>0</v>
      </c>
      <c r="M146" s="58"/>
      <c r="N146" s="3" t="str">
        <f t="shared" si="19"/>
        <v/>
      </c>
      <c r="O146" s="3" t="str">
        <f t="shared" si="20"/>
        <v/>
      </c>
      <c r="P146" s="3" t="str">
        <f t="shared" si="21"/>
        <v/>
      </c>
      <c r="Q146" s="3">
        <f t="shared" si="22"/>
        <v>0</v>
      </c>
      <c r="R146" s="3">
        <f t="shared" si="23"/>
        <v>0</v>
      </c>
      <c r="S146" s="3" t="e" cm="1">
        <f t="array" aca="1" ref="S146" ca="1">SUMPRODUCT(MID($P146,ROW(INDIRECT("1:23")),1)*2^(-ROW(INDIRECT("1:23"))))</f>
        <v>#VALUE!</v>
      </c>
      <c r="T146" s="3" t="e">
        <f t="shared" ca="1" si="24"/>
        <v>#VALUE!</v>
      </c>
      <c r="U146" s="3" t="e">
        <f t="shared" ca="1" si="25"/>
        <v>#VALUE!</v>
      </c>
      <c r="V146" s="73"/>
      <c r="W146" s="9" t="str">
        <f t="shared" si="26"/>
        <v>OK</v>
      </c>
    </row>
    <row r="147" spans="1:23" x14ac:dyDescent="0.3">
      <c r="A147" s="44">
        <v>144</v>
      </c>
      <c r="B147" s="14">
        <v>3</v>
      </c>
      <c r="C147" s="4">
        <v>4</v>
      </c>
      <c r="D147" s="3" t="str">
        <f>VLOOKUP($C147,Overall!$K$5:$T$36,2)</f>
        <v>Underflow</v>
      </c>
      <c r="E147" s="3">
        <f ca="1">VLOOKUP($C147,Overall!$K$5:$T$36,10)</f>
        <v>-1.4012984643248171E-45</v>
      </c>
      <c r="F147" s="9" t="str">
        <f>VLOOKUP($C147,Overall!$K$5:$T$36,6)</f>
        <v>10000000000000000000000000000001</v>
      </c>
      <c r="G147" s="8">
        <v>24</v>
      </c>
      <c r="H147" s="3" t="str">
        <f>VLOOKUP($G147,Overall!$K$5:$T$36,2)</f>
        <v>Normal</v>
      </c>
      <c r="I147" s="3">
        <f ca="1">VLOOKUP($G147,Overall!$K$5:$T$36,10)</f>
        <v>-1.1754943508222875E-38</v>
      </c>
      <c r="J147" s="62" t="str">
        <f>VLOOKUP($G147,Overall!$K$5:$T$36,6)</f>
        <v>10000000100000000000000000000000</v>
      </c>
      <c r="K147" s="8">
        <f t="shared" ca="1" si="18"/>
        <v>1.6472184286297693E-83</v>
      </c>
      <c r="L147" s="62">
        <f>VLOOKUP($B147,Overall!$B$5:$I$13,8)</f>
        <v>0</v>
      </c>
      <c r="M147" s="58"/>
      <c r="N147" s="3" t="str">
        <f t="shared" si="19"/>
        <v/>
      </c>
      <c r="O147" s="3" t="str">
        <f t="shared" si="20"/>
        <v/>
      </c>
      <c r="P147" s="3" t="str">
        <f t="shared" si="21"/>
        <v/>
      </c>
      <c r="Q147" s="3">
        <f t="shared" si="22"/>
        <v>0</v>
      </c>
      <c r="R147" s="3">
        <f t="shared" si="23"/>
        <v>0</v>
      </c>
      <c r="S147" s="3" t="e" cm="1">
        <f t="array" aca="1" ref="S147" ca="1">SUMPRODUCT(MID($P147,ROW(INDIRECT("1:23")),1)*2^(-ROW(INDIRECT("1:23"))))</f>
        <v>#VALUE!</v>
      </c>
      <c r="T147" s="3" t="e">
        <f t="shared" ca="1" si="24"/>
        <v>#VALUE!</v>
      </c>
      <c r="U147" s="3" t="e">
        <f t="shared" ca="1" si="25"/>
        <v>#VALUE!</v>
      </c>
      <c r="V147" s="73"/>
      <c r="W147" s="9" t="str">
        <f t="shared" si="26"/>
        <v>OK</v>
      </c>
    </row>
    <row r="148" spans="1:23" x14ac:dyDescent="0.3">
      <c r="A148" s="44">
        <v>145</v>
      </c>
      <c r="B148" s="14">
        <v>3</v>
      </c>
      <c r="C148" s="4">
        <v>4</v>
      </c>
      <c r="D148" s="3" t="str">
        <f>VLOOKUP($C148,Overall!$K$5:$T$36,2)</f>
        <v>Underflow</v>
      </c>
      <c r="E148" s="3">
        <f ca="1">VLOOKUP($C148,Overall!$K$5:$T$36,10)</f>
        <v>-1.4012984643248171E-45</v>
      </c>
      <c r="F148" s="9" t="str">
        <f>VLOOKUP($C148,Overall!$K$5:$T$36,6)</f>
        <v>10000000000000000000000000000001</v>
      </c>
      <c r="G148" s="8">
        <v>25</v>
      </c>
      <c r="H148" s="3" t="str">
        <f>VLOOKUP($G148,Overall!$K$5:$T$36,2)</f>
        <v>Normal</v>
      </c>
      <c r="I148" s="3">
        <f ca="1">VLOOKUP($G148,Overall!$K$5:$T$36,10)</f>
        <v>-1.1754944909521339E-38</v>
      </c>
      <c r="J148" s="62" t="str">
        <f>VLOOKUP($G148,Overall!$K$5:$T$36,6)</f>
        <v>10000000100000000000000000000001</v>
      </c>
      <c r="K148" s="8">
        <f t="shared" ca="1" si="18"/>
        <v>1.6472186249935079E-83</v>
      </c>
      <c r="L148" s="62">
        <f>VLOOKUP($B148,Overall!$B$5:$I$13,8)</f>
        <v>0</v>
      </c>
      <c r="M148" s="58"/>
      <c r="N148" s="3" t="str">
        <f t="shared" si="19"/>
        <v/>
      </c>
      <c r="O148" s="3" t="str">
        <f t="shared" si="20"/>
        <v/>
      </c>
      <c r="P148" s="3" t="str">
        <f t="shared" si="21"/>
        <v/>
      </c>
      <c r="Q148" s="3">
        <f t="shared" si="22"/>
        <v>0</v>
      </c>
      <c r="R148" s="3">
        <f t="shared" si="23"/>
        <v>0</v>
      </c>
      <c r="S148" s="3" t="e" cm="1">
        <f t="array" aca="1" ref="S148" ca="1">SUMPRODUCT(MID($P148,ROW(INDIRECT("1:23")),1)*2^(-ROW(INDIRECT("1:23"))))</f>
        <v>#VALUE!</v>
      </c>
      <c r="T148" s="3" t="e">
        <f t="shared" ca="1" si="24"/>
        <v>#VALUE!</v>
      </c>
      <c r="U148" s="3" t="e">
        <f t="shared" ca="1" si="25"/>
        <v>#VALUE!</v>
      </c>
      <c r="V148" s="73"/>
      <c r="W148" s="9" t="str">
        <f t="shared" si="26"/>
        <v>OK</v>
      </c>
    </row>
    <row r="149" spans="1:23" x14ac:dyDescent="0.3">
      <c r="A149" s="44">
        <v>146</v>
      </c>
      <c r="B149" s="14">
        <v>3</v>
      </c>
      <c r="C149" s="4">
        <v>4</v>
      </c>
      <c r="D149" s="3" t="str">
        <f>VLOOKUP($C149,Overall!$K$5:$T$36,2)</f>
        <v>Underflow</v>
      </c>
      <c r="E149" s="3">
        <f ca="1">VLOOKUP($C149,Overall!$K$5:$T$36,10)</f>
        <v>-1.4012984643248171E-45</v>
      </c>
      <c r="F149" s="9" t="str">
        <f>VLOOKUP($C149,Overall!$K$5:$T$36,6)</f>
        <v>10000000000000000000000000000001</v>
      </c>
      <c r="G149" s="8">
        <v>26</v>
      </c>
      <c r="H149" s="3" t="str">
        <f>VLOOKUP($G149,Overall!$K$5:$T$36,2)</f>
        <v>Normal</v>
      </c>
      <c r="I149" s="3">
        <f ca="1">VLOOKUP($G149,Overall!$K$5:$T$36,10)</f>
        <v>-0.5</v>
      </c>
      <c r="J149" s="62" t="str">
        <f>VLOOKUP($G149,Overall!$K$5:$T$36,6)</f>
        <v>10111111000000000000000000000000</v>
      </c>
      <c r="K149" s="8">
        <f t="shared" ca="1" si="18"/>
        <v>7.0064923216240854E-46</v>
      </c>
      <c r="L149" s="62">
        <f>VLOOKUP($B149,Overall!$B$5:$I$13,8)</f>
        <v>0</v>
      </c>
      <c r="M149" s="58"/>
      <c r="N149" s="3" t="str">
        <f t="shared" si="19"/>
        <v/>
      </c>
      <c r="O149" s="3" t="str">
        <f t="shared" si="20"/>
        <v/>
      </c>
      <c r="P149" s="3" t="str">
        <f t="shared" si="21"/>
        <v/>
      </c>
      <c r="Q149" s="3">
        <f t="shared" si="22"/>
        <v>0</v>
      </c>
      <c r="R149" s="3">
        <f t="shared" si="23"/>
        <v>0</v>
      </c>
      <c r="S149" s="3" t="e" cm="1">
        <f t="array" aca="1" ref="S149" ca="1">SUMPRODUCT(MID($P149,ROW(INDIRECT("1:23")),1)*2^(-ROW(INDIRECT("1:23"))))</f>
        <v>#VALUE!</v>
      </c>
      <c r="T149" s="3" t="e">
        <f t="shared" ca="1" si="24"/>
        <v>#VALUE!</v>
      </c>
      <c r="U149" s="3" t="e">
        <f t="shared" ca="1" si="25"/>
        <v>#VALUE!</v>
      </c>
      <c r="V149" s="73"/>
      <c r="W149" s="9" t="str">
        <f t="shared" si="26"/>
        <v>OK</v>
      </c>
    </row>
    <row r="150" spans="1:23" x14ac:dyDescent="0.3">
      <c r="A150" s="44">
        <v>147</v>
      </c>
      <c r="B150" s="14">
        <v>3</v>
      </c>
      <c r="C150" s="4">
        <v>4</v>
      </c>
      <c r="D150" s="3" t="str">
        <f>VLOOKUP($C150,Overall!$K$5:$T$36,2)</f>
        <v>Underflow</v>
      </c>
      <c r="E150" s="3">
        <f ca="1">VLOOKUP($C150,Overall!$K$5:$T$36,10)</f>
        <v>-1.4012984643248171E-45</v>
      </c>
      <c r="F150" s="9" t="str">
        <f>VLOOKUP($C150,Overall!$K$5:$T$36,6)</f>
        <v>10000000000000000000000000000001</v>
      </c>
      <c r="G150" s="8">
        <v>27</v>
      </c>
      <c r="H150" s="3" t="str">
        <f>VLOOKUP($G150,Overall!$K$5:$T$36,2)</f>
        <v>Normal</v>
      </c>
      <c r="I150" s="3">
        <f ca="1">VLOOKUP($G150,Overall!$K$5:$T$36,10)</f>
        <v>-1</v>
      </c>
      <c r="J150" s="62" t="str">
        <f>VLOOKUP($G150,Overall!$K$5:$T$36,6)</f>
        <v>10111111100000000000000000000000</v>
      </c>
      <c r="K150" s="8">
        <f t="shared" ca="1" si="18"/>
        <v>1.4012984643248171E-45</v>
      </c>
      <c r="L150" s="62">
        <f>VLOOKUP($B150,Overall!$B$5:$I$13,8)</f>
        <v>0</v>
      </c>
      <c r="M150" s="58"/>
      <c r="N150" s="3" t="str">
        <f t="shared" si="19"/>
        <v/>
      </c>
      <c r="O150" s="3" t="str">
        <f t="shared" si="20"/>
        <v/>
      </c>
      <c r="P150" s="3" t="str">
        <f t="shared" si="21"/>
        <v/>
      </c>
      <c r="Q150" s="3">
        <f t="shared" si="22"/>
        <v>0</v>
      </c>
      <c r="R150" s="3">
        <f t="shared" si="23"/>
        <v>0</v>
      </c>
      <c r="S150" s="3" t="e" cm="1">
        <f t="array" aca="1" ref="S150" ca="1">SUMPRODUCT(MID($P150,ROW(INDIRECT("1:23")),1)*2^(-ROW(INDIRECT("1:23"))))</f>
        <v>#VALUE!</v>
      </c>
      <c r="T150" s="3" t="e">
        <f t="shared" ca="1" si="24"/>
        <v>#VALUE!</v>
      </c>
      <c r="U150" s="3" t="e">
        <f t="shared" ca="1" si="25"/>
        <v>#VALUE!</v>
      </c>
      <c r="V150" s="73"/>
      <c r="W150" s="9" t="str">
        <f t="shared" si="26"/>
        <v>OK</v>
      </c>
    </row>
    <row r="151" spans="1:23" x14ac:dyDescent="0.3">
      <c r="A151" s="44">
        <v>148</v>
      </c>
      <c r="B151" s="14">
        <v>3</v>
      </c>
      <c r="C151" s="4">
        <v>4</v>
      </c>
      <c r="D151" s="3" t="str">
        <f>VLOOKUP($C151,Overall!$K$5:$T$36,2)</f>
        <v>Underflow</v>
      </c>
      <c r="E151" s="3">
        <f ca="1">VLOOKUP($C151,Overall!$K$5:$T$36,10)</f>
        <v>-1.4012984643248171E-45</v>
      </c>
      <c r="F151" s="9" t="str">
        <f>VLOOKUP($C151,Overall!$K$5:$T$36,6)</f>
        <v>10000000000000000000000000000001</v>
      </c>
      <c r="G151" s="8">
        <v>28</v>
      </c>
      <c r="H151" s="3" t="str">
        <f>VLOOKUP($G151,Overall!$K$5:$T$36,2)</f>
        <v>Normal</v>
      </c>
      <c r="I151" s="3">
        <f ca="1">VLOOKUP($G151,Overall!$K$5:$T$36,10)</f>
        <v>-1.5</v>
      </c>
      <c r="J151" s="62" t="str">
        <f>VLOOKUP($G151,Overall!$K$5:$T$36,6)</f>
        <v>10111111110000000000000000000000</v>
      </c>
      <c r="K151" s="8">
        <f t="shared" ca="1" si="18"/>
        <v>2.1019476964872256E-45</v>
      </c>
      <c r="L151" s="62">
        <f>VLOOKUP($B151,Overall!$B$5:$I$13,8)</f>
        <v>0</v>
      </c>
      <c r="M151" s="58"/>
      <c r="N151" s="3" t="str">
        <f t="shared" si="19"/>
        <v/>
      </c>
      <c r="O151" s="3" t="str">
        <f t="shared" si="20"/>
        <v/>
      </c>
      <c r="P151" s="3" t="str">
        <f t="shared" si="21"/>
        <v/>
      </c>
      <c r="Q151" s="3">
        <f t="shared" si="22"/>
        <v>0</v>
      </c>
      <c r="R151" s="3">
        <f t="shared" si="23"/>
        <v>0</v>
      </c>
      <c r="S151" s="3" t="e" cm="1">
        <f t="array" aca="1" ref="S151" ca="1">SUMPRODUCT(MID($P151,ROW(INDIRECT("1:23")),1)*2^(-ROW(INDIRECT("1:23"))))</f>
        <v>#VALUE!</v>
      </c>
      <c r="T151" s="3" t="e">
        <f t="shared" ca="1" si="24"/>
        <v>#VALUE!</v>
      </c>
      <c r="U151" s="3" t="e">
        <f t="shared" ca="1" si="25"/>
        <v>#VALUE!</v>
      </c>
      <c r="V151" s="73"/>
      <c r="W151" s="9" t="str">
        <f t="shared" si="26"/>
        <v>OK</v>
      </c>
    </row>
    <row r="152" spans="1:23" x14ac:dyDescent="0.3">
      <c r="A152" s="44">
        <v>149</v>
      </c>
      <c r="B152" s="14">
        <v>3</v>
      </c>
      <c r="C152" s="4">
        <v>4</v>
      </c>
      <c r="D152" s="3" t="str">
        <f>VLOOKUP($C152,Overall!$K$5:$T$36,2)</f>
        <v>Underflow</v>
      </c>
      <c r="E152" s="3">
        <f ca="1">VLOOKUP($C152,Overall!$K$5:$T$36,10)</f>
        <v>-1.4012984643248171E-45</v>
      </c>
      <c r="F152" s="9" t="str">
        <f>VLOOKUP($C152,Overall!$K$5:$T$36,6)</f>
        <v>10000000000000000000000000000001</v>
      </c>
      <c r="G152" s="8">
        <v>29</v>
      </c>
      <c r="H152" s="3" t="str">
        <f>VLOOKUP($G152,Overall!$K$5:$T$36,2)</f>
        <v>Normal</v>
      </c>
      <c r="I152" s="3">
        <f ca="1">VLOOKUP($G152,Overall!$K$5:$T$36,10)</f>
        <v>-12345.6787109375</v>
      </c>
      <c r="J152" s="62" t="str">
        <f>VLOOKUP($G152,Overall!$K$5:$T$36,6)</f>
        <v>101000110010000001110011010110111</v>
      </c>
      <c r="K152" s="8">
        <f t="shared" ca="1" si="18"/>
        <v>1.7299980618684306E-41</v>
      </c>
      <c r="L152" s="62">
        <f>VLOOKUP($B152,Overall!$B$5:$I$13,8)</f>
        <v>0</v>
      </c>
      <c r="M152" s="58"/>
      <c r="N152" s="3" t="str">
        <f t="shared" si="19"/>
        <v/>
      </c>
      <c r="O152" s="3" t="str">
        <f t="shared" si="20"/>
        <v/>
      </c>
      <c r="P152" s="3" t="str">
        <f t="shared" si="21"/>
        <v/>
      </c>
      <c r="Q152" s="3">
        <f t="shared" si="22"/>
        <v>0</v>
      </c>
      <c r="R152" s="3">
        <f t="shared" si="23"/>
        <v>0</v>
      </c>
      <c r="S152" s="3" t="e" cm="1">
        <f t="array" aca="1" ref="S152" ca="1">SUMPRODUCT(MID($P152,ROW(INDIRECT("1:23")),1)*2^(-ROW(INDIRECT("1:23"))))</f>
        <v>#VALUE!</v>
      </c>
      <c r="T152" s="3" t="e">
        <f t="shared" ca="1" si="24"/>
        <v>#VALUE!</v>
      </c>
      <c r="U152" s="3" t="e">
        <f t="shared" ca="1" si="25"/>
        <v>#VALUE!</v>
      </c>
      <c r="V152" s="73"/>
      <c r="W152" s="9" t="str">
        <f t="shared" si="26"/>
        <v>OK</v>
      </c>
    </row>
    <row r="153" spans="1:23" x14ac:dyDescent="0.3">
      <c r="A153" s="44">
        <v>150</v>
      </c>
      <c r="B153" s="14">
        <v>3</v>
      </c>
      <c r="C153" s="4">
        <v>4</v>
      </c>
      <c r="D153" s="3" t="str">
        <f>VLOOKUP($C153,Overall!$K$5:$T$36,2)</f>
        <v>Underflow</v>
      </c>
      <c r="E153" s="3">
        <f ca="1">VLOOKUP($C153,Overall!$K$5:$T$36,10)</f>
        <v>-1.4012984643248171E-45</v>
      </c>
      <c r="F153" s="9" t="str">
        <f>VLOOKUP($C153,Overall!$K$5:$T$36,6)</f>
        <v>10000000000000000000000000000001</v>
      </c>
      <c r="G153" s="8">
        <v>30</v>
      </c>
      <c r="H153" s="3" t="str">
        <f>VLOOKUP($G153,Overall!$K$5:$T$36,2)</f>
        <v>Normal</v>
      </c>
      <c r="I153" s="3">
        <f ca="1">VLOOKUP($G153,Overall!$K$5:$T$36,10)</f>
        <v>-2.345678924830959E+38</v>
      </c>
      <c r="J153" s="62" t="str">
        <f>VLOOKUP($G153,Overall!$K$5:$T$36,6)</f>
        <v>11111111001100000111100000100010</v>
      </c>
      <c r="K153" s="8">
        <f t="shared" ca="1" si="18"/>
        <v>3.2869962751647108E-7</v>
      </c>
      <c r="L153" s="62">
        <f>VLOOKUP($B153,Overall!$B$5:$I$13,8)</f>
        <v>0</v>
      </c>
      <c r="M153" s="58"/>
      <c r="N153" s="3" t="str">
        <f t="shared" si="19"/>
        <v/>
      </c>
      <c r="O153" s="3" t="str">
        <f t="shared" si="20"/>
        <v/>
      </c>
      <c r="P153" s="3" t="str">
        <f t="shared" si="21"/>
        <v/>
      </c>
      <c r="Q153" s="3">
        <f t="shared" si="22"/>
        <v>0</v>
      </c>
      <c r="R153" s="3">
        <f t="shared" si="23"/>
        <v>0</v>
      </c>
      <c r="S153" s="3" t="e" cm="1">
        <f t="array" aca="1" ref="S153" ca="1">SUMPRODUCT(MID($P153,ROW(INDIRECT("1:23")),1)*2^(-ROW(INDIRECT("1:23"))))</f>
        <v>#VALUE!</v>
      </c>
      <c r="T153" s="3" t="e">
        <f t="shared" ca="1" si="24"/>
        <v>#VALUE!</v>
      </c>
      <c r="U153" s="3" t="e">
        <f t="shared" ca="1" si="25"/>
        <v>#VALUE!</v>
      </c>
      <c r="V153" s="73"/>
      <c r="W153" s="9" t="str">
        <f t="shared" si="26"/>
        <v>OK</v>
      </c>
    </row>
    <row r="154" spans="1:23" x14ac:dyDescent="0.3">
      <c r="A154" s="44">
        <v>151</v>
      </c>
      <c r="B154" s="14">
        <v>3</v>
      </c>
      <c r="C154" s="4">
        <v>4</v>
      </c>
      <c r="D154" s="3" t="str">
        <f>VLOOKUP($C154,Overall!$K$5:$T$36,2)</f>
        <v>Underflow</v>
      </c>
      <c r="E154" s="3">
        <f ca="1">VLOOKUP($C154,Overall!$K$5:$T$36,10)</f>
        <v>-1.4012984643248171E-45</v>
      </c>
      <c r="F154" s="9" t="str">
        <f>VLOOKUP($C154,Overall!$K$5:$T$36,6)</f>
        <v>10000000000000000000000000000001</v>
      </c>
      <c r="G154" s="8">
        <v>31</v>
      </c>
      <c r="H154" s="3" t="str">
        <f>VLOOKUP($G154,Overall!$K$5:$T$36,2)</f>
        <v>Normal</v>
      </c>
      <c r="I154" s="3">
        <f ca="1">VLOOKUP($G154,Overall!$K$5:$T$36,10)</f>
        <v>-3.4028232635611926E+38</v>
      </c>
      <c r="J154" s="62" t="str">
        <f>VLOOKUP($G154,Overall!$K$5:$T$36,6)</f>
        <v>11111111011111111111111111111110</v>
      </c>
      <c r="K154" s="8">
        <f t="shared" ca="1" si="18"/>
        <v>4.7683710135970614E-7</v>
      </c>
      <c r="L154" s="62">
        <f>VLOOKUP($B154,Overall!$B$5:$I$13,8)</f>
        <v>0</v>
      </c>
      <c r="M154" s="58"/>
      <c r="N154" s="3" t="str">
        <f t="shared" si="19"/>
        <v/>
      </c>
      <c r="O154" s="3" t="str">
        <f t="shared" si="20"/>
        <v/>
      </c>
      <c r="P154" s="3" t="str">
        <f t="shared" si="21"/>
        <v/>
      </c>
      <c r="Q154" s="3">
        <f t="shared" si="22"/>
        <v>0</v>
      </c>
      <c r="R154" s="3">
        <f t="shared" si="23"/>
        <v>0</v>
      </c>
      <c r="S154" s="3" t="e" cm="1">
        <f t="array" aca="1" ref="S154" ca="1">SUMPRODUCT(MID($P154,ROW(INDIRECT("1:23")),1)*2^(-ROW(INDIRECT("1:23"))))</f>
        <v>#VALUE!</v>
      </c>
      <c r="T154" s="3" t="e">
        <f t="shared" ca="1" si="24"/>
        <v>#VALUE!</v>
      </c>
      <c r="U154" s="3" t="e">
        <f t="shared" ca="1" si="25"/>
        <v>#VALUE!</v>
      </c>
      <c r="V154" s="73"/>
      <c r="W154" s="9" t="str">
        <f t="shared" si="26"/>
        <v>OK</v>
      </c>
    </row>
    <row r="155" spans="1:23" x14ac:dyDescent="0.3">
      <c r="A155" s="44">
        <v>152</v>
      </c>
      <c r="B155" s="14">
        <v>3</v>
      </c>
      <c r="C155" s="4">
        <v>4</v>
      </c>
      <c r="D155" s="3" t="str">
        <f>VLOOKUP($C155,Overall!$K$5:$T$36,2)</f>
        <v>Underflow</v>
      </c>
      <c r="E155" s="3">
        <f ca="1">VLOOKUP($C155,Overall!$K$5:$T$36,10)</f>
        <v>-1.4012984643248171E-45</v>
      </c>
      <c r="F155" s="9" t="str">
        <f>VLOOKUP($C155,Overall!$K$5:$T$36,6)</f>
        <v>10000000000000000000000000000001</v>
      </c>
      <c r="G155" s="8">
        <v>32</v>
      </c>
      <c r="H155" s="3" t="str">
        <f>VLOOKUP($G155,Overall!$K$5:$T$36,2)</f>
        <v>Normal</v>
      </c>
      <c r="I155" s="3">
        <f ca="1">VLOOKUP($G155,Overall!$K$5:$T$36,10)</f>
        <v>-3.4028234663852886E+38</v>
      </c>
      <c r="J155" s="62" t="str">
        <f>VLOOKUP($G155,Overall!$K$5:$T$36,6)</f>
        <v>11111111011111111111111111111111</v>
      </c>
      <c r="K155" s="8">
        <f t="shared" ca="1" si="18"/>
        <v>4.7683712978141557E-7</v>
      </c>
      <c r="L155" s="62">
        <f>VLOOKUP($B155,Overall!$B$5:$I$13,8)</f>
        <v>0</v>
      </c>
      <c r="M155" s="58"/>
      <c r="N155" s="3" t="str">
        <f t="shared" si="19"/>
        <v/>
      </c>
      <c r="O155" s="3" t="str">
        <f t="shared" si="20"/>
        <v/>
      </c>
      <c r="P155" s="3" t="str">
        <f t="shared" si="21"/>
        <v/>
      </c>
      <c r="Q155" s="3">
        <f t="shared" si="22"/>
        <v>0</v>
      </c>
      <c r="R155" s="3">
        <f t="shared" si="23"/>
        <v>0</v>
      </c>
      <c r="S155" s="3" t="e" cm="1">
        <f t="array" aca="1" ref="S155" ca="1">SUMPRODUCT(MID($P155,ROW(INDIRECT("1:23")),1)*2^(-ROW(INDIRECT("1:23"))))</f>
        <v>#VALUE!</v>
      </c>
      <c r="T155" s="3" t="e">
        <f t="shared" ca="1" si="24"/>
        <v>#VALUE!</v>
      </c>
      <c r="U155" s="3" t="e">
        <f t="shared" ca="1" si="25"/>
        <v>#VALUE!</v>
      </c>
      <c r="V155" s="73"/>
      <c r="W155" s="9" t="str">
        <f t="shared" si="26"/>
        <v>OK</v>
      </c>
    </row>
    <row r="156" spans="1:23" x14ac:dyDescent="0.3">
      <c r="A156" s="44">
        <v>153</v>
      </c>
      <c r="B156" s="14">
        <v>3</v>
      </c>
      <c r="C156" s="4">
        <v>5</v>
      </c>
      <c r="D156" s="3" t="str">
        <f>VLOOKUP($C156,Overall!$K$5:$T$36,2)</f>
        <v>Underflow</v>
      </c>
      <c r="E156" s="3">
        <f ca="1">VLOOKUP($C156,Overall!$K$5:$T$36,10)</f>
        <v>-2.9387386796526474E-39</v>
      </c>
      <c r="F156" s="9" t="str">
        <f>VLOOKUP($C156,Overall!$K$5:$T$36,6)</f>
        <v>10000000001000000000000000000010</v>
      </c>
      <c r="G156" s="8">
        <v>13</v>
      </c>
      <c r="H156" s="3" t="str">
        <f>VLOOKUP($G156,Overall!$K$5:$T$36,2)</f>
        <v>Normal</v>
      </c>
      <c r="I156" s="3">
        <f ca="1">VLOOKUP($G156,Overall!$K$5:$T$36,10)</f>
        <v>0</v>
      </c>
      <c r="J156" s="62" t="str">
        <f>VLOOKUP($G156,Overall!$K$5:$T$36,6)</f>
        <v>00000000000000000000000000000000</v>
      </c>
      <c r="K156" s="8">
        <f t="shared" ca="1" si="18"/>
        <v>0</v>
      </c>
      <c r="L156" s="62">
        <f>VLOOKUP($B156,Overall!$B$5:$I$13,8)</f>
        <v>0</v>
      </c>
      <c r="M156" s="58"/>
      <c r="N156" s="3" t="str">
        <f t="shared" si="19"/>
        <v/>
      </c>
      <c r="O156" s="3" t="str">
        <f t="shared" si="20"/>
        <v/>
      </c>
      <c r="P156" s="3" t="str">
        <f t="shared" si="21"/>
        <v/>
      </c>
      <c r="Q156" s="3">
        <f t="shared" si="22"/>
        <v>0</v>
      </c>
      <c r="R156" s="3">
        <f t="shared" si="23"/>
        <v>0</v>
      </c>
      <c r="S156" s="3" t="e" cm="1">
        <f t="array" aca="1" ref="S156" ca="1">SUMPRODUCT(MID($P156,ROW(INDIRECT("1:23")),1)*2^(-ROW(INDIRECT("1:23"))))</f>
        <v>#VALUE!</v>
      </c>
      <c r="T156" s="3" t="e">
        <f t="shared" ca="1" si="24"/>
        <v>#VALUE!</v>
      </c>
      <c r="U156" s="3" t="e">
        <f t="shared" ca="1" si="25"/>
        <v>#VALUE!</v>
      </c>
      <c r="V156" s="73"/>
      <c r="W156" s="9" t="str">
        <f t="shared" si="26"/>
        <v>OK</v>
      </c>
    </row>
    <row r="157" spans="1:23" x14ac:dyDescent="0.3">
      <c r="A157" s="44">
        <v>154</v>
      </c>
      <c r="B157" s="14">
        <v>3</v>
      </c>
      <c r="C157" s="4">
        <v>5</v>
      </c>
      <c r="D157" s="3" t="str">
        <f>VLOOKUP($C157,Overall!$K$5:$T$36,2)</f>
        <v>Underflow</v>
      </c>
      <c r="E157" s="3">
        <f ca="1">VLOOKUP($C157,Overall!$K$5:$T$36,10)</f>
        <v>-2.9387386796526474E-39</v>
      </c>
      <c r="F157" s="9" t="str">
        <f>VLOOKUP($C157,Overall!$K$5:$T$36,6)</f>
        <v>10000000001000000000000000000010</v>
      </c>
      <c r="G157" s="8">
        <v>14</v>
      </c>
      <c r="H157" s="3" t="str">
        <f>VLOOKUP($G157,Overall!$K$5:$T$36,2)</f>
        <v>Normal</v>
      </c>
      <c r="I157" s="3">
        <f ca="1">VLOOKUP($G157,Overall!$K$5:$T$36,10)</f>
        <v>0</v>
      </c>
      <c r="J157" s="62" t="str">
        <f>VLOOKUP($G157,Overall!$K$5:$T$36,6)</f>
        <v>10000000000000000000000000000000</v>
      </c>
      <c r="K157" s="8">
        <f t="shared" ca="1" si="18"/>
        <v>0</v>
      </c>
      <c r="L157" s="62">
        <f>VLOOKUP($B157,Overall!$B$5:$I$13,8)</f>
        <v>0</v>
      </c>
      <c r="M157" s="58"/>
      <c r="N157" s="3" t="str">
        <f t="shared" si="19"/>
        <v/>
      </c>
      <c r="O157" s="3" t="str">
        <f t="shared" si="20"/>
        <v/>
      </c>
      <c r="P157" s="3" t="str">
        <f t="shared" si="21"/>
        <v/>
      </c>
      <c r="Q157" s="3">
        <f t="shared" si="22"/>
        <v>0</v>
      </c>
      <c r="R157" s="3">
        <f t="shared" si="23"/>
        <v>0</v>
      </c>
      <c r="S157" s="3" t="e" cm="1">
        <f t="array" aca="1" ref="S157" ca="1">SUMPRODUCT(MID($P157,ROW(INDIRECT("1:23")),1)*2^(-ROW(INDIRECT("1:23"))))</f>
        <v>#VALUE!</v>
      </c>
      <c r="T157" s="3" t="e">
        <f t="shared" ca="1" si="24"/>
        <v>#VALUE!</v>
      </c>
      <c r="U157" s="3" t="e">
        <f t="shared" ca="1" si="25"/>
        <v>#VALUE!</v>
      </c>
      <c r="V157" s="73"/>
      <c r="W157" s="9" t="str">
        <f t="shared" si="26"/>
        <v>OK</v>
      </c>
    </row>
    <row r="158" spans="1:23" x14ac:dyDescent="0.3">
      <c r="A158" s="44">
        <v>155</v>
      </c>
      <c r="B158" s="14">
        <v>3</v>
      </c>
      <c r="C158" s="4">
        <v>5</v>
      </c>
      <c r="D158" s="3" t="str">
        <f>VLOOKUP($C158,Overall!$K$5:$T$36,2)</f>
        <v>Underflow</v>
      </c>
      <c r="E158" s="3">
        <f ca="1">VLOOKUP($C158,Overall!$K$5:$T$36,10)</f>
        <v>-2.9387386796526474E-39</v>
      </c>
      <c r="F158" s="9" t="str">
        <f>VLOOKUP($C158,Overall!$K$5:$T$36,6)</f>
        <v>10000000001000000000000000000010</v>
      </c>
      <c r="G158" s="8">
        <v>15</v>
      </c>
      <c r="H158" s="3" t="str">
        <f>VLOOKUP($G158,Overall!$K$5:$T$36,2)</f>
        <v>Normal</v>
      </c>
      <c r="I158" s="3">
        <f ca="1">VLOOKUP($G158,Overall!$K$5:$T$36,10)</f>
        <v>1.1754943508222875E-38</v>
      </c>
      <c r="J158" s="62" t="str">
        <f>VLOOKUP($G158,Overall!$K$5:$T$36,6)</f>
        <v>00000000100000000000000000000000</v>
      </c>
      <c r="K158" s="8">
        <f t="shared" ca="1" si="18"/>
        <v>-3.4544707164746351E-77</v>
      </c>
      <c r="L158" s="62">
        <f>VLOOKUP($B158,Overall!$B$5:$I$13,8)</f>
        <v>0</v>
      </c>
      <c r="M158" s="58"/>
      <c r="N158" s="3" t="str">
        <f t="shared" si="19"/>
        <v/>
      </c>
      <c r="O158" s="3" t="str">
        <f t="shared" si="20"/>
        <v/>
      </c>
      <c r="P158" s="3" t="str">
        <f t="shared" si="21"/>
        <v/>
      </c>
      <c r="Q158" s="3">
        <f t="shared" si="22"/>
        <v>0</v>
      </c>
      <c r="R158" s="3">
        <f t="shared" si="23"/>
        <v>0</v>
      </c>
      <c r="S158" s="3" t="e" cm="1">
        <f t="array" aca="1" ref="S158" ca="1">SUMPRODUCT(MID($P158,ROW(INDIRECT("1:23")),1)*2^(-ROW(INDIRECT("1:23"))))</f>
        <v>#VALUE!</v>
      </c>
      <c r="T158" s="3" t="e">
        <f t="shared" ca="1" si="24"/>
        <v>#VALUE!</v>
      </c>
      <c r="U158" s="3" t="e">
        <f t="shared" ca="1" si="25"/>
        <v>#VALUE!</v>
      </c>
      <c r="V158" s="73"/>
      <c r="W158" s="9" t="str">
        <f t="shared" si="26"/>
        <v>OK</v>
      </c>
    </row>
    <row r="159" spans="1:23" x14ac:dyDescent="0.3">
      <c r="A159" s="44">
        <v>156</v>
      </c>
      <c r="B159" s="14">
        <v>3</v>
      </c>
      <c r="C159" s="4">
        <v>5</v>
      </c>
      <c r="D159" s="3" t="str">
        <f>VLOOKUP($C159,Overall!$K$5:$T$36,2)</f>
        <v>Underflow</v>
      </c>
      <c r="E159" s="3">
        <f ca="1">VLOOKUP($C159,Overall!$K$5:$T$36,10)</f>
        <v>-2.9387386796526474E-39</v>
      </c>
      <c r="F159" s="9" t="str">
        <f>VLOOKUP($C159,Overall!$K$5:$T$36,6)</f>
        <v>10000000001000000000000000000010</v>
      </c>
      <c r="G159" s="8">
        <v>16</v>
      </c>
      <c r="H159" s="3" t="str">
        <f>VLOOKUP($G159,Overall!$K$5:$T$36,2)</f>
        <v>Normal</v>
      </c>
      <c r="I159" s="3">
        <f ca="1">VLOOKUP($G159,Overall!$K$5:$T$36,10)</f>
        <v>1.1754944909521339E-38</v>
      </c>
      <c r="J159" s="62" t="str">
        <f>VLOOKUP($G159,Overall!$K$5:$T$36,6)</f>
        <v>00000000100000000000000000000001</v>
      </c>
      <c r="K159" s="8">
        <f t="shared" ca="1" si="18"/>
        <v>-3.454471128279635E-77</v>
      </c>
      <c r="L159" s="62">
        <f>VLOOKUP($B159,Overall!$B$5:$I$13,8)</f>
        <v>0</v>
      </c>
      <c r="M159" s="58"/>
      <c r="N159" s="3" t="str">
        <f t="shared" si="19"/>
        <v/>
      </c>
      <c r="O159" s="3" t="str">
        <f t="shared" si="20"/>
        <v/>
      </c>
      <c r="P159" s="3" t="str">
        <f t="shared" si="21"/>
        <v/>
      </c>
      <c r="Q159" s="3">
        <f t="shared" si="22"/>
        <v>0</v>
      </c>
      <c r="R159" s="3">
        <f t="shared" si="23"/>
        <v>0</v>
      </c>
      <c r="S159" s="3" t="e" cm="1">
        <f t="array" aca="1" ref="S159" ca="1">SUMPRODUCT(MID($P159,ROW(INDIRECT("1:23")),1)*2^(-ROW(INDIRECT("1:23"))))</f>
        <v>#VALUE!</v>
      </c>
      <c r="T159" s="3" t="e">
        <f t="shared" ca="1" si="24"/>
        <v>#VALUE!</v>
      </c>
      <c r="U159" s="3" t="e">
        <f t="shared" ca="1" si="25"/>
        <v>#VALUE!</v>
      </c>
      <c r="V159" s="73"/>
      <c r="W159" s="9" t="str">
        <f t="shared" si="26"/>
        <v>OK</v>
      </c>
    </row>
    <row r="160" spans="1:23" x14ac:dyDescent="0.3">
      <c r="A160" s="44">
        <v>157</v>
      </c>
      <c r="B160" s="14">
        <v>3</v>
      </c>
      <c r="C160" s="4">
        <v>5</v>
      </c>
      <c r="D160" s="3" t="str">
        <f>VLOOKUP($C160,Overall!$K$5:$T$36,2)</f>
        <v>Underflow</v>
      </c>
      <c r="E160" s="3">
        <f ca="1">VLOOKUP($C160,Overall!$K$5:$T$36,10)</f>
        <v>-2.9387386796526474E-39</v>
      </c>
      <c r="F160" s="9" t="str">
        <f>VLOOKUP($C160,Overall!$K$5:$T$36,6)</f>
        <v>10000000001000000000000000000010</v>
      </c>
      <c r="G160" s="8">
        <v>17</v>
      </c>
      <c r="H160" s="3" t="str">
        <f>VLOOKUP($G160,Overall!$K$5:$T$36,2)</f>
        <v>Normal</v>
      </c>
      <c r="I160" s="3">
        <f ca="1">VLOOKUP($G160,Overall!$K$5:$T$36,10)</f>
        <v>0.5</v>
      </c>
      <c r="J160" s="62" t="str">
        <f>VLOOKUP($G160,Overall!$K$5:$T$36,6)</f>
        <v>00111111000000000000000000000000</v>
      </c>
      <c r="K160" s="8">
        <f t="shared" ca="1" si="18"/>
        <v>-1.4693693398263237E-39</v>
      </c>
      <c r="L160" s="62">
        <f>VLOOKUP($B160,Overall!$B$5:$I$13,8)</f>
        <v>0</v>
      </c>
      <c r="M160" s="58"/>
      <c r="N160" s="3" t="str">
        <f t="shared" si="19"/>
        <v/>
      </c>
      <c r="O160" s="3" t="str">
        <f t="shared" si="20"/>
        <v/>
      </c>
      <c r="P160" s="3" t="str">
        <f t="shared" si="21"/>
        <v/>
      </c>
      <c r="Q160" s="3">
        <f t="shared" si="22"/>
        <v>0</v>
      </c>
      <c r="R160" s="3">
        <f t="shared" si="23"/>
        <v>0</v>
      </c>
      <c r="S160" s="3" t="e" cm="1">
        <f t="array" aca="1" ref="S160" ca="1">SUMPRODUCT(MID($P160,ROW(INDIRECT("1:23")),1)*2^(-ROW(INDIRECT("1:23"))))</f>
        <v>#VALUE!</v>
      </c>
      <c r="T160" s="3" t="e">
        <f t="shared" ca="1" si="24"/>
        <v>#VALUE!</v>
      </c>
      <c r="U160" s="3" t="e">
        <f t="shared" ca="1" si="25"/>
        <v>#VALUE!</v>
      </c>
      <c r="V160" s="73"/>
      <c r="W160" s="9" t="str">
        <f t="shared" si="26"/>
        <v>OK</v>
      </c>
    </row>
    <row r="161" spans="1:23" x14ac:dyDescent="0.3">
      <c r="A161" s="44">
        <v>158</v>
      </c>
      <c r="B161" s="14">
        <v>3</v>
      </c>
      <c r="C161" s="4">
        <v>5</v>
      </c>
      <c r="D161" s="3" t="str">
        <f>VLOOKUP($C161,Overall!$K$5:$T$36,2)</f>
        <v>Underflow</v>
      </c>
      <c r="E161" s="3">
        <f ca="1">VLOOKUP($C161,Overall!$K$5:$T$36,10)</f>
        <v>-2.9387386796526474E-39</v>
      </c>
      <c r="F161" s="9" t="str">
        <f>VLOOKUP($C161,Overall!$K$5:$T$36,6)</f>
        <v>10000000001000000000000000000010</v>
      </c>
      <c r="G161" s="8">
        <v>18</v>
      </c>
      <c r="H161" s="3" t="str">
        <f>VLOOKUP($G161,Overall!$K$5:$T$36,2)</f>
        <v>Normal</v>
      </c>
      <c r="I161" s="3">
        <f ca="1">VLOOKUP($G161,Overall!$K$5:$T$36,10)</f>
        <v>1</v>
      </c>
      <c r="J161" s="62" t="str">
        <f>VLOOKUP($G161,Overall!$K$5:$T$36,6)</f>
        <v>00111111100000000000000000000000</v>
      </c>
      <c r="K161" s="8">
        <f t="shared" ca="1" si="18"/>
        <v>-2.9387386796526474E-39</v>
      </c>
      <c r="L161" s="62">
        <f>VLOOKUP($B161,Overall!$B$5:$I$13,8)</f>
        <v>0</v>
      </c>
      <c r="M161" s="58"/>
      <c r="N161" s="3" t="str">
        <f t="shared" si="19"/>
        <v/>
      </c>
      <c r="O161" s="3" t="str">
        <f t="shared" si="20"/>
        <v/>
      </c>
      <c r="P161" s="3" t="str">
        <f t="shared" si="21"/>
        <v/>
      </c>
      <c r="Q161" s="3">
        <f t="shared" si="22"/>
        <v>0</v>
      </c>
      <c r="R161" s="3">
        <f t="shared" si="23"/>
        <v>0</v>
      </c>
      <c r="S161" s="3" t="e" cm="1">
        <f t="array" aca="1" ref="S161" ca="1">SUMPRODUCT(MID($P161,ROW(INDIRECT("1:23")),1)*2^(-ROW(INDIRECT("1:23"))))</f>
        <v>#VALUE!</v>
      </c>
      <c r="T161" s="3" t="e">
        <f t="shared" ca="1" si="24"/>
        <v>#VALUE!</v>
      </c>
      <c r="U161" s="3" t="e">
        <f t="shared" ca="1" si="25"/>
        <v>#VALUE!</v>
      </c>
      <c r="V161" s="73"/>
      <c r="W161" s="9" t="str">
        <f t="shared" si="26"/>
        <v>OK</v>
      </c>
    </row>
    <row r="162" spans="1:23" x14ac:dyDescent="0.3">
      <c r="A162" s="44">
        <v>159</v>
      </c>
      <c r="B162" s="14">
        <v>3</v>
      </c>
      <c r="C162" s="4">
        <v>5</v>
      </c>
      <c r="D162" s="3" t="str">
        <f>VLOOKUP($C162,Overall!$K$5:$T$36,2)</f>
        <v>Underflow</v>
      </c>
      <c r="E162" s="3">
        <f ca="1">VLOOKUP($C162,Overall!$K$5:$T$36,10)</f>
        <v>-2.9387386796526474E-39</v>
      </c>
      <c r="F162" s="9" t="str">
        <f>VLOOKUP($C162,Overall!$K$5:$T$36,6)</f>
        <v>10000000001000000000000000000010</v>
      </c>
      <c r="G162" s="8">
        <v>19</v>
      </c>
      <c r="H162" s="3" t="str">
        <f>VLOOKUP($G162,Overall!$K$5:$T$36,2)</f>
        <v>Normal</v>
      </c>
      <c r="I162" s="3">
        <f ca="1">VLOOKUP($G162,Overall!$K$5:$T$36,10)</f>
        <v>1.5</v>
      </c>
      <c r="J162" s="62" t="str">
        <f>VLOOKUP($G162,Overall!$K$5:$T$36,6)</f>
        <v>00111111110000000000000000000000</v>
      </c>
      <c r="K162" s="8">
        <f t="shared" ca="1" si="18"/>
        <v>-4.4081080194789711E-39</v>
      </c>
      <c r="L162" s="62">
        <f>VLOOKUP($B162,Overall!$B$5:$I$13,8)</f>
        <v>0</v>
      </c>
      <c r="M162" s="58"/>
      <c r="N162" s="3" t="str">
        <f t="shared" si="19"/>
        <v/>
      </c>
      <c r="O162" s="3" t="str">
        <f t="shared" si="20"/>
        <v/>
      </c>
      <c r="P162" s="3" t="str">
        <f t="shared" si="21"/>
        <v/>
      </c>
      <c r="Q162" s="3">
        <f t="shared" si="22"/>
        <v>0</v>
      </c>
      <c r="R162" s="3">
        <f t="shared" si="23"/>
        <v>0</v>
      </c>
      <c r="S162" s="3" t="e" cm="1">
        <f t="array" aca="1" ref="S162" ca="1">SUMPRODUCT(MID($P162,ROW(INDIRECT("1:23")),1)*2^(-ROW(INDIRECT("1:23"))))</f>
        <v>#VALUE!</v>
      </c>
      <c r="T162" s="3" t="e">
        <f t="shared" ca="1" si="24"/>
        <v>#VALUE!</v>
      </c>
      <c r="U162" s="3" t="e">
        <f t="shared" ca="1" si="25"/>
        <v>#VALUE!</v>
      </c>
      <c r="V162" s="73"/>
      <c r="W162" s="9" t="str">
        <f t="shared" si="26"/>
        <v>OK</v>
      </c>
    </row>
    <row r="163" spans="1:23" x14ac:dyDescent="0.3">
      <c r="A163" s="44">
        <v>160</v>
      </c>
      <c r="B163" s="14">
        <v>3</v>
      </c>
      <c r="C163" s="4">
        <v>5</v>
      </c>
      <c r="D163" s="3" t="str">
        <f>VLOOKUP($C163,Overall!$K$5:$T$36,2)</f>
        <v>Underflow</v>
      </c>
      <c r="E163" s="3">
        <f ca="1">VLOOKUP($C163,Overall!$K$5:$T$36,10)</f>
        <v>-2.9387386796526474E-39</v>
      </c>
      <c r="F163" s="9" t="str">
        <f>VLOOKUP($C163,Overall!$K$5:$T$36,6)</f>
        <v>10000000001000000000000000000010</v>
      </c>
      <c r="G163" s="8">
        <v>20</v>
      </c>
      <c r="H163" s="3" t="str">
        <f>VLOOKUP($G163,Overall!$K$5:$T$36,2)</f>
        <v>Normal</v>
      </c>
      <c r="I163" s="3">
        <f ca="1">VLOOKUP($G163,Overall!$K$5:$T$36,10)</f>
        <v>12345.6787109375</v>
      </c>
      <c r="J163" s="62" t="str">
        <f>VLOOKUP($G163,Overall!$K$5:$T$36,6)</f>
        <v>001000110010000001110011010110111</v>
      </c>
      <c r="K163" s="8">
        <f t="shared" ca="1" si="18"/>
        <v>-3.6280723554396267E-35</v>
      </c>
      <c r="L163" s="62">
        <f>VLOOKUP($B163,Overall!$B$5:$I$13,8)</f>
        <v>0</v>
      </c>
      <c r="M163" s="58"/>
      <c r="N163" s="3" t="str">
        <f t="shared" si="19"/>
        <v/>
      </c>
      <c r="O163" s="3" t="str">
        <f t="shared" si="20"/>
        <v/>
      </c>
      <c r="P163" s="3" t="str">
        <f t="shared" si="21"/>
        <v/>
      </c>
      <c r="Q163" s="3">
        <f t="shared" si="22"/>
        <v>0</v>
      </c>
      <c r="R163" s="3">
        <f t="shared" si="23"/>
        <v>0</v>
      </c>
      <c r="S163" s="3" t="e" cm="1">
        <f t="array" aca="1" ref="S163" ca="1">SUMPRODUCT(MID($P163,ROW(INDIRECT("1:23")),1)*2^(-ROW(INDIRECT("1:23"))))</f>
        <v>#VALUE!</v>
      </c>
      <c r="T163" s="3" t="e">
        <f t="shared" ca="1" si="24"/>
        <v>#VALUE!</v>
      </c>
      <c r="U163" s="3" t="e">
        <f t="shared" ca="1" si="25"/>
        <v>#VALUE!</v>
      </c>
      <c r="V163" s="73"/>
      <c r="W163" s="9" t="str">
        <f t="shared" si="26"/>
        <v>OK</v>
      </c>
    </row>
    <row r="164" spans="1:23" x14ac:dyDescent="0.3">
      <c r="A164" s="44">
        <v>161</v>
      </c>
      <c r="B164" s="14">
        <v>3</v>
      </c>
      <c r="C164" s="4">
        <v>5</v>
      </c>
      <c r="D164" s="3" t="str">
        <f>VLOOKUP($C164,Overall!$K$5:$T$36,2)</f>
        <v>Underflow</v>
      </c>
      <c r="E164" s="3">
        <f ca="1">VLOOKUP($C164,Overall!$K$5:$T$36,10)</f>
        <v>-2.9387386796526474E-39</v>
      </c>
      <c r="F164" s="9" t="str">
        <f>VLOOKUP($C164,Overall!$K$5:$T$36,6)</f>
        <v>10000000001000000000000000000010</v>
      </c>
      <c r="G164" s="8">
        <v>21</v>
      </c>
      <c r="H164" s="3" t="str">
        <f>VLOOKUP($G164,Overall!$K$5:$T$36,2)</f>
        <v>Normal</v>
      </c>
      <c r="I164" s="3">
        <f ca="1">VLOOKUP($G164,Overall!$K$5:$T$36,10)</f>
        <v>2.345678924830959E+38</v>
      </c>
      <c r="J164" s="62" t="str">
        <f>VLOOKUP($G164,Overall!$K$5:$T$36,6)</f>
        <v>01111111001100000111100000100010</v>
      </c>
      <c r="K164" s="8">
        <f t="shared" ca="1" si="18"/>
        <v>-0.6893337386446774</v>
      </c>
      <c r="L164" s="62">
        <f>VLOOKUP($B164,Overall!$B$5:$I$13,8)</f>
        <v>0</v>
      </c>
      <c r="M164" s="58"/>
      <c r="N164" s="3" t="str">
        <f t="shared" si="19"/>
        <v/>
      </c>
      <c r="O164" s="3" t="str">
        <f t="shared" si="20"/>
        <v/>
      </c>
      <c r="P164" s="3" t="str">
        <f t="shared" si="21"/>
        <v/>
      </c>
      <c r="Q164" s="3">
        <f t="shared" si="22"/>
        <v>0</v>
      </c>
      <c r="R164" s="3">
        <f t="shared" si="23"/>
        <v>0</v>
      </c>
      <c r="S164" s="3" t="e" cm="1">
        <f t="array" aca="1" ref="S164" ca="1">SUMPRODUCT(MID($P164,ROW(INDIRECT("1:23")),1)*2^(-ROW(INDIRECT("1:23"))))</f>
        <v>#VALUE!</v>
      </c>
      <c r="T164" s="3" t="e">
        <f t="shared" ca="1" si="24"/>
        <v>#VALUE!</v>
      </c>
      <c r="U164" s="3" t="e">
        <f t="shared" ca="1" si="25"/>
        <v>#VALUE!</v>
      </c>
      <c r="V164" s="73"/>
      <c r="W164" s="9" t="str">
        <f t="shared" si="26"/>
        <v>OK</v>
      </c>
    </row>
    <row r="165" spans="1:23" x14ac:dyDescent="0.3">
      <c r="A165" s="44">
        <v>162</v>
      </c>
      <c r="B165" s="14">
        <v>3</v>
      </c>
      <c r="C165" s="4">
        <v>5</v>
      </c>
      <c r="D165" s="3" t="str">
        <f>VLOOKUP($C165,Overall!$K$5:$T$36,2)</f>
        <v>Underflow</v>
      </c>
      <c r="E165" s="3">
        <f ca="1">VLOOKUP($C165,Overall!$K$5:$T$36,10)</f>
        <v>-2.9387386796526474E-39</v>
      </c>
      <c r="F165" s="9" t="str">
        <f>VLOOKUP($C165,Overall!$K$5:$T$36,6)</f>
        <v>10000000001000000000000000000010</v>
      </c>
      <c r="G165" s="8">
        <v>22</v>
      </c>
      <c r="H165" s="3" t="str">
        <f>VLOOKUP($G165,Overall!$K$5:$T$36,2)</f>
        <v>Normal</v>
      </c>
      <c r="I165" s="3">
        <f ca="1">VLOOKUP($G165,Overall!$K$5:$T$36,10)</f>
        <v>3.4028232635611926E+38</v>
      </c>
      <c r="J165" s="62" t="str">
        <f>VLOOKUP($G165,Overall!$K$5:$T$36,6)</f>
        <v>01111111011111111111111111111110</v>
      </c>
      <c r="K165" s="8">
        <f t="shared" ca="1" si="18"/>
        <v>-1.0000008344649132</v>
      </c>
      <c r="L165" s="62">
        <f>VLOOKUP($B165,Overall!$B$5:$I$13,8)</f>
        <v>0</v>
      </c>
      <c r="M165" s="58"/>
      <c r="N165" s="3" t="str">
        <f t="shared" si="19"/>
        <v/>
      </c>
      <c r="O165" s="3" t="str">
        <f t="shared" si="20"/>
        <v/>
      </c>
      <c r="P165" s="3" t="str">
        <f t="shared" si="21"/>
        <v/>
      </c>
      <c r="Q165" s="3">
        <f t="shared" si="22"/>
        <v>0</v>
      </c>
      <c r="R165" s="3">
        <f t="shared" si="23"/>
        <v>0</v>
      </c>
      <c r="S165" s="3" t="e" cm="1">
        <f t="array" aca="1" ref="S165" ca="1">SUMPRODUCT(MID($P165,ROW(INDIRECT("1:23")),1)*2^(-ROW(INDIRECT("1:23"))))</f>
        <v>#VALUE!</v>
      </c>
      <c r="T165" s="3" t="e">
        <f t="shared" ca="1" si="24"/>
        <v>#VALUE!</v>
      </c>
      <c r="U165" s="3" t="e">
        <f t="shared" ca="1" si="25"/>
        <v>#VALUE!</v>
      </c>
      <c r="V165" s="73"/>
      <c r="W165" s="9" t="str">
        <f t="shared" si="26"/>
        <v>OK</v>
      </c>
    </row>
    <row r="166" spans="1:23" x14ac:dyDescent="0.3">
      <c r="A166" s="44">
        <v>163</v>
      </c>
      <c r="B166" s="14">
        <v>3</v>
      </c>
      <c r="C166" s="4">
        <v>5</v>
      </c>
      <c r="D166" s="3" t="str">
        <f>VLOOKUP($C166,Overall!$K$5:$T$36,2)</f>
        <v>Underflow</v>
      </c>
      <c r="E166" s="3">
        <f ca="1">VLOOKUP($C166,Overall!$K$5:$T$36,10)</f>
        <v>-2.9387386796526474E-39</v>
      </c>
      <c r="F166" s="9" t="str">
        <f>VLOOKUP($C166,Overall!$K$5:$T$36,6)</f>
        <v>10000000001000000000000000000010</v>
      </c>
      <c r="G166" s="8">
        <v>23</v>
      </c>
      <c r="H166" s="3" t="str">
        <f>VLOOKUP($G166,Overall!$K$5:$T$36,2)</f>
        <v>Normal</v>
      </c>
      <c r="I166" s="3">
        <f ca="1">VLOOKUP($G166,Overall!$K$5:$T$36,10)</f>
        <v>3.4028234663852886E+38</v>
      </c>
      <c r="J166" s="62" t="str">
        <f>VLOOKUP($G166,Overall!$K$5:$T$36,6)</f>
        <v>01111111011111111111111111111111</v>
      </c>
      <c r="K166" s="8">
        <f t="shared" ca="1" si="18"/>
        <v>-1.0000008940696148</v>
      </c>
      <c r="L166" s="62">
        <f>VLOOKUP($B166,Overall!$B$5:$I$13,8)</f>
        <v>0</v>
      </c>
      <c r="M166" s="58"/>
      <c r="N166" s="3" t="str">
        <f t="shared" si="19"/>
        <v/>
      </c>
      <c r="O166" s="3" t="str">
        <f t="shared" si="20"/>
        <v/>
      </c>
      <c r="P166" s="3" t="str">
        <f t="shared" si="21"/>
        <v/>
      </c>
      <c r="Q166" s="3">
        <f t="shared" si="22"/>
        <v>0</v>
      </c>
      <c r="R166" s="3">
        <f t="shared" si="23"/>
        <v>0</v>
      </c>
      <c r="S166" s="3" t="e" cm="1">
        <f t="array" aca="1" ref="S166" ca="1">SUMPRODUCT(MID($P166,ROW(INDIRECT("1:23")),1)*2^(-ROW(INDIRECT("1:23"))))</f>
        <v>#VALUE!</v>
      </c>
      <c r="T166" s="3" t="e">
        <f t="shared" ca="1" si="24"/>
        <v>#VALUE!</v>
      </c>
      <c r="U166" s="3" t="e">
        <f t="shared" ca="1" si="25"/>
        <v>#VALUE!</v>
      </c>
      <c r="V166" s="73"/>
      <c r="W166" s="9" t="str">
        <f t="shared" si="26"/>
        <v>OK</v>
      </c>
    </row>
    <row r="167" spans="1:23" x14ac:dyDescent="0.3">
      <c r="A167" s="44">
        <v>164</v>
      </c>
      <c r="B167" s="14">
        <v>3</v>
      </c>
      <c r="C167" s="4">
        <v>5</v>
      </c>
      <c r="D167" s="3" t="str">
        <f>VLOOKUP($C167,Overall!$K$5:$T$36,2)</f>
        <v>Underflow</v>
      </c>
      <c r="E167" s="3">
        <f ca="1">VLOOKUP($C167,Overall!$K$5:$T$36,10)</f>
        <v>-2.9387386796526474E-39</v>
      </c>
      <c r="F167" s="9" t="str">
        <f>VLOOKUP($C167,Overall!$K$5:$T$36,6)</f>
        <v>10000000001000000000000000000010</v>
      </c>
      <c r="G167" s="8">
        <v>24</v>
      </c>
      <c r="H167" s="3" t="str">
        <f>VLOOKUP($G167,Overall!$K$5:$T$36,2)</f>
        <v>Normal</v>
      </c>
      <c r="I167" s="3">
        <f ca="1">VLOOKUP($G167,Overall!$K$5:$T$36,10)</f>
        <v>-1.1754943508222875E-38</v>
      </c>
      <c r="J167" s="62" t="str">
        <f>VLOOKUP($G167,Overall!$K$5:$T$36,6)</f>
        <v>10000000100000000000000000000000</v>
      </c>
      <c r="K167" s="8">
        <f t="shared" ca="1" si="18"/>
        <v>3.4544707164746351E-77</v>
      </c>
      <c r="L167" s="62">
        <f>VLOOKUP($B167,Overall!$B$5:$I$13,8)</f>
        <v>0</v>
      </c>
      <c r="M167" s="58"/>
      <c r="N167" s="3" t="str">
        <f t="shared" si="19"/>
        <v/>
      </c>
      <c r="O167" s="3" t="str">
        <f t="shared" si="20"/>
        <v/>
      </c>
      <c r="P167" s="3" t="str">
        <f t="shared" si="21"/>
        <v/>
      </c>
      <c r="Q167" s="3">
        <f t="shared" si="22"/>
        <v>0</v>
      </c>
      <c r="R167" s="3">
        <f t="shared" si="23"/>
        <v>0</v>
      </c>
      <c r="S167" s="3" t="e" cm="1">
        <f t="array" aca="1" ref="S167" ca="1">SUMPRODUCT(MID($P167,ROW(INDIRECT("1:23")),1)*2^(-ROW(INDIRECT("1:23"))))</f>
        <v>#VALUE!</v>
      </c>
      <c r="T167" s="3" t="e">
        <f t="shared" ca="1" si="24"/>
        <v>#VALUE!</v>
      </c>
      <c r="U167" s="3" t="e">
        <f t="shared" ca="1" si="25"/>
        <v>#VALUE!</v>
      </c>
      <c r="V167" s="73"/>
      <c r="W167" s="9" t="str">
        <f t="shared" si="26"/>
        <v>OK</v>
      </c>
    </row>
    <row r="168" spans="1:23" x14ac:dyDescent="0.3">
      <c r="A168" s="44">
        <v>165</v>
      </c>
      <c r="B168" s="14">
        <v>3</v>
      </c>
      <c r="C168" s="4">
        <v>5</v>
      </c>
      <c r="D168" s="3" t="str">
        <f>VLOOKUP($C168,Overall!$K$5:$T$36,2)</f>
        <v>Underflow</v>
      </c>
      <c r="E168" s="3">
        <f ca="1">VLOOKUP($C168,Overall!$K$5:$T$36,10)</f>
        <v>-2.9387386796526474E-39</v>
      </c>
      <c r="F168" s="9" t="str">
        <f>VLOOKUP($C168,Overall!$K$5:$T$36,6)</f>
        <v>10000000001000000000000000000010</v>
      </c>
      <c r="G168" s="8">
        <v>25</v>
      </c>
      <c r="H168" s="3" t="str">
        <f>VLOOKUP($G168,Overall!$K$5:$T$36,2)</f>
        <v>Normal</v>
      </c>
      <c r="I168" s="3">
        <f ca="1">VLOOKUP($G168,Overall!$K$5:$T$36,10)</f>
        <v>-1.1754944909521339E-38</v>
      </c>
      <c r="J168" s="62" t="str">
        <f>VLOOKUP($G168,Overall!$K$5:$T$36,6)</f>
        <v>10000000100000000000000000000001</v>
      </c>
      <c r="K168" s="8">
        <f t="shared" ca="1" si="18"/>
        <v>3.454471128279635E-77</v>
      </c>
      <c r="L168" s="62">
        <f>VLOOKUP($B168,Overall!$B$5:$I$13,8)</f>
        <v>0</v>
      </c>
      <c r="M168" s="58"/>
      <c r="N168" s="3" t="str">
        <f t="shared" si="19"/>
        <v/>
      </c>
      <c r="O168" s="3" t="str">
        <f t="shared" si="20"/>
        <v/>
      </c>
      <c r="P168" s="3" t="str">
        <f t="shared" si="21"/>
        <v/>
      </c>
      <c r="Q168" s="3">
        <f t="shared" si="22"/>
        <v>0</v>
      </c>
      <c r="R168" s="3">
        <f t="shared" si="23"/>
        <v>0</v>
      </c>
      <c r="S168" s="3" t="e" cm="1">
        <f t="array" aca="1" ref="S168" ca="1">SUMPRODUCT(MID($P168,ROW(INDIRECT("1:23")),1)*2^(-ROW(INDIRECT("1:23"))))</f>
        <v>#VALUE!</v>
      </c>
      <c r="T168" s="3" t="e">
        <f t="shared" ca="1" si="24"/>
        <v>#VALUE!</v>
      </c>
      <c r="U168" s="3" t="e">
        <f t="shared" ca="1" si="25"/>
        <v>#VALUE!</v>
      </c>
      <c r="V168" s="73"/>
      <c r="W168" s="9" t="str">
        <f t="shared" si="26"/>
        <v>OK</v>
      </c>
    </row>
    <row r="169" spans="1:23" x14ac:dyDescent="0.3">
      <c r="A169" s="44">
        <v>166</v>
      </c>
      <c r="B169" s="14">
        <v>3</v>
      </c>
      <c r="C169" s="4">
        <v>5</v>
      </c>
      <c r="D169" s="3" t="str">
        <f>VLOOKUP($C169,Overall!$K$5:$T$36,2)</f>
        <v>Underflow</v>
      </c>
      <c r="E169" s="3">
        <f ca="1">VLOOKUP($C169,Overall!$K$5:$T$36,10)</f>
        <v>-2.9387386796526474E-39</v>
      </c>
      <c r="F169" s="9" t="str">
        <f>VLOOKUP($C169,Overall!$K$5:$T$36,6)</f>
        <v>10000000001000000000000000000010</v>
      </c>
      <c r="G169" s="8">
        <v>26</v>
      </c>
      <c r="H169" s="3" t="str">
        <f>VLOOKUP($G169,Overall!$K$5:$T$36,2)</f>
        <v>Normal</v>
      </c>
      <c r="I169" s="3">
        <f ca="1">VLOOKUP($G169,Overall!$K$5:$T$36,10)</f>
        <v>-0.5</v>
      </c>
      <c r="J169" s="62" t="str">
        <f>VLOOKUP($G169,Overall!$K$5:$T$36,6)</f>
        <v>10111111000000000000000000000000</v>
      </c>
      <c r="K169" s="8">
        <f t="shared" ca="1" si="18"/>
        <v>1.4693693398263237E-39</v>
      </c>
      <c r="L169" s="62">
        <f>VLOOKUP($B169,Overall!$B$5:$I$13,8)</f>
        <v>0</v>
      </c>
      <c r="M169" s="58"/>
      <c r="N169" s="3" t="str">
        <f t="shared" si="19"/>
        <v/>
      </c>
      <c r="O169" s="3" t="str">
        <f t="shared" si="20"/>
        <v/>
      </c>
      <c r="P169" s="3" t="str">
        <f t="shared" si="21"/>
        <v/>
      </c>
      <c r="Q169" s="3">
        <f t="shared" si="22"/>
        <v>0</v>
      </c>
      <c r="R169" s="3">
        <f t="shared" si="23"/>
        <v>0</v>
      </c>
      <c r="S169" s="3" t="e" cm="1">
        <f t="array" aca="1" ref="S169" ca="1">SUMPRODUCT(MID($P169,ROW(INDIRECT("1:23")),1)*2^(-ROW(INDIRECT("1:23"))))</f>
        <v>#VALUE!</v>
      </c>
      <c r="T169" s="3" t="e">
        <f t="shared" ca="1" si="24"/>
        <v>#VALUE!</v>
      </c>
      <c r="U169" s="3" t="e">
        <f t="shared" ca="1" si="25"/>
        <v>#VALUE!</v>
      </c>
      <c r="V169" s="73"/>
      <c r="W169" s="9" t="str">
        <f t="shared" si="26"/>
        <v>OK</v>
      </c>
    </row>
    <row r="170" spans="1:23" x14ac:dyDescent="0.3">
      <c r="A170" s="44">
        <v>167</v>
      </c>
      <c r="B170" s="14">
        <v>3</v>
      </c>
      <c r="C170" s="4">
        <v>5</v>
      </c>
      <c r="D170" s="3" t="str">
        <f>VLOOKUP($C170,Overall!$K$5:$T$36,2)</f>
        <v>Underflow</v>
      </c>
      <c r="E170" s="3">
        <f ca="1">VLOOKUP($C170,Overall!$K$5:$T$36,10)</f>
        <v>-2.9387386796526474E-39</v>
      </c>
      <c r="F170" s="9" t="str">
        <f>VLOOKUP($C170,Overall!$K$5:$T$36,6)</f>
        <v>10000000001000000000000000000010</v>
      </c>
      <c r="G170" s="8">
        <v>27</v>
      </c>
      <c r="H170" s="3" t="str">
        <f>VLOOKUP($G170,Overall!$K$5:$T$36,2)</f>
        <v>Normal</v>
      </c>
      <c r="I170" s="3">
        <f ca="1">VLOOKUP($G170,Overall!$K$5:$T$36,10)</f>
        <v>-1</v>
      </c>
      <c r="J170" s="62" t="str">
        <f>VLOOKUP($G170,Overall!$K$5:$T$36,6)</f>
        <v>10111111100000000000000000000000</v>
      </c>
      <c r="K170" s="8">
        <f t="shared" ca="1" si="18"/>
        <v>2.9387386796526474E-39</v>
      </c>
      <c r="L170" s="62">
        <f>VLOOKUP($B170,Overall!$B$5:$I$13,8)</f>
        <v>0</v>
      </c>
      <c r="M170" s="58"/>
      <c r="N170" s="3" t="str">
        <f t="shared" si="19"/>
        <v/>
      </c>
      <c r="O170" s="3" t="str">
        <f t="shared" si="20"/>
        <v/>
      </c>
      <c r="P170" s="3" t="str">
        <f t="shared" si="21"/>
        <v/>
      </c>
      <c r="Q170" s="3">
        <f t="shared" si="22"/>
        <v>0</v>
      </c>
      <c r="R170" s="3">
        <f t="shared" si="23"/>
        <v>0</v>
      </c>
      <c r="S170" s="3" t="e" cm="1">
        <f t="array" aca="1" ref="S170" ca="1">SUMPRODUCT(MID($P170,ROW(INDIRECT("1:23")),1)*2^(-ROW(INDIRECT("1:23"))))</f>
        <v>#VALUE!</v>
      </c>
      <c r="T170" s="3" t="e">
        <f t="shared" ca="1" si="24"/>
        <v>#VALUE!</v>
      </c>
      <c r="U170" s="3" t="e">
        <f t="shared" ca="1" si="25"/>
        <v>#VALUE!</v>
      </c>
      <c r="V170" s="73"/>
      <c r="W170" s="9" t="str">
        <f t="shared" si="26"/>
        <v>OK</v>
      </c>
    </row>
    <row r="171" spans="1:23" x14ac:dyDescent="0.3">
      <c r="A171" s="44">
        <v>168</v>
      </c>
      <c r="B171" s="14">
        <v>3</v>
      </c>
      <c r="C171" s="4">
        <v>5</v>
      </c>
      <c r="D171" s="3" t="str">
        <f>VLOOKUP($C171,Overall!$K$5:$T$36,2)</f>
        <v>Underflow</v>
      </c>
      <c r="E171" s="3">
        <f ca="1">VLOOKUP($C171,Overall!$K$5:$T$36,10)</f>
        <v>-2.9387386796526474E-39</v>
      </c>
      <c r="F171" s="9" t="str">
        <f>VLOOKUP($C171,Overall!$K$5:$T$36,6)</f>
        <v>10000000001000000000000000000010</v>
      </c>
      <c r="G171" s="8">
        <v>28</v>
      </c>
      <c r="H171" s="3" t="str">
        <f>VLOOKUP($G171,Overall!$K$5:$T$36,2)</f>
        <v>Normal</v>
      </c>
      <c r="I171" s="3">
        <f ca="1">VLOOKUP($G171,Overall!$K$5:$T$36,10)</f>
        <v>-1.5</v>
      </c>
      <c r="J171" s="62" t="str">
        <f>VLOOKUP($G171,Overall!$K$5:$T$36,6)</f>
        <v>10111111110000000000000000000000</v>
      </c>
      <c r="K171" s="8">
        <f t="shared" ca="1" si="18"/>
        <v>4.4081080194789711E-39</v>
      </c>
      <c r="L171" s="62">
        <f>VLOOKUP($B171,Overall!$B$5:$I$13,8)</f>
        <v>0</v>
      </c>
      <c r="M171" s="58"/>
      <c r="N171" s="3" t="str">
        <f t="shared" si="19"/>
        <v/>
      </c>
      <c r="O171" s="3" t="str">
        <f t="shared" si="20"/>
        <v/>
      </c>
      <c r="P171" s="3" t="str">
        <f t="shared" si="21"/>
        <v/>
      </c>
      <c r="Q171" s="3">
        <f t="shared" si="22"/>
        <v>0</v>
      </c>
      <c r="R171" s="3">
        <f t="shared" si="23"/>
        <v>0</v>
      </c>
      <c r="S171" s="3" t="e" cm="1">
        <f t="array" aca="1" ref="S171" ca="1">SUMPRODUCT(MID($P171,ROW(INDIRECT("1:23")),1)*2^(-ROW(INDIRECT("1:23"))))</f>
        <v>#VALUE!</v>
      </c>
      <c r="T171" s="3" t="e">
        <f t="shared" ca="1" si="24"/>
        <v>#VALUE!</v>
      </c>
      <c r="U171" s="3" t="e">
        <f t="shared" ca="1" si="25"/>
        <v>#VALUE!</v>
      </c>
      <c r="V171" s="73"/>
      <c r="W171" s="9" t="str">
        <f t="shared" si="26"/>
        <v>OK</v>
      </c>
    </row>
    <row r="172" spans="1:23" x14ac:dyDescent="0.3">
      <c r="A172" s="44">
        <v>169</v>
      </c>
      <c r="B172" s="14">
        <v>3</v>
      </c>
      <c r="C172" s="4">
        <v>5</v>
      </c>
      <c r="D172" s="3" t="str">
        <f>VLOOKUP($C172,Overall!$K$5:$T$36,2)</f>
        <v>Underflow</v>
      </c>
      <c r="E172" s="3">
        <f ca="1">VLOOKUP($C172,Overall!$K$5:$T$36,10)</f>
        <v>-2.9387386796526474E-39</v>
      </c>
      <c r="F172" s="9" t="str">
        <f>VLOOKUP($C172,Overall!$K$5:$T$36,6)</f>
        <v>10000000001000000000000000000010</v>
      </c>
      <c r="G172" s="8">
        <v>29</v>
      </c>
      <c r="H172" s="3" t="str">
        <f>VLOOKUP($G172,Overall!$K$5:$T$36,2)</f>
        <v>Normal</v>
      </c>
      <c r="I172" s="3">
        <f ca="1">VLOOKUP($G172,Overall!$K$5:$T$36,10)</f>
        <v>-12345.6787109375</v>
      </c>
      <c r="J172" s="62" t="str">
        <f>VLOOKUP($G172,Overall!$K$5:$T$36,6)</f>
        <v>101000110010000001110011010110111</v>
      </c>
      <c r="K172" s="8">
        <f t="shared" ca="1" si="18"/>
        <v>3.6280723554396267E-35</v>
      </c>
      <c r="L172" s="62">
        <f>VLOOKUP($B172,Overall!$B$5:$I$13,8)</f>
        <v>0</v>
      </c>
      <c r="M172" s="58"/>
      <c r="N172" s="3" t="str">
        <f t="shared" si="19"/>
        <v/>
      </c>
      <c r="O172" s="3" t="str">
        <f t="shared" si="20"/>
        <v/>
      </c>
      <c r="P172" s="3" t="str">
        <f t="shared" si="21"/>
        <v/>
      </c>
      <c r="Q172" s="3">
        <f t="shared" si="22"/>
        <v>0</v>
      </c>
      <c r="R172" s="3">
        <f t="shared" si="23"/>
        <v>0</v>
      </c>
      <c r="S172" s="3" t="e" cm="1">
        <f t="array" aca="1" ref="S172" ca="1">SUMPRODUCT(MID($P172,ROW(INDIRECT("1:23")),1)*2^(-ROW(INDIRECT("1:23"))))</f>
        <v>#VALUE!</v>
      </c>
      <c r="T172" s="3" t="e">
        <f t="shared" ca="1" si="24"/>
        <v>#VALUE!</v>
      </c>
      <c r="U172" s="3" t="e">
        <f t="shared" ca="1" si="25"/>
        <v>#VALUE!</v>
      </c>
      <c r="V172" s="73"/>
      <c r="W172" s="9" t="str">
        <f t="shared" si="26"/>
        <v>OK</v>
      </c>
    </row>
    <row r="173" spans="1:23" x14ac:dyDescent="0.3">
      <c r="A173" s="44">
        <v>170</v>
      </c>
      <c r="B173" s="14">
        <v>3</v>
      </c>
      <c r="C173" s="4">
        <v>5</v>
      </c>
      <c r="D173" s="3" t="str">
        <f>VLOOKUP($C173,Overall!$K$5:$T$36,2)</f>
        <v>Underflow</v>
      </c>
      <c r="E173" s="3">
        <f ca="1">VLOOKUP($C173,Overall!$K$5:$T$36,10)</f>
        <v>-2.9387386796526474E-39</v>
      </c>
      <c r="F173" s="9" t="str">
        <f>VLOOKUP($C173,Overall!$K$5:$T$36,6)</f>
        <v>10000000001000000000000000000010</v>
      </c>
      <c r="G173" s="8">
        <v>30</v>
      </c>
      <c r="H173" s="3" t="str">
        <f>VLOOKUP($G173,Overall!$K$5:$T$36,2)</f>
        <v>Normal</v>
      </c>
      <c r="I173" s="3">
        <f ca="1">VLOOKUP($G173,Overall!$K$5:$T$36,10)</f>
        <v>-2.345678924830959E+38</v>
      </c>
      <c r="J173" s="62" t="str">
        <f>VLOOKUP($G173,Overall!$K$5:$T$36,6)</f>
        <v>11111111001100000111100000100010</v>
      </c>
      <c r="K173" s="8">
        <f t="shared" ca="1" si="18"/>
        <v>0.6893337386446774</v>
      </c>
      <c r="L173" s="62">
        <f>VLOOKUP($B173,Overall!$B$5:$I$13,8)</f>
        <v>0</v>
      </c>
      <c r="M173" s="58"/>
      <c r="N173" s="3" t="str">
        <f t="shared" si="19"/>
        <v/>
      </c>
      <c r="O173" s="3" t="str">
        <f t="shared" si="20"/>
        <v/>
      </c>
      <c r="P173" s="3" t="str">
        <f t="shared" si="21"/>
        <v/>
      </c>
      <c r="Q173" s="3">
        <f t="shared" si="22"/>
        <v>0</v>
      </c>
      <c r="R173" s="3">
        <f t="shared" si="23"/>
        <v>0</v>
      </c>
      <c r="S173" s="3" t="e" cm="1">
        <f t="array" aca="1" ref="S173" ca="1">SUMPRODUCT(MID($P173,ROW(INDIRECT("1:23")),1)*2^(-ROW(INDIRECT("1:23"))))</f>
        <v>#VALUE!</v>
      </c>
      <c r="T173" s="3" t="e">
        <f t="shared" ca="1" si="24"/>
        <v>#VALUE!</v>
      </c>
      <c r="U173" s="3" t="e">
        <f t="shared" ca="1" si="25"/>
        <v>#VALUE!</v>
      </c>
      <c r="V173" s="73"/>
      <c r="W173" s="9" t="str">
        <f t="shared" si="26"/>
        <v>OK</v>
      </c>
    </row>
    <row r="174" spans="1:23" x14ac:dyDescent="0.3">
      <c r="A174" s="44">
        <v>171</v>
      </c>
      <c r="B174" s="14">
        <v>3</v>
      </c>
      <c r="C174" s="4">
        <v>5</v>
      </c>
      <c r="D174" s="3" t="str">
        <f>VLOOKUP($C174,Overall!$K$5:$T$36,2)</f>
        <v>Underflow</v>
      </c>
      <c r="E174" s="3">
        <f ca="1">VLOOKUP($C174,Overall!$K$5:$T$36,10)</f>
        <v>-2.9387386796526474E-39</v>
      </c>
      <c r="F174" s="9" t="str">
        <f>VLOOKUP($C174,Overall!$K$5:$T$36,6)</f>
        <v>10000000001000000000000000000010</v>
      </c>
      <c r="G174" s="8">
        <v>31</v>
      </c>
      <c r="H174" s="3" t="str">
        <f>VLOOKUP($G174,Overall!$K$5:$T$36,2)</f>
        <v>Normal</v>
      </c>
      <c r="I174" s="3">
        <f ca="1">VLOOKUP($G174,Overall!$K$5:$T$36,10)</f>
        <v>-3.4028232635611926E+38</v>
      </c>
      <c r="J174" s="62" t="str">
        <f>VLOOKUP($G174,Overall!$K$5:$T$36,6)</f>
        <v>11111111011111111111111111111110</v>
      </c>
      <c r="K174" s="8">
        <f t="shared" ca="1" si="18"/>
        <v>1.0000008344649132</v>
      </c>
      <c r="L174" s="62">
        <f>VLOOKUP($B174,Overall!$B$5:$I$13,8)</f>
        <v>0</v>
      </c>
      <c r="M174" s="58"/>
      <c r="N174" s="3" t="str">
        <f t="shared" si="19"/>
        <v/>
      </c>
      <c r="O174" s="3" t="str">
        <f t="shared" si="20"/>
        <v/>
      </c>
      <c r="P174" s="3" t="str">
        <f t="shared" si="21"/>
        <v/>
      </c>
      <c r="Q174" s="3">
        <f t="shared" si="22"/>
        <v>0</v>
      </c>
      <c r="R174" s="3">
        <f t="shared" si="23"/>
        <v>0</v>
      </c>
      <c r="S174" s="3" t="e" cm="1">
        <f t="array" aca="1" ref="S174" ca="1">SUMPRODUCT(MID($P174,ROW(INDIRECT("1:23")),1)*2^(-ROW(INDIRECT("1:23"))))</f>
        <v>#VALUE!</v>
      </c>
      <c r="T174" s="3" t="e">
        <f t="shared" ca="1" si="24"/>
        <v>#VALUE!</v>
      </c>
      <c r="U174" s="3" t="e">
        <f t="shared" ca="1" si="25"/>
        <v>#VALUE!</v>
      </c>
      <c r="V174" s="73"/>
      <c r="W174" s="9" t="str">
        <f t="shared" si="26"/>
        <v>OK</v>
      </c>
    </row>
    <row r="175" spans="1:23" x14ac:dyDescent="0.3">
      <c r="A175" s="44">
        <v>172</v>
      </c>
      <c r="B175" s="14">
        <v>3</v>
      </c>
      <c r="C175" s="4">
        <v>5</v>
      </c>
      <c r="D175" s="3" t="str">
        <f>VLOOKUP($C175,Overall!$K$5:$T$36,2)</f>
        <v>Underflow</v>
      </c>
      <c r="E175" s="3">
        <f ca="1">VLOOKUP($C175,Overall!$K$5:$T$36,10)</f>
        <v>-2.9387386796526474E-39</v>
      </c>
      <c r="F175" s="9" t="str">
        <f>VLOOKUP($C175,Overall!$K$5:$T$36,6)</f>
        <v>10000000001000000000000000000010</v>
      </c>
      <c r="G175" s="8">
        <v>32</v>
      </c>
      <c r="H175" s="3" t="str">
        <f>VLOOKUP($G175,Overall!$K$5:$T$36,2)</f>
        <v>Normal</v>
      </c>
      <c r="I175" s="3">
        <f ca="1">VLOOKUP($G175,Overall!$K$5:$T$36,10)</f>
        <v>-3.4028234663852886E+38</v>
      </c>
      <c r="J175" s="62" t="str">
        <f>VLOOKUP($G175,Overall!$K$5:$T$36,6)</f>
        <v>11111111011111111111111111111111</v>
      </c>
      <c r="K175" s="8">
        <f t="shared" ca="1" si="18"/>
        <v>1.0000008940696148</v>
      </c>
      <c r="L175" s="62">
        <f>VLOOKUP($B175,Overall!$B$5:$I$13,8)</f>
        <v>0</v>
      </c>
      <c r="M175" s="58"/>
      <c r="N175" s="3" t="str">
        <f t="shared" si="19"/>
        <v/>
      </c>
      <c r="O175" s="3" t="str">
        <f t="shared" si="20"/>
        <v/>
      </c>
      <c r="P175" s="3" t="str">
        <f t="shared" si="21"/>
        <v/>
      </c>
      <c r="Q175" s="3">
        <f t="shared" si="22"/>
        <v>0</v>
      </c>
      <c r="R175" s="3">
        <f t="shared" si="23"/>
        <v>0</v>
      </c>
      <c r="S175" s="3" t="e" cm="1">
        <f t="array" aca="1" ref="S175" ca="1">SUMPRODUCT(MID($P175,ROW(INDIRECT("1:23")),1)*2^(-ROW(INDIRECT("1:23"))))</f>
        <v>#VALUE!</v>
      </c>
      <c r="T175" s="3" t="e">
        <f t="shared" ca="1" si="24"/>
        <v>#VALUE!</v>
      </c>
      <c r="U175" s="3" t="e">
        <f t="shared" ca="1" si="25"/>
        <v>#VALUE!</v>
      </c>
      <c r="V175" s="73"/>
      <c r="W175" s="9" t="str">
        <f t="shared" si="26"/>
        <v>OK</v>
      </c>
    </row>
    <row r="176" spans="1:23" x14ac:dyDescent="0.3">
      <c r="A176" s="44">
        <v>173</v>
      </c>
      <c r="B176" s="14">
        <v>3</v>
      </c>
      <c r="C176" s="4">
        <v>6</v>
      </c>
      <c r="D176" s="3" t="str">
        <f>VLOOKUP($C176,Overall!$K$5:$T$36,2)</f>
        <v>Underflow</v>
      </c>
      <c r="E176" s="3">
        <f ca="1">VLOOKUP($C176,Overall!$K$5:$T$36,10)</f>
        <v>-1.1754942106924411E-38</v>
      </c>
      <c r="F176" s="9" t="str">
        <f>VLOOKUP($C176,Overall!$K$5:$T$36,6)</f>
        <v>10000000011111111111111111111111</v>
      </c>
      <c r="G176" s="8">
        <v>13</v>
      </c>
      <c r="H176" s="3" t="str">
        <f>VLOOKUP($G176,Overall!$K$5:$T$36,2)</f>
        <v>Normal</v>
      </c>
      <c r="I176" s="3">
        <f ca="1">VLOOKUP($G176,Overall!$K$5:$T$36,10)</f>
        <v>0</v>
      </c>
      <c r="J176" s="62" t="str">
        <f>VLOOKUP($G176,Overall!$K$5:$T$36,6)</f>
        <v>00000000000000000000000000000000</v>
      </c>
      <c r="K176" s="8">
        <f t="shared" ca="1" si="18"/>
        <v>0</v>
      </c>
      <c r="L176" s="62">
        <f>VLOOKUP($B176,Overall!$B$5:$I$13,8)</f>
        <v>0</v>
      </c>
      <c r="M176" s="58"/>
      <c r="N176" s="3" t="str">
        <f t="shared" si="19"/>
        <v/>
      </c>
      <c r="O176" s="3" t="str">
        <f t="shared" si="20"/>
        <v/>
      </c>
      <c r="P176" s="3" t="str">
        <f t="shared" si="21"/>
        <v/>
      </c>
      <c r="Q176" s="3">
        <f t="shared" si="22"/>
        <v>0</v>
      </c>
      <c r="R176" s="3">
        <f t="shared" si="23"/>
        <v>0</v>
      </c>
      <c r="S176" s="3" t="e" cm="1">
        <f t="array" aca="1" ref="S176" ca="1">SUMPRODUCT(MID($P176,ROW(INDIRECT("1:23")),1)*2^(-ROW(INDIRECT("1:23"))))</f>
        <v>#VALUE!</v>
      </c>
      <c r="T176" s="3" t="e">
        <f t="shared" ca="1" si="24"/>
        <v>#VALUE!</v>
      </c>
      <c r="U176" s="3" t="e">
        <f t="shared" ca="1" si="25"/>
        <v>#VALUE!</v>
      </c>
      <c r="V176" s="73"/>
      <c r="W176" s="9" t="str">
        <f t="shared" si="26"/>
        <v>OK</v>
      </c>
    </row>
    <row r="177" spans="1:23" x14ac:dyDescent="0.3">
      <c r="A177" s="44">
        <v>174</v>
      </c>
      <c r="B177" s="14">
        <v>3</v>
      </c>
      <c r="C177" s="4">
        <v>6</v>
      </c>
      <c r="D177" s="3" t="str">
        <f>VLOOKUP($C177,Overall!$K$5:$T$36,2)</f>
        <v>Underflow</v>
      </c>
      <c r="E177" s="3">
        <f ca="1">VLOOKUP($C177,Overall!$K$5:$T$36,10)</f>
        <v>-1.1754942106924411E-38</v>
      </c>
      <c r="F177" s="9" t="str">
        <f>VLOOKUP($C177,Overall!$K$5:$T$36,6)</f>
        <v>10000000011111111111111111111111</v>
      </c>
      <c r="G177" s="8">
        <v>14</v>
      </c>
      <c r="H177" s="3" t="str">
        <f>VLOOKUP($G177,Overall!$K$5:$T$36,2)</f>
        <v>Normal</v>
      </c>
      <c r="I177" s="3">
        <f ca="1">VLOOKUP($G177,Overall!$K$5:$T$36,10)</f>
        <v>0</v>
      </c>
      <c r="J177" s="62" t="str">
        <f>VLOOKUP($G177,Overall!$K$5:$T$36,6)</f>
        <v>10000000000000000000000000000000</v>
      </c>
      <c r="K177" s="8">
        <f t="shared" ca="1" si="18"/>
        <v>0</v>
      </c>
      <c r="L177" s="62">
        <f>VLOOKUP($B177,Overall!$B$5:$I$13,8)</f>
        <v>0</v>
      </c>
      <c r="M177" s="58"/>
      <c r="N177" s="3" t="str">
        <f t="shared" si="19"/>
        <v/>
      </c>
      <c r="O177" s="3" t="str">
        <f t="shared" si="20"/>
        <v/>
      </c>
      <c r="P177" s="3" t="str">
        <f t="shared" si="21"/>
        <v/>
      </c>
      <c r="Q177" s="3">
        <f t="shared" si="22"/>
        <v>0</v>
      </c>
      <c r="R177" s="3">
        <f t="shared" si="23"/>
        <v>0</v>
      </c>
      <c r="S177" s="3" t="e" cm="1">
        <f t="array" aca="1" ref="S177" ca="1">SUMPRODUCT(MID($P177,ROW(INDIRECT("1:23")),1)*2^(-ROW(INDIRECT("1:23"))))</f>
        <v>#VALUE!</v>
      </c>
      <c r="T177" s="3" t="e">
        <f t="shared" ca="1" si="24"/>
        <v>#VALUE!</v>
      </c>
      <c r="U177" s="3" t="e">
        <f t="shared" ca="1" si="25"/>
        <v>#VALUE!</v>
      </c>
      <c r="V177" s="73"/>
      <c r="W177" s="9" t="str">
        <f t="shared" si="26"/>
        <v>OK</v>
      </c>
    </row>
    <row r="178" spans="1:23" x14ac:dyDescent="0.3">
      <c r="A178" s="44">
        <v>175</v>
      </c>
      <c r="B178" s="14">
        <v>3</v>
      </c>
      <c r="C178" s="4">
        <v>6</v>
      </c>
      <c r="D178" s="3" t="str">
        <f>VLOOKUP($C178,Overall!$K$5:$T$36,2)</f>
        <v>Underflow</v>
      </c>
      <c r="E178" s="3">
        <f ca="1">VLOOKUP($C178,Overall!$K$5:$T$36,10)</f>
        <v>-1.1754942106924411E-38</v>
      </c>
      <c r="F178" s="9" t="str">
        <f>VLOOKUP($C178,Overall!$K$5:$T$36,6)</f>
        <v>10000000011111111111111111111111</v>
      </c>
      <c r="G178" s="8">
        <v>15</v>
      </c>
      <c r="H178" s="3" t="str">
        <f>VLOOKUP($G178,Overall!$K$5:$T$36,2)</f>
        <v>Normal</v>
      </c>
      <c r="I178" s="3">
        <f ca="1">VLOOKUP($G178,Overall!$K$5:$T$36,10)</f>
        <v>1.1754943508222875E-38</v>
      </c>
      <c r="J178" s="62" t="str">
        <f>VLOOKUP($G178,Overall!$K$5:$T$36,6)</f>
        <v>00000000100000000000000000000000</v>
      </c>
      <c r="K178" s="8">
        <f t="shared" ca="1" si="18"/>
        <v>-1.3817868040932683E-76</v>
      </c>
      <c r="L178" s="62">
        <f>VLOOKUP($B178,Overall!$B$5:$I$13,8)</f>
        <v>0</v>
      </c>
      <c r="M178" s="58"/>
      <c r="N178" s="3" t="str">
        <f t="shared" si="19"/>
        <v/>
      </c>
      <c r="O178" s="3" t="str">
        <f t="shared" si="20"/>
        <v/>
      </c>
      <c r="P178" s="3" t="str">
        <f t="shared" si="21"/>
        <v/>
      </c>
      <c r="Q178" s="3">
        <f t="shared" si="22"/>
        <v>0</v>
      </c>
      <c r="R178" s="3">
        <f t="shared" si="23"/>
        <v>0</v>
      </c>
      <c r="S178" s="3" t="e" cm="1">
        <f t="array" aca="1" ref="S178" ca="1">SUMPRODUCT(MID($P178,ROW(INDIRECT("1:23")),1)*2^(-ROW(INDIRECT("1:23"))))</f>
        <v>#VALUE!</v>
      </c>
      <c r="T178" s="3" t="e">
        <f t="shared" ca="1" si="24"/>
        <v>#VALUE!</v>
      </c>
      <c r="U178" s="3" t="e">
        <f t="shared" ca="1" si="25"/>
        <v>#VALUE!</v>
      </c>
      <c r="V178" s="73"/>
      <c r="W178" s="9" t="str">
        <f t="shared" si="26"/>
        <v>OK</v>
      </c>
    </row>
    <row r="179" spans="1:23" x14ac:dyDescent="0.3">
      <c r="A179" s="44">
        <v>176</v>
      </c>
      <c r="B179" s="14">
        <v>3</v>
      </c>
      <c r="C179" s="4">
        <v>6</v>
      </c>
      <c r="D179" s="3" t="str">
        <f>VLOOKUP($C179,Overall!$K$5:$T$36,2)</f>
        <v>Underflow</v>
      </c>
      <c r="E179" s="3">
        <f ca="1">VLOOKUP($C179,Overall!$K$5:$T$36,10)</f>
        <v>-1.1754942106924411E-38</v>
      </c>
      <c r="F179" s="9" t="str">
        <f>VLOOKUP($C179,Overall!$K$5:$T$36,6)</f>
        <v>10000000011111111111111111111111</v>
      </c>
      <c r="G179" s="8">
        <v>16</v>
      </c>
      <c r="H179" s="3" t="str">
        <f>VLOOKUP($G179,Overall!$K$5:$T$36,2)</f>
        <v>Normal</v>
      </c>
      <c r="I179" s="3">
        <f ca="1">VLOOKUP($G179,Overall!$K$5:$T$36,10)</f>
        <v>1.1754944909521339E-38</v>
      </c>
      <c r="J179" s="62" t="str">
        <f>VLOOKUP($G179,Overall!$K$5:$T$36,6)</f>
        <v>00000000100000000000000000000001</v>
      </c>
      <c r="K179" s="8">
        <f t="shared" ca="1" si="18"/>
        <v>-1.3817869688150915E-76</v>
      </c>
      <c r="L179" s="62">
        <f>VLOOKUP($B179,Overall!$B$5:$I$13,8)</f>
        <v>0</v>
      </c>
      <c r="M179" s="58"/>
      <c r="N179" s="3" t="str">
        <f t="shared" si="19"/>
        <v/>
      </c>
      <c r="O179" s="3" t="str">
        <f t="shared" si="20"/>
        <v/>
      </c>
      <c r="P179" s="3" t="str">
        <f t="shared" si="21"/>
        <v/>
      </c>
      <c r="Q179" s="3">
        <f t="shared" si="22"/>
        <v>0</v>
      </c>
      <c r="R179" s="3">
        <f t="shared" si="23"/>
        <v>0</v>
      </c>
      <c r="S179" s="3" t="e" cm="1">
        <f t="array" aca="1" ref="S179" ca="1">SUMPRODUCT(MID($P179,ROW(INDIRECT("1:23")),1)*2^(-ROW(INDIRECT("1:23"))))</f>
        <v>#VALUE!</v>
      </c>
      <c r="T179" s="3" t="e">
        <f t="shared" ca="1" si="24"/>
        <v>#VALUE!</v>
      </c>
      <c r="U179" s="3" t="e">
        <f t="shared" ca="1" si="25"/>
        <v>#VALUE!</v>
      </c>
      <c r="V179" s="73"/>
      <c r="W179" s="9" t="str">
        <f t="shared" si="26"/>
        <v>OK</v>
      </c>
    </row>
    <row r="180" spans="1:23" x14ac:dyDescent="0.3">
      <c r="A180" s="44">
        <v>177</v>
      </c>
      <c r="B180" s="14">
        <v>3</v>
      </c>
      <c r="C180" s="4">
        <v>6</v>
      </c>
      <c r="D180" s="3" t="str">
        <f>VLOOKUP($C180,Overall!$K$5:$T$36,2)</f>
        <v>Underflow</v>
      </c>
      <c r="E180" s="3">
        <f ca="1">VLOOKUP($C180,Overall!$K$5:$T$36,10)</f>
        <v>-1.1754942106924411E-38</v>
      </c>
      <c r="F180" s="9" t="str">
        <f>VLOOKUP($C180,Overall!$K$5:$T$36,6)</f>
        <v>10000000011111111111111111111111</v>
      </c>
      <c r="G180" s="8">
        <v>17</v>
      </c>
      <c r="H180" s="3" t="str">
        <f>VLOOKUP($G180,Overall!$K$5:$T$36,2)</f>
        <v>Normal</v>
      </c>
      <c r="I180" s="3">
        <f ca="1">VLOOKUP($G180,Overall!$K$5:$T$36,10)</f>
        <v>0.5</v>
      </c>
      <c r="J180" s="62" t="str">
        <f>VLOOKUP($G180,Overall!$K$5:$T$36,6)</f>
        <v>00111111000000000000000000000000</v>
      </c>
      <c r="K180" s="8">
        <f t="shared" ca="1" si="18"/>
        <v>-5.8774710534622054E-39</v>
      </c>
      <c r="L180" s="62">
        <f>VLOOKUP($B180,Overall!$B$5:$I$13,8)</f>
        <v>0</v>
      </c>
      <c r="M180" s="58"/>
      <c r="N180" s="3" t="str">
        <f t="shared" si="19"/>
        <v/>
      </c>
      <c r="O180" s="3" t="str">
        <f t="shared" si="20"/>
        <v/>
      </c>
      <c r="P180" s="3" t="str">
        <f t="shared" si="21"/>
        <v/>
      </c>
      <c r="Q180" s="3">
        <f t="shared" si="22"/>
        <v>0</v>
      </c>
      <c r="R180" s="3">
        <f t="shared" si="23"/>
        <v>0</v>
      </c>
      <c r="S180" s="3" t="e" cm="1">
        <f t="array" aca="1" ref="S180" ca="1">SUMPRODUCT(MID($P180,ROW(INDIRECT("1:23")),1)*2^(-ROW(INDIRECT("1:23"))))</f>
        <v>#VALUE!</v>
      </c>
      <c r="T180" s="3" t="e">
        <f t="shared" ca="1" si="24"/>
        <v>#VALUE!</v>
      </c>
      <c r="U180" s="3" t="e">
        <f t="shared" ca="1" si="25"/>
        <v>#VALUE!</v>
      </c>
      <c r="V180" s="73"/>
      <c r="W180" s="9" t="str">
        <f t="shared" si="26"/>
        <v>OK</v>
      </c>
    </row>
    <row r="181" spans="1:23" x14ac:dyDescent="0.3">
      <c r="A181" s="44">
        <v>178</v>
      </c>
      <c r="B181" s="14">
        <v>3</v>
      </c>
      <c r="C181" s="4">
        <v>6</v>
      </c>
      <c r="D181" s="3" t="str">
        <f>VLOOKUP($C181,Overall!$K$5:$T$36,2)</f>
        <v>Underflow</v>
      </c>
      <c r="E181" s="3">
        <f ca="1">VLOOKUP($C181,Overall!$K$5:$T$36,10)</f>
        <v>-1.1754942106924411E-38</v>
      </c>
      <c r="F181" s="9" t="str">
        <f>VLOOKUP($C181,Overall!$K$5:$T$36,6)</f>
        <v>10000000011111111111111111111111</v>
      </c>
      <c r="G181" s="8">
        <v>18</v>
      </c>
      <c r="H181" s="3" t="str">
        <f>VLOOKUP($G181,Overall!$K$5:$T$36,2)</f>
        <v>Normal</v>
      </c>
      <c r="I181" s="3">
        <f ca="1">VLOOKUP($G181,Overall!$K$5:$T$36,10)</f>
        <v>1</v>
      </c>
      <c r="J181" s="62" t="str">
        <f>VLOOKUP($G181,Overall!$K$5:$T$36,6)</f>
        <v>00111111100000000000000000000000</v>
      </c>
      <c r="K181" s="8">
        <f t="shared" ca="1" si="18"/>
        <v>-1.1754942106924411E-38</v>
      </c>
      <c r="L181" s="62">
        <f>VLOOKUP($B181,Overall!$B$5:$I$13,8)</f>
        <v>0</v>
      </c>
      <c r="M181" s="58"/>
      <c r="N181" s="3" t="str">
        <f t="shared" si="19"/>
        <v/>
      </c>
      <c r="O181" s="3" t="str">
        <f t="shared" si="20"/>
        <v/>
      </c>
      <c r="P181" s="3" t="str">
        <f t="shared" si="21"/>
        <v/>
      </c>
      <c r="Q181" s="3">
        <f t="shared" si="22"/>
        <v>0</v>
      </c>
      <c r="R181" s="3">
        <f t="shared" si="23"/>
        <v>0</v>
      </c>
      <c r="S181" s="3" t="e" cm="1">
        <f t="array" aca="1" ref="S181" ca="1">SUMPRODUCT(MID($P181,ROW(INDIRECT("1:23")),1)*2^(-ROW(INDIRECT("1:23"))))</f>
        <v>#VALUE!</v>
      </c>
      <c r="T181" s="3" t="e">
        <f t="shared" ca="1" si="24"/>
        <v>#VALUE!</v>
      </c>
      <c r="U181" s="3" t="e">
        <f t="shared" ca="1" si="25"/>
        <v>#VALUE!</v>
      </c>
      <c r="V181" s="73"/>
      <c r="W181" s="9" t="str">
        <f t="shared" si="26"/>
        <v>OK</v>
      </c>
    </row>
    <row r="182" spans="1:23" x14ac:dyDescent="0.3">
      <c r="A182" s="44">
        <v>179</v>
      </c>
      <c r="B182" s="14">
        <v>3</v>
      </c>
      <c r="C182" s="4">
        <v>6</v>
      </c>
      <c r="D182" s="3" t="str">
        <f>VLOOKUP($C182,Overall!$K$5:$T$36,2)</f>
        <v>Underflow</v>
      </c>
      <c r="E182" s="3">
        <f ca="1">VLOOKUP($C182,Overall!$K$5:$T$36,10)</f>
        <v>-1.1754942106924411E-38</v>
      </c>
      <c r="F182" s="9" t="str">
        <f>VLOOKUP($C182,Overall!$K$5:$T$36,6)</f>
        <v>10000000011111111111111111111111</v>
      </c>
      <c r="G182" s="8">
        <v>19</v>
      </c>
      <c r="H182" s="3" t="str">
        <f>VLOOKUP($G182,Overall!$K$5:$T$36,2)</f>
        <v>Normal</v>
      </c>
      <c r="I182" s="3">
        <f ca="1">VLOOKUP($G182,Overall!$K$5:$T$36,10)</f>
        <v>1.5</v>
      </c>
      <c r="J182" s="62" t="str">
        <f>VLOOKUP($G182,Overall!$K$5:$T$36,6)</f>
        <v>00111111110000000000000000000000</v>
      </c>
      <c r="K182" s="8">
        <f t="shared" ca="1" si="18"/>
        <v>-1.7632413160386616E-38</v>
      </c>
      <c r="L182" s="62">
        <f>VLOOKUP($B182,Overall!$B$5:$I$13,8)</f>
        <v>0</v>
      </c>
      <c r="M182" s="58"/>
      <c r="N182" s="3" t="str">
        <f t="shared" si="19"/>
        <v/>
      </c>
      <c r="O182" s="3" t="str">
        <f t="shared" si="20"/>
        <v/>
      </c>
      <c r="P182" s="3" t="str">
        <f t="shared" si="21"/>
        <v/>
      </c>
      <c r="Q182" s="3">
        <f t="shared" si="22"/>
        <v>0</v>
      </c>
      <c r="R182" s="3">
        <f t="shared" si="23"/>
        <v>0</v>
      </c>
      <c r="S182" s="3" t="e" cm="1">
        <f t="array" aca="1" ref="S182" ca="1">SUMPRODUCT(MID($P182,ROW(INDIRECT("1:23")),1)*2^(-ROW(INDIRECT("1:23"))))</f>
        <v>#VALUE!</v>
      </c>
      <c r="T182" s="3" t="e">
        <f t="shared" ca="1" si="24"/>
        <v>#VALUE!</v>
      </c>
      <c r="U182" s="3" t="e">
        <f t="shared" ca="1" si="25"/>
        <v>#VALUE!</v>
      </c>
      <c r="V182" s="73"/>
      <c r="W182" s="9" t="str">
        <f t="shared" si="26"/>
        <v>OK</v>
      </c>
    </row>
    <row r="183" spans="1:23" x14ac:dyDescent="0.3">
      <c r="A183" s="44">
        <v>180</v>
      </c>
      <c r="B183" s="14">
        <v>3</v>
      </c>
      <c r="C183" s="4">
        <v>6</v>
      </c>
      <c r="D183" s="3" t="str">
        <f>VLOOKUP($C183,Overall!$K$5:$T$36,2)</f>
        <v>Underflow</v>
      </c>
      <c r="E183" s="3">
        <f ca="1">VLOOKUP($C183,Overall!$K$5:$T$36,10)</f>
        <v>-1.1754942106924411E-38</v>
      </c>
      <c r="F183" s="9" t="str">
        <f>VLOOKUP($C183,Overall!$K$5:$T$36,6)</f>
        <v>10000000011111111111111111111111</v>
      </c>
      <c r="G183" s="8">
        <v>20</v>
      </c>
      <c r="H183" s="3" t="str">
        <f>VLOOKUP($G183,Overall!$K$5:$T$36,2)</f>
        <v>Normal</v>
      </c>
      <c r="I183" s="3">
        <f ca="1">VLOOKUP($G183,Overall!$K$5:$T$36,10)</f>
        <v>12345.6787109375</v>
      </c>
      <c r="J183" s="62" t="str">
        <f>VLOOKUP($G183,Overall!$K$5:$T$36,6)</f>
        <v>001000110010000001110011010110111</v>
      </c>
      <c r="K183" s="8">
        <f t="shared" ca="1" si="18"/>
        <v>-1.451227385177595E-34</v>
      </c>
      <c r="L183" s="62">
        <f>VLOOKUP($B183,Overall!$B$5:$I$13,8)</f>
        <v>0</v>
      </c>
      <c r="M183" s="58"/>
      <c r="N183" s="3" t="str">
        <f t="shared" si="19"/>
        <v/>
      </c>
      <c r="O183" s="3" t="str">
        <f t="shared" si="20"/>
        <v/>
      </c>
      <c r="P183" s="3" t="str">
        <f t="shared" si="21"/>
        <v/>
      </c>
      <c r="Q183" s="3">
        <f t="shared" si="22"/>
        <v>0</v>
      </c>
      <c r="R183" s="3">
        <f t="shared" si="23"/>
        <v>0</v>
      </c>
      <c r="S183" s="3" t="e" cm="1">
        <f t="array" aca="1" ref="S183" ca="1">SUMPRODUCT(MID($P183,ROW(INDIRECT("1:23")),1)*2^(-ROW(INDIRECT("1:23"))))</f>
        <v>#VALUE!</v>
      </c>
      <c r="T183" s="3" t="e">
        <f t="shared" ca="1" si="24"/>
        <v>#VALUE!</v>
      </c>
      <c r="U183" s="3" t="e">
        <f t="shared" ca="1" si="25"/>
        <v>#VALUE!</v>
      </c>
      <c r="V183" s="73"/>
      <c r="W183" s="9" t="str">
        <f t="shared" si="26"/>
        <v>OK</v>
      </c>
    </row>
    <row r="184" spans="1:23" x14ac:dyDescent="0.3">
      <c r="A184" s="44">
        <v>181</v>
      </c>
      <c r="B184" s="14">
        <v>3</v>
      </c>
      <c r="C184" s="4">
        <v>6</v>
      </c>
      <c r="D184" s="3" t="str">
        <f>VLOOKUP($C184,Overall!$K$5:$T$36,2)</f>
        <v>Underflow</v>
      </c>
      <c r="E184" s="3">
        <f ca="1">VLOOKUP($C184,Overall!$K$5:$T$36,10)</f>
        <v>-1.1754942106924411E-38</v>
      </c>
      <c r="F184" s="9" t="str">
        <f>VLOOKUP($C184,Overall!$K$5:$T$36,6)</f>
        <v>10000000011111111111111111111111</v>
      </c>
      <c r="G184" s="8">
        <v>21</v>
      </c>
      <c r="H184" s="3" t="str">
        <f>VLOOKUP($G184,Overall!$K$5:$T$36,2)</f>
        <v>Normal</v>
      </c>
      <c r="I184" s="3">
        <f ca="1">VLOOKUP($G184,Overall!$K$5:$T$36,10)</f>
        <v>2.345678924830959E+38</v>
      </c>
      <c r="J184" s="62" t="str">
        <f>VLOOKUP($G184,Overall!$K$5:$T$36,6)</f>
        <v>01111111001100000111100000100010</v>
      </c>
      <c r="K184" s="8">
        <f t="shared" ca="1" si="18"/>
        <v>-2.7573319962820619</v>
      </c>
      <c r="L184" s="62">
        <f>VLOOKUP($B184,Overall!$B$5:$I$13,8)</f>
        <v>0</v>
      </c>
      <c r="M184" s="58"/>
      <c r="N184" s="3" t="str">
        <f t="shared" si="19"/>
        <v/>
      </c>
      <c r="O184" s="3" t="str">
        <f t="shared" si="20"/>
        <v/>
      </c>
      <c r="P184" s="3" t="str">
        <f t="shared" si="21"/>
        <v/>
      </c>
      <c r="Q184" s="3">
        <f t="shared" si="22"/>
        <v>0</v>
      </c>
      <c r="R184" s="3">
        <f t="shared" si="23"/>
        <v>0</v>
      </c>
      <c r="S184" s="3" t="e" cm="1">
        <f t="array" aca="1" ref="S184" ca="1">SUMPRODUCT(MID($P184,ROW(INDIRECT("1:23")),1)*2^(-ROW(INDIRECT("1:23"))))</f>
        <v>#VALUE!</v>
      </c>
      <c r="T184" s="3" t="e">
        <f t="shared" ca="1" si="24"/>
        <v>#VALUE!</v>
      </c>
      <c r="U184" s="3" t="e">
        <f t="shared" ca="1" si="25"/>
        <v>#VALUE!</v>
      </c>
      <c r="V184" s="73"/>
      <c r="W184" s="9" t="str">
        <f t="shared" si="26"/>
        <v>OK</v>
      </c>
    </row>
    <row r="185" spans="1:23" x14ac:dyDescent="0.3">
      <c r="A185" s="44">
        <v>182</v>
      </c>
      <c r="B185" s="14">
        <v>3</v>
      </c>
      <c r="C185" s="4">
        <v>6</v>
      </c>
      <c r="D185" s="3" t="str">
        <f>VLOOKUP($C185,Overall!$K$5:$T$36,2)</f>
        <v>Underflow</v>
      </c>
      <c r="E185" s="3">
        <f ca="1">VLOOKUP($C185,Overall!$K$5:$T$36,10)</f>
        <v>-1.1754942106924411E-38</v>
      </c>
      <c r="F185" s="9" t="str">
        <f>VLOOKUP($C185,Overall!$K$5:$T$36,6)</f>
        <v>10000000011111111111111111111111</v>
      </c>
      <c r="G185" s="8">
        <v>22</v>
      </c>
      <c r="H185" s="3" t="str">
        <f>VLOOKUP($G185,Overall!$K$5:$T$36,2)</f>
        <v>Normal</v>
      </c>
      <c r="I185" s="3">
        <f ca="1">VLOOKUP($G185,Overall!$K$5:$T$36,10)</f>
        <v>3.4028232635611926E+38</v>
      </c>
      <c r="J185" s="62" t="str">
        <f>VLOOKUP($G185,Overall!$K$5:$T$36,6)</f>
        <v>01111111011111111111111111111110</v>
      </c>
      <c r="K185" s="8">
        <f t="shared" ca="1" si="18"/>
        <v>-3.9999990463257404</v>
      </c>
      <c r="L185" s="62">
        <f>VLOOKUP($B185,Overall!$B$5:$I$13,8)</f>
        <v>0</v>
      </c>
      <c r="M185" s="58"/>
      <c r="N185" s="3" t="str">
        <f t="shared" si="19"/>
        <v/>
      </c>
      <c r="O185" s="3" t="str">
        <f t="shared" si="20"/>
        <v/>
      </c>
      <c r="P185" s="3" t="str">
        <f t="shared" si="21"/>
        <v/>
      </c>
      <c r="Q185" s="3">
        <f t="shared" si="22"/>
        <v>0</v>
      </c>
      <c r="R185" s="3">
        <f t="shared" si="23"/>
        <v>0</v>
      </c>
      <c r="S185" s="3" t="e" cm="1">
        <f t="array" aca="1" ref="S185" ca="1">SUMPRODUCT(MID($P185,ROW(INDIRECT("1:23")),1)*2^(-ROW(INDIRECT("1:23"))))</f>
        <v>#VALUE!</v>
      </c>
      <c r="T185" s="3" t="e">
        <f t="shared" ca="1" si="24"/>
        <v>#VALUE!</v>
      </c>
      <c r="U185" s="3" t="e">
        <f t="shared" ca="1" si="25"/>
        <v>#VALUE!</v>
      </c>
      <c r="V185" s="73"/>
      <c r="W185" s="9" t="str">
        <f t="shared" si="26"/>
        <v>OK</v>
      </c>
    </row>
    <row r="186" spans="1:23" x14ac:dyDescent="0.3">
      <c r="A186" s="44">
        <v>183</v>
      </c>
      <c r="B186" s="14">
        <v>3</v>
      </c>
      <c r="C186" s="4">
        <v>6</v>
      </c>
      <c r="D186" s="3" t="str">
        <f>VLOOKUP($C186,Overall!$K$5:$T$36,2)</f>
        <v>Underflow</v>
      </c>
      <c r="E186" s="3">
        <f ca="1">VLOOKUP($C186,Overall!$K$5:$T$36,10)</f>
        <v>-1.1754942106924411E-38</v>
      </c>
      <c r="F186" s="9" t="str">
        <f>VLOOKUP($C186,Overall!$K$5:$T$36,6)</f>
        <v>10000000011111111111111111111111</v>
      </c>
      <c r="G186" s="8">
        <v>23</v>
      </c>
      <c r="H186" s="3" t="str">
        <f>VLOOKUP($G186,Overall!$K$5:$T$36,2)</f>
        <v>Normal</v>
      </c>
      <c r="I186" s="3">
        <f ca="1">VLOOKUP($G186,Overall!$K$5:$T$36,10)</f>
        <v>3.4028234663852886E+38</v>
      </c>
      <c r="J186" s="62" t="str">
        <f>VLOOKUP($G186,Overall!$K$5:$T$36,6)</f>
        <v>01111111011111111111111111111111</v>
      </c>
      <c r="K186" s="8">
        <f t="shared" ca="1" si="18"/>
        <v>-3.9999992847442911</v>
      </c>
      <c r="L186" s="62">
        <f>VLOOKUP($B186,Overall!$B$5:$I$13,8)</f>
        <v>0</v>
      </c>
      <c r="M186" s="58"/>
      <c r="N186" s="3" t="str">
        <f t="shared" si="19"/>
        <v/>
      </c>
      <c r="O186" s="3" t="str">
        <f t="shared" si="20"/>
        <v/>
      </c>
      <c r="P186" s="3" t="str">
        <f t="shared" si="21"/>
        <v/>
      </c>
      <c r="Q186" s="3">
        <f t="shared" si="22"/>
        <v>0</v>
      </c>
      <c r="R186" s="3">
        <f t="shared" si="23"/>
        <v>0</v>
      </c>
      <c r="S186" s="3" t="e" cm="1">
        <f t="array" aca="1" ref="S186" ca="1">SUMPRODUCT(MID($P186,ROW(INDIRECT("1:23")),1)*2^(-ROW(INDIRECT("1:23"))))</f>
        <v>#VALUE!</v>
      </c>
      <c r="T186" s="3" t="e">
        <f t="shared" ca="1" si="24"/>
        <v>#VALUE!</v>
      </c>
      <c r="U186" s="3" t="e">
        <f t="shared" ca="1" si="25"/>
        <v>#VALUE!</v>
      </c>
      <c r="V186" s="73"/>
      <c r="W186" s="9" t="str">
        <f t="shared" si="26"/>
        <v>OK</v>
      </c>
    </row>
    <row r="187" spans="1:23" x14ac:dyDescent="0.3">
      <c r="A187" s="44">
        <v>184</v>
      </c>
      <c r="B187" s="14">
        <v>3</v>
      </c>
      <c r="C187" s="4">
        <v>6</v>
      </c>
      <c r="D187" s="3" t="str">
        <f>VLOOKUP($C187,Overall!$K$5:$T$36,2)</f>
        <v>Underflow</v>
      </c>
      <c r="E187" s="3">
        <f ca="1">VLOOKUP($C187,Overall!$K$5:$T$36,10)</f>
        <v>-1.1754942106924411E-38</v>
      </c>
      <c r="F187" s="9" t="str">
        <f>VLOOKUP($C187,Overall!$K$5:$T$36,6)</f>
        <v>10000000011111111111111111111111</v>
      </c>
      <c r="G187" s="8">
        <v>24</v>
      </c>
      <c r="H187" s="3" t="str">
        <f>VLOOKUP($G187,Overall!$K$5:$T$36,2)</f>
        <v>Normal</v>
      </c>
      <c r="I187" s="3">
        <f ca="1">VLOOKUP($G187,Overall!$K$5:$T$36,10)</f>
        <v>-1.1754943508222875E-38</v>
      </c>
      <c r="J187" s="62" t="str">
        <f>VLOOKUP($G187,Overall!$K$5:$T$36,6)</f>
        <v>10000000100000000000000000000000</v>
      </c>
      <c r="K187" s="8">
        <f t="shared" ca="1" si="18"/>
        <v>1.3817868040932683E-76</v>
      </c>
      <c r="L187" s="62">
        <f>VLOOKUP($B187,Overall!$B$5:$I$13,8)</f>
        <v>0</v>
      </c>
      <c r="M187" s="58"/>
      <c r="N187" s="3" t="str">
        <f t="shared" si="19"/>
        <v/>
      </c>
      <c r="O187" s="3" t="str">
        <f t="shared" si="20"/>
        <v/>
      </c>
      <c r="P187" s="3" t="str">
        <f t="shared" si="21"/>
        <v/>
      </c>
      <c r="Q187" s="3">
        <f t="shared" si="22"/>
        <v>0</v>
      </c>
      <c r="R187" s="3">
        <f t="shared" si="23"/>
        <v>0</v>
      </c>
      <c r="S187" s="3" t="e" cm="1">
        <f t="array" aca="1" ref="S187" ca="1">SUMPRODUCT(MID($P187,ROW(INDIRECT("1:23")),1)*2^(-ROW(INDIRECT("1:23"))))</f>
        <v>#VALUE!</v>
      </c>
      <c r="T187" s="3" t="e">
        <f t="shared" ca="1" si="24"/>
        <v>#VALUE!</v>
      </c>
      <c r="U187" s="3" t="e">
        <f t="shared" ca="1" si="25"/>
        <v>#VALUE!</v>
      </c>
      <c r="V187" s="73"/>
      <c r="W187" s="9" t="str">
        <f t="shared" si="26"/>
        <v>OK</v>
      </c>
    </row>
    <row r="188" spans="1:23" x14ac:dyDescent="0.3">
      <c r="A188" s="44">
        <v>185</v>
      </c>
      <c r="B188" s="14">
        <v>3</v>
      </c>
      <c r="C188" s="4">
        <v>6</v>
      </c>
      <c r="D188" s="3" t="str">
        <f>VLOOKUP($C188,Overall!$K$5:$T$36,2)</f>
        <v>Underflow</v>
      </c>
      <c r="E188" s="3">
        <f ca="1">VLOOKUP($C188,Overall!$K$5:$T$36,10)</f>
        <v>-1.1754942106924411E-38</v>
      </c>
      <c r="F188" s="9" t="str">
        <f>VLOOKUP($C188,Overall!$K$5:$T$36,6)</f>
        <v>10000000011111111111111111111111</v>
      </c>
      <c r="G188" s="8">
        <v>25</v>
      </c>
      <c r="H188" s="3" t="str">
        <f>VLOOKUP($G188,Overall!$K$5:$T$36,2)</f>
        <v>Normal</v>
      </c>
      <c r="I188" s="3">
        <f ca="1">VLOOKUP($G188,Overall!$K$5:$T$36,10)</f>
        <v>-1.1754944909521339E-38</v>
      </c>
      <c r="J188" s="62" t="str">
        <f>VLOOKUP($G188,Overall!$K$5:$T$36,6)</f>
        <v>10000000100000000000000000000001</v>
      </c>
      <c r="K188" s="8">
        <f t="shared" ca="1" si="18"/>
        <v>1.3817869688150915E-76</v>
      </c>
      <c r="L188" s="62">
        <f>VLOOKUP($B188,Overall!$B$5:$I$13,8)</f>
        <v>0</v>
      </c>
      <c r="M188" s="58"/>
      <c r="N188" s="3" t="str">
        <f t="shared" si="19"/>
        <v/>
      </c>
      <c r="O188" s="3" t="str">
        <f t="shared" si="20"/>
        <v/>
      </c>
      <c r="P188" s="3" t="str">
        <f t="shared" si="21"/>
        <v/>
      </c>
      <c r="Q188" s="3">
        <f t="shared" si="22"/>
        <v>0</v>
      </c>
      <c r="R188" s="3">
        <f t="shared" si="23"/>
        <v>0</v>
      </c>
      <c r="S188" s="3" t="e" cm="1">
        <f t="array" aca="1" ref="S188" ca="1">SUMPRODUCT(MID($P188,ROW(INDIRECT("1:23")),1)*2^(-ROW(INDIRECT("1:23"))))</f>
        <v>#VALUE!</v>
      </c>
      <c r="T188" s="3" t="e">
        <f t="shared" ca="1" si="24"/>
        <v>#VALUE!</v>
      </c>
      <c r="U188" s="3" t="e">
        <f t="shared" ca="1" si="25"/>
        <v>#VALUE!</v>
      </c>
      <c r="V188" s="73"/>
      <c r="W188" s="9" t="str">
        <f t="shared" si="26"/>
        <v>OK</v>
      </c>
    </row>
    <row r="189" spans="1:23" x14ac:dyDescent="0.3">
      <c r="A189" s="44">
        <v>186</v>
      </c>
      <c r="B189" s="14">
        <v>3</v>
      </c>
      <c r="C189" s="4">
        <v>6</v>
      </c>
      <c r="D189" s="3" t="str">
        <f>VLOOKUP($C189,Overall!$K$5:$T$36,2)</f>
        <v>Underflow</v>
      </c>
      <c r="E189" s="3">
        <f ca="1">VLOOKUP($C189,Overall!$K$5:$T$36,10)</f>
        <v>-1.1754942106924411E-38</v>
      </c>
      <c r="F189" s="9" t="str">
        <f>VLOOKUP($C189,Overall!$K$5:$T$36,6)</f>
        <v>10000000011111111111111111111111</v>
      </c>
      <c r="G189" s="8">
        <v>26</v>
      </c>
      <c r="H189" s="3" t="str">
        <f>VLOOKUP($G189,Overall!$K$5:$T$36,2)</f>
        <v>Normal</v>
      </c>
      <c r="I189" s="3">
        <f ca="1">VLOOKUP($G189,Overall!$K$5:$T$36,10)</f>
        <v>-0.5</v>
      </c>
      <c r="J189" s="62" t="str">
        <f>VLOOKUP($G189,Overall!$K$5:$T$36,6)</f>
        <v>10111111000000000000000000000000</v>
      </c>
      <c r="K189" s="8">
        <f t="shared" ca="1" si="18"/>
        <v>5.8774710534622054E-39</v>
      </c>
      <c r="L189" s="62">
        <f>VLOOKUP($B189,Overall!$B$5:$I$13,8)</f>
        <v>0</v>
      </c>
      <c r="M189" s="58"/>
      <c r="N189" s="3" t="str">
        <f t="shared" si="19"/>
        <v/>
      </c>
      <c r="O189" s="3" t="str">
        <f t="shared" si="20"/>
        <v/>
      </c>
      <c r="P189" s="3" t="str">
        <f t="shared" si="21"/>
        <v/>
      </c>
      <c r="Q189" s="3">
        <f t="shared" si="22"/>
        <v>0</v>
      </c>
      <c r="R189" s="3">
        <f t="shared" si="23"/>
        <v>0</v>
      </c>
      <c r="S189" s="3" t="e" cm="1">
        <f t="array" aca="1" ref="S189" ca="1">SUMPRODUCT(MID($P189,ROW(INDIRECT("1:23")),1)*2^(-ROW(INDIRECT("1:23"))))</f>
        <v>#VALUE!</v>
      </c>
      <c r="T189" s="3" t="e">
        <f t="shared" ca="1" si="24"/>
        <v>#VALUE!</v>
      </c>
      <c r="U189" s="3" t="e">
        <f t="shared" ca="1" si="25"/>
        <v>#VALUE!</v>
      </c>
      <c r="V189" s="73"/>
      <c r="W189" s="9" t="str">
        <f t="shared" si="26"/>
        <v>OK</v>
      </c>
    </row>
    <row r="190" spans="1:23" x14ac:dyDescent="0.3">
      <c r="A190" s="44">
        <v>187</v>
      </c>
      <c r="B190" s="14">
        <v>3</v>
      </c>
      <c r="C190" s="4">
        <v>6</v>
      </c>
      <c r="D190" s="3" t="str">
        <f>VLOOKUP($C190,Overall!$K$5:$T$36,2)</f>
        <v>Underflow</v>
      </c>
      <c r="E190" s="3">
        <f ca="1">VLOOKUP($C190,Overall!$K$5:$T$36,10)</f>
        <v>-1.1754942106924411E-38</v>
      </c>
      <c r="F190" s="9" t="str">
        <f>VLOOKUP($C190,Overall!$K$5:$T$36,6)</f>
        <v>10000000011111111111111111111111</v>
      </c>
      <c r="G190" s="8">
        <v>27</v>
      </c>
      <c r="H190" s="3" t="str">
        <f>VLOOKUP($G190,Overall!$K$5:$T$36,2)</f>
        <v>Normal</v>
      </c>
      <c r="I190" s="3">
        <f ca="1">VLOOKUP($G190,Overall!$K$5:$T$36,10)</f>
        <v>-1</v>
      </c>
      <c r="J190" s="62" t="str">
        <f>VLOOKUP($G190,Overall!$K$5:$T$36,6)</f>
        <v>10111111100000000000000000000000</v>
      </c>
      <c r="K190" s="8">
        <f t="shared" ca="1" si="18"/>
        <v>1.1754942106924411E-38</v>
      </c>
      <c r="L190" s="62">
        <f>VLOOKUP($B190,Overall!$B$5:$I$13,8)</f>
        <v>0</v>
      </c>
      <c r="M190" s="58"/>
      <c r="N190" s="3" t="str">
        <f t="shared" si="19"/>
        <v/>
      </c>
      <c r="O190" s="3" t="str">
        <f t="shared" si="20"/>
        <v/>
      </c>
      <c r="P190" s="3" t="str">
        <f t="shared" si="21"/>
        <v/>
      </c>
      <c r="Q190" s="3">
        <f t="shared" si="22"/>
        <v>0</v>
      </c>
      <c r="R190" s="3">
        <f t="shared" si="23"/>
        <v>0</v>
      </c>
      <c r="S190" s="3" t="e" cm="1">
        <f t="array" aca="1" ref="S190" ca="1">SUMPRODUCT(MID($P190,ROW(INDIRECT("1:23")),1)*2^(-ROW(INDIRECT("1:23"))))</f>
        <v>#VALUE!</v>
      </c>
      <c r="T190" s="3" t="e">
        <f t="shared" ca="1" si="24"/>
        <v>#VALUE!</v>
      </c>
      <c r="U190" s="3" t="e">
        <f t="shared" ca="1" si="25"/>
        <v>#VALUE!</v>
      </c>
      <c r="V190" s="73"/>
      <c r="W190" s="9" t="str">
        <f t="shared" si="26"/>
        <v>OK</v>
      </c>
    </row>
    <row r="191" spans="1:23" x14ac:dyDescent="0.3">
      <c r="A191" s="44">
        <v>188</v>
      </c>
      <c r="B191" s="14">
        <v>3</v>
      </c>
      <c r="C191" s="4">
        <v>6</v>
      </c>
      <c r="D191" s="3" t="str">
        <f>VLOOKUP($C191,Overall!$K$5:$T$36,2)</f>
        <v>Underflow</v>
      </c>
      <c r="E191" s="3">
        <f ca="1">VLOOKUP($C191,Overall!$K$5:$T$36,10)</f>
        <v>-1.1754942106924411E-38</v>
      </c>
      <c r="F191" s="9" t="str">
        <f>VLOOKUP($C191,Overall!$K$5:$T$36,6)</f>
        <v>10000000011111111111111111111111</v>
      </c>
      <c r="G191" s="8">
        <v>28</v>
      </c>
      <c r="H191" s="3" t="str">
        <f>VLOOKUP($G191,Overall!$K$5:$T$36,2)</f>
        <v>Normal</v>
      </c>
      <c r="I191" s="3">
        <f ca="1">VLOOKUP($G191,Overall!$K$5:$T$36,10)</f>
        <v>-1.5</v>
      </c>
      <c r="J191" s="62" t="str">
        <f>VLOOKUP($G191,Overall!$K$5:$T$36,6)</f>
        <v>10111111110000000000000000000000</v>
      </c>
      <c r="K191" s="8">
        <f t="shared" ca="1" si="18"/>
        <v>1.7632413160386616E-38</v>
      </c>
      <c r="L191" s="62">
        <f>VLOOKUP($B191,Overall!$B$5:$I$13,8)</f>
        <v>0</v>
      </c>
      <c r="M191" s="58"/>
      <c r="N191" s="3" t="str">
        <f t="shared" si="19"/>
        <v/>
      </c>
      <c r="O191" s="3" t="str">
        <f t="shared" si="20"/>
        <v/>
      </c>
      <c r="P191" s="3" t="str">
        <f t="shared" si="21"/>
        <v/>
      </c>
      <c r="Q191" s="3">
        <f t="shared" si="22"/>
        <v>0</v>
      </c>
      <c r="R191" s="3">
        <f t="shared" si="23"/>
        <v>0</v>
      </c>
      <c r="S191" s="3" t="e" cm="1">
        <f t="array" aca="1" ref="S191" ca="1">SUMPRODUCT(MID($P191,ROW(INDIRECT("1:23")),1)*2^(-ROW(INDIRECT("1:23"))))</f>
        <v>#VALUE!</v>
      </c>
      <c r="T191" s="3" t="e">
        <f t="shared" ca="1" si="24"/>
        <v>#VALUE!</v>
      </c>
      <c r="U191" s="3" t="e">
        <f t="shared" ca="1" si="25"/>
        <v>#VALUE!</v>
      </c>
      <c r="V191" s="73"/>
      <c r="W191" s="9" t="str">
        <f t="shared" si="26"/>
        <v>OK</v>
      </c>
    </row>
    <row r="192" spans="1:23" x14ac:dyDescent="0.3">
      <c r="A192" s="44">
        <v>189</v>
      </c>
      <c r="B192" s="14">
        <v>3</v>
      </c>
      <c r="C192" s="4">
        <v>6</v>
      </c>
      <c r="D192" s="3" t="str">
        <f>VLOOKUP($C192,Overall!$K$5:$T$36,2)</f>
        <v>Underflow</v>
      </c>
      <c r="E192" s="3">
        <f ca="1">VLOOKUP($C192,Overall!$K$5:$T$36,10)</f>
        <v>-1.1754942106924411E-38</v>
      </c>
      <c r="F192" s="9" t="str">
        <f>VLOOKUP($C192,Overall!$K$5:$T$36,6)</f>
        <v>10000000011111111111111111111111</v>
      </c>
      <c r="G192" s="8">
        <v>29</v>
      </c>
      <c r="H192" s="3" t="str">
        <f>VLOOKUP($G192,Overall!$K$5:$T$36,2)</f>
        <v>Normal</v>
      </c>
      <c r="I192" s="3">
        <f ca="1">VLOOKUP($G192,Overall!$K$5:$T$36,10)</f>
        <v>-12345.6787109375</v>
      </c>
      <c r="J192" s="62" t="str">
        <f>VLOOKUP($G192,Overall!$K$5:$T$36,6)</f>
        <v>101000110010000001110011010110111</v>
      </c>
      <c r="K192" s="8">
        <f t="shared" ca="1" si="18"/>
        <v>1.451227385177595E-34</v>
      </c>
      <c r="L192" s="62">
        <f>VLOOKUP($B192,Overall!$B$5:$I$13,8)</f>
        <v>0</v>
      </c>
      <c r="M192" s="58"/>
      <c r="N192" s="3" t="str">
        <f t="shared" si="19"/>
        <v/>
      </c>
      <c r="O192" s="3" t="str">
        <f t="shared" si="20"/>
        <v/>
      </c>
      <c r="P192" s="3" t="str">
        <f t="shared" si="21"/>
        <v/>
      </c>
      <c r="Q192" s="3">
        <f t="shared" si="22"/>
        <v>0</v>
      </c>
      <c r="R192" s="3">
        <f t="shared" si="23"/>
        <v>0</v>
      </c>
      <c r="S192" s="3" t="e" cm="1">
        <f t="array" aca="1" ref="S192" ca="1">SUMPRODUCT(MID($P192,ROW(INDIRECT("1:23")),1)*2^(-ROW(INDIRECT("1:23"))))</f>
        <v>#VALUE!</v>
      </c>
      <c r="T192" s="3" t="e">
        <f t="shared" ca="1" si="24"/>
        <v>#VALUE!</v>
      </c>
      <c r="U192" s="3" t="e">
        <f t="shared" ca="1" si="25"/>
        <v>#VALUE!</v>
      </c>
      <c r="V192" s="73"/>
      <c r="W192" s="9" t="str">
        <f t="shared" si="26"/>
        <v>OK</v>
      </c>
    </row>
    <row r="193" spans="1:23" x14ac:dyDescent="0.3">
      <c r="A193" s="44">
        <v>190</v>
      </c>
      <c r="B193" s="14">
        <v>3</v>
      </c>
      <c r="C193" s="4">
        <v>6</v>
      </c>
      <c r="D193" s="3" t="str">
        <f>VLOOKUP($C193,Overall!$K$5:$T$36,2)</f>
        <v>Underflow</v>
      </c>
      <c r="E193" s="3">
        <f ca="1">VLOOKUP($C193,Overall!$K$5:$T$36,10)</f>
        <v>-1.1754942106924411E-38</v>
      </c>
      <c r="F193" s="9" t="str">
        <f>VLOOKUP($C193,Overall!$K$5:$T$36,6)</f>
        <v>10000000011111111111111111111111</v>
      </c>
      <c r="G193" s="8">
        <v>30</v>
      </c>
      <c r="H193" s="3" t="str">
        <f>VLOOKUP($G193,Overall!$K$5:$T$36,2)</f>
        <v>Normal</v>
      </c>
      <c r="I193" s="3">
        <f ca="1">VLOOKUP($G193,Overall!$K$5:$T$36,10)</f>
        <v>-2.345678924830959E+38</v>
      </c>
      <c r="J193" s="62" t="str">
        <f>VLOOKUP($G193,Overall!$K$5:$T$36,6)</f>
        <v>11111111001100000111100000100010</v>
      </c>
      <c r="K193" s="8">
        <f t="shared" ca="1" si="18"/>
        <v>2.7573319962820619</v>
      </c>
      <c r="L193" s="62">
        <f>VLOOKUP($B193,Overall!$B$5:$I$13,8)</f>
        <v>0</v>
      </c>
      <c r="M193" s="58"/>
      <c r="N193" s="3" t="str">
        <f t="shared" si="19"/>
        <v/>
      </c>
      <c r="O193" s="3" t="str">
        <f t="shared" si="20"/>
        <v/>
      </c>
      <c r="P193" s="3" t="str">
        <f t="shared" si="21"/>
        <v/>
      </c>
      <c r="Q193" s="3">
        <f t="shared" si="22"/>
        <v>0</v>
      </c>
      <c r="R193" s="3">
        <f t="shared" si="23"/>
        <v>0</v>
      </c>
      <c r="S193" s="3" t="e" cm="1">
        <f t="array" aca="1" ref="S193" ca="1">SUMPRODUCT(MID($P193,ROW(INDIRECT("1:23")),1)*2^(-ROW(INDIRECT("1:23"))))</f>
        <v>#VALUE!</v>
      </c>
      <c r="T193" s="3" t="e">
        <f t="shared" ca="1" si="24"/>
        <v>#VALUE!</v>
      </c>
      <c r="U193" s="3" t="e">
        <f t="shared" ca="1" si="25"/>
        <v>#VALUE!</v>
      </c>
      <c r="V193" s="73"/>
      <c r="W193" s="9" t="str">
        <f t="shared" si="26"/>
        <v>OK</v>
      </c>
    </row>
    <row r="194" spans="1:23" x14ac:dyDescent="0.3">
      <c r="A194" s="44">
        <v>191</v>
      </c>
      <c r="B194" s="14">
        <v>3</v>
      </c>
      <c r="C194" s="4">
        <v>6</v>
      </c>
      <c r="D194" s="3" t="str">
        <f>VLOOKUP($C194,Overall!$K$5:$T$36,2)</f>
        <v>Underflow</v>
      </c>
      <c r="E194" s="3">
        <f ca="1">VLOOKUP($C194,Overall!$K$5:$T$36,10)</f>
        <v>-1.1754942106924411E-38</v>
      </c>
      <c r="F194" s="9" t="str">
        <f>VLOOKUP($C194,Overall!$K$5:$T$36,6)</f>
        <v>10000000011111111111111111111111</v>
      </c>
      <c r="G194" s="8">
        <v>31</v>
      </c>
      <c r="H194" s="3" t="str">
        <f>VLOOKUP($G194,Overall!$K$5:$T$36,2)</f>
        <v>Normal</v>
      </c>
      <c r="I194" s="3">
        <f ca="1">VLOOKUP($G194,Overall!$K$5:$T$36,10)</f>
        <v>-3.4028232635611926E+38</v>
      </c>
      <c r="J194" s="62" t="str">
        <f>VLOOKUP($G194,Overall!$K$5:$T$36,6)</f>
        <v>11111111011111111111111111111110</v>
      </c>
      <c r="K194" s="8">
        <f t="shared" ca="1" si="18"/>
        <v>3.9999990463257404</v>
      </c>
      <c r="L194" s="62">
        <f>VLOOKUP($B194,Overall!$B$5:$I$13,8)</f>
        <v>0</v>
      </c>
      <c r="M194" s="58"/>
      <c r="N194" s="3" t="str">
        <f t="shared" si="19"/>
        <v/>
      </c>
      <c r="O194" s="3" t="str">
        <f t="shared" si="20"/>
        <v/>
      </c>
      <c r="P194" s="3" t="str">
        <f t="shared" si="21"/>
        <v/>
      </c>
      <c r="Q194" s="3">
        <f t="shared" si="22"/>
        <v>0</v>
      </c>
      <c r="R194" s="3">
        <f t="shared" si="23"/>
        <v>0</v>
      </c>
      <c r="S194" s="3" t="e" cm="1">
        <f t="array" aca="1" ref="S194" ca="1">SUMPRODUCT(MID($P194,ROW(INDIRECT("1:23")),1)*2^(-ROW(INDIRECT("1:23"))))</f>
        <v>#VALUE!</v>
      </c>
      <c r="T194" s="3" t="e">
        <f t="shared" ca="1" si="24"/>
        <v>#VALUE!</v>
      </c>
      <c r="U194" s="3" t="e">
        <f t="shared" ca="1" si="25"/>
        <v>#VALUE!</v>
      </c>
      <c r="V194" s="73"/>
      <c r="W194" s="9" t="str">
        <f t="shared" si="26"/>
        <v>OK</v>
      </c>
    </row>
    <row r="195" spans="1:23" x14ac:dyDescent="0.3">
      <c r="A195" s="44">
        <v>192</v>
      </c>
      <c r="B195" s="14">
        <v>3</v>
      </c>
      <c r="C195" s="4">
        <v>6</v>
      </c>
      <c r="D195" s="3" t="str">
        <f>VLOOKUP($C195,Overall!$K$5:$T$36,2)</f>
        <v>Underflow</v>
      </c>
      <c r="E195" s="3">
        <f ca="1">VLOOKUP($C195,Overall!$K$5:$T$36,10)</f>
        <v>-1.1754942106924411E-38</v>
      </c>
      <c r="F195" s="9" t="str">
        <f>VLOOKUP($C195,Overall!$K$5:$T$36,6)</f>
        <v>10000000011111111111111111111111</v>
      </c>
      <c r="G195" s="8">
        <v>32</v>
      </c>
      <c r="H195" s="3" t="str">
        <f>VLOOKUP($G195,Overall!$K$5:$T$36,2)</f>
        <v>Normal</v>
      </c>
      <c r="I195" s="3">
        <f ca="1">VLOOKUP($G195,Overall!$K$5:$T$36,10)</f>
        <v>-3.4028234663852886E+38</v>
      </c>
      <c r="J195" s="62" t="str">
        <f>VLOOKUP($G195,Overall!$K$5:$T$36,6)</f>
        <v>11111111011111111111111111111111</v>
      </c>
      <c r="K195" s="8">
        <f t="shared" ca="1" si="18"/>
        <v>3.9999992847442911</v>
      </c>
      <c r="L195" s="62">
        <f>VLOOKUP($B195,Overall!$B$5:$I$13,8)</f>
        <v>0</v>
      </c>
      <c r="M195" s="58"/>
      <c r="N195" s="3" t="str">
        <f t="shared" si="19"/>
        <v/>
      </c>
      <c r="O195" s="3" t="str">
        <f t="shared" si="20"/>
        <v/>
      </c>
      <c r="P195" s="3" t="str">
        <f t="shared" si="21"/>
        <v/>
      </c>
      <c r="Q195" s="3">
        <f t="shared" si="22"/>
        <v>0</v>
      </c>
      <c r="R195" s="3">
        <f t="shared" si="23"/>
        <v>0</v>
      </c>
      <c r="S195" s="3" t="e" cm="1">
        <f t="array" aca="1" ref="S195" ca="1">SUMPRODUCT(MID($P195,ROW(INDIRECT("1:23")),1)*2^(-ROW(INDIRECT("1:23"))))</f>
        <v>#VALUE!</v>
      </c>
      <c r="T195" s="3" t="e">
        <f t="shared" ca="1" si="24"/>
        <v>#VALUE!</v>
      </c>
      <c r="U195" s="3" t="e">
        <f t="shared" ca="1" si="25"/>
        <v>#VALUE!</v>
      </c>
      <c r="V195" s="73"/>
      <c r="W195" s="9" t="str">
        <f t="shared" si="26"/>
        <v>OK</v>
      </c>
    </row>
    <row r="196" spans="1:23" x14ac:dyDescent="0.3">
      <c r="A196" s="44">
        <v>193</v>
      </c>
      <c r="B196" s="14">
        <v>4</v>
      </c>
      <c r="C196" s="4">
        <v>7</v>
      </c>
      <c r="D196" s="3" t="str">
        <f>VLOOKUP($C196,Overall!$K$5:$T$36,2)</f>
        <v>Overflow</v>
      </c>
      <c r="E196" s="3">
        <f ca="1">VLOOKUP($C196,Overall!$K$5:$T$36,10)</f>
        <v>3.4028240748575767E+38</v>
      </c>
      <c r="F196" s="9" t="str">
        <f>VLOOKUP($C196,Overall!$K$5:$T$36,6)</f>
        <v>01111111100000000000000000000001</v>
      </c>
      <c r="G196" s="8">
        <v>1</v>
      </c>
      <c r="H196" s="3" t="str">
        <f>VLOOKUP($G196,Overall!$K$5:$T$36,2)</f>
        <v>Underflow</v>
      </c>
      <c r="I196" s="3">
        <f ca="1">VLOOKUP($G196,Overall!$K$5:$T$36,10)</f>
        <v>1.4012984643248171E-45</v>
      </c>
      <c r="J196" s="62" t="str">
        <f>VLOOKUP($G196,Overall!$K$5:$T$36,6)</f>
        <v>00000000000000000000000000000001</v>
      </c>
      <c r="K196" s="8">
        <f t="shared" ca="1" si="18"/>
        <v>4.7683721504654386E-7</v>
      </c>
      <c r="L196" s="62">
        <f>VLOOKUP($B196,Overall!$B$5:$I$13,8)</f>
        <v>1</v>
      </c>
      <c r="M196" s="58"/>
      <c r="N196" s="3" t="str">
        <f t="shared" si="19"/>
        <v/>
      </c>
      <c r="O196" s="3" t="str">
        <f t="shared" si="20"/>
        <v/>
      </c>
      <c r="P196" s="3" t="str">
        <f t="shared" si="21"/>
        <v/>
      </c>
      <c r="Q196" s="3">
        <f t="shared" si="22"/>
        <v>0</v>
      </c>
      <c r="R196" s="3">
        <f t="shared" si="23"/>
        <v>0</v>
      </c>
      <c r="S196" s="3" t="e" cm="1">
        <f t="array" aca="1" ref="S196" ca="1">SUMPRODUCT(MID($P196,ROW(INDIRECT("1:23")),1)*2^(-ROW(INDIRECT("1:23"))))</f>
        <v>#VALUE!</v>
      </c>
      <c r="T196" s="3" t="e">
        <f t="shared" ca="1" si="24"/>
        <v>#VALUE!</v>
      </c>
      <c r="U196" s="3" t="e">
        <f t="shared" ca="1" si="25"/>
        <v>#VALUE!</v>
      </c>
      <c r="V196" s="73"/>
      <c r="W196" s="9" t="str">
        <f t="shared" si="26"/>
        <v>NG</v>
      </c>
    </row>
    <row r="197" spans="1:23" x14ac:dyDescent="0.3">
      <c r="A197" s="44">
        <v>194</v>
      </c>
      <c r="B197" s="14">
        <v>4</v>
      </c>
      <c r="C197" s="4">
        <v>7</v>
      </c>
      <c r="D197" s="3" t="str">
        <f>VLOOKUP($C197,Overall!$K$5:$T$36,2)</f>
        <v>Overflow</v>
      </c>
      <c r="E197" s="3">
        <f ca="1">VLOOKUP($C197,Overall!$K$5:$T$36,10)</f>
        <v>3.4028240748575767E+38</v>
      </c>
      <c r="F197" s="9" t="str">
        <f>VLOOKUP($C197,Overall!$K$5:$T$36,6)</f>
        <v>01111111100000000000000000000001</v>
      </c>
      <c r="G197" s="8">
        <v>2</v>
      </c>
      <c r="H197" s="3" t="str">
        <f>VLOOKUP($G197,Overall!$K$5:$T$36,2)</f>
        <v>Underflow</v>
      </c>
      <c r="I197" s="3">
        <f ca="1">VLOOKUP($G197,Overall!$K$5:$T$36,10)</f>
        <v>2.9387386796526474E-39</v>
      </c>
      <c r="J197" s="62" t="str">
        <f>VLOOKUP($G197,Overall!$K$5:$T$36,6)</f>
        <v>00000000001000000000000000000010</v>
      </c>
      <c r="K197" s="8">
        <f t="shared" ref="K197:K260" ca="1" si="27">E197*I197</f>
        <v>1.0000010728837196</v>
      </c>
      <c r="L197" s="62">
        <f>VLOOKUP($B197,Overall!$B$5:$I$13,8)</f>
        <v>1</v>
      </c>
      <c r="M197" s="58"/>
      <c r="N197" s="3" t="str">
        <f t="shared" ref="N197:N260" si="28">LEFT($M197,1)</f>
        <v/>
      </c>
      <c r="O197" s="3" t="str">
        <f t="shared" ref="O197:O260" si="29">MID($M197,2,8)</f>
        <v/>
      </c>
      <c r="P197" s="3" t="str">
        <f t="shared" ref="P197:P260" si="30">MID($M197,10,23)</f>
        <v/>
      </c>
      <c r="Q197" s="3">
        <f t="shared" ref="Q197:Q260" si="31">BIN2DEC($N197)</f>
        <v>0</v>
      </c>
      <c r="R197" s="3">
        <f t="shared" ref="R197:R260" si="32">BIN2DEC($O197)</f>
        <v>0</v>
      </c>
      <c r="S197" s="3" t="e" cm="1">
        <f t="array" aca="1" ref="S197" ca="1">SUMPRODUCT(MID($P197,ROW(INDIRECT("1:23")),1)*2^(-ROW(INDIRECT("1:23"))))</f>
        <v>#VALUE!</v>
      </c>
      <c r="T197" s="3" t="e">
        <f t="shared" ref="T197:T260" ca="1" si="33">IF($R197=0,
   (-1)^$Q197 * $S197 * 2^(-126),
   (-1)^$Q197 * (1 + $S197) * 2^($R197 - 127)
)</f>
        <v>#VALUE!</v>
      </c>
      <c r="U197" s="3" t="e">
        <f t="shared" ref="U197:U260" ca="1" si="34">$T197-$K197</f>
        <v>#VALUE!</v>
      </c>
      <c r="V197" s="73"/>
      <c r="W197" s="9" t="str">
        <f t="shared" ref="W197:W260" si="35">IF(L197=V197,"OK","NG")</f>
        <v>NG</v>
      </c>
    </row>
    <row r="198" spans="1:23" x14ac:dyDescent="0.3">
      <c r="A198" s="44">
        <v>195</v>
      </c>
      <c r="B198" s="14">
        <v>4</v>
      </c>
      <c r="C198" s="4">
        <v>7</v>
      </c>
      <c r="D198" s="3" t="str">
        <f>VLOOKUP($C198,Overall!$K$5:$T$36,2)</f>
        <v>Overflow</v>
      </c>
      <c r="E198" s="3">
        <f ca="1">VLOOKUP($C198,Overall!$K$5:$T$36,10)</f>
        <v>3.4028240748575767E+38</v>
      </c>
      <c r="F198" s="9" t="str">
        <f>VLOOKUP($C198,Overall!$K$5:$T$36,6)</f>
        <v>01111111100000000000000000000001</v>
      </c>
      <c r="G198" s="8">
        <v>3</v>
      </c>
      <c r="H198" s="3" t="str">
        <f>VLOOKUP($G198,Overall!$K$5:$T$36,2)</f>
        <v>Underflow</v>
      </c>
      <c r="I198" s="3">
        <f ca="1">VLOOKUP($G198,Overall!$K$5:$T$36,10)</f>
        <v>1.1754942106924411E-38</v>
      </c>
      <c r="J198" s="62" t="str">
        <f>VLOOKUP($G198,Overall!$K$5:$T$36,6)</f>
        <v>00000000011111111111111111111111</v>
      </c>
      <c r="K198" s="8">
        <f t="shared" ca="1" si="27"/>
        <v>3.9999999999999432</v>
      </c>
      <c r="L198" s="62">
        <f>VLOOKUP($B198,Overall!$B$5:$I$13,8)</f>
        <v>1</v>
      </c>
      <c r="M198" s="58"/>
      <c r="N198" s="3" t="str">
        <f t="shared" si="28"/>
        <v/>
      </c>
      <c r="O198" s="3" t="str">
        <f t="shared" si="29"/>
        <v/>
      </c>
      <c r="P198" s="3" t="str">
        <f t="shared" si="30"/>
        <v/>
      </c>
      <c r="Q198" s="3">
        <f t="shared" si="31"/>
        <v>0</v>
      </c>
      <c r="R198" s="3">
        <f t="shared" si="32"/>
        <v>0</v>
      </c>
      <c r="S198" s="3" t="e" cm="1">
        <f t="array" aca="1" ref="S198" ca="1">SUMPRODUCT(MID($P198,ROW(INDIRECT("1:23")),1)*2^(-ROW(INDIRECT("1:23"))))</f>
        <v>#VALUE!</v>
      </c>
      <c r="T198" s="3" t="e">
        <f t="shared" ca="1" si="33"/>
        <v>#VALUE!</v>
      </c>
      <c r="U198" s="3" t="e">
        <f t="shared" ca="1" si="34"/>
        <v>#VALUE!</v>
      </c>
      <c r="V198" s="73"/>
      <c r="W198" s="9" t="str">
        <f t="shared" si="35"/>
        <v>NG</v>
      </c>
    </row>
    <row r="199" spans="1:23" x14ac:dyDescent="0.3">
      <c r="A199" s="44">
        <v>196</v>
      </c>
      <c r="B199" s="14">
        <v>4</v>
      </c>
      <c r="C199" s="4">
        <v>7</v>
      </c>
      <c r="D199" s="3" t="str">
        <f>VLOOKUP($C199,Overall!$K$5:$T$36,2)</f>
        <v>Overflow</v>
      </c>
      <c r="E199" s="3">
        <f ca="1">VLOOKUP($C199,Overall!$K$5:$T$36,10)</f>
        <v>3.4028240748575767E+38</v>
      </c>
      <c r="F199" s="9" t="str">
        <f>VLOOKUP($C199,Overall!$K$5:$T$36,6)</f>
        <v>01111111100000000000000000000001</v>
      </c>
      <c r="G199" s="8">
        <v>4</v>
      </c>
      <c r="H199" s="3" t="str">
        <f>VLOOKUP($G199,Overall!$K$5:$T$36,2)</f>
        <v>Underflow</v>
      </c>
      <c r="I199" s="3">
        <f ca="1">VLOOKUP($G199,Overall!$K$5:$T$36,10)</f>
        <v>-1.4012984643248171E-45</v>
      </c>
      <c r="J199" s="62" t="str">
        <f>VLOOKUP($G199,Overall!$K$5:$T$36,6)</f>
        <v>10000000000000000000000000000001</v>
      </c>
      <c r="K199" s="8">
        <f t="shared" ca="1" si="27"/>
        <v>-4.7683721504654386E-7</v>
      </c>
      <c r="L199" s="62">
        <f>VLOOKUP($B199,Overall!$B$5:$I$13,8)</f>
        <v>1</v>
      </c>
      <c r="M199" s="58"/>
      <c r="N199" s="3" t="str">
        <f t="shared" si="28"/>
        <v/>
      </c>
      <c r="O199" s="3" t="str">
        <f t="shared" si="29"/>
        <v/>
      </c>
      <c r="P199" s="3" t="str">
        <f t="shared" si="30"/>
        <v/>
      </c>
      <c r="Q199" s="3">
        <f t="shared" si="31"/>
        <v>0</v>
      </c>
      <c r="R199" s="3">
        <f t="shared" si="32"/>
        <v>0</v>
      </c>
      <c r="S199" s="3" t="e" cm="1">
        <f t="array" aca="1" ref="S199" ca="1">SUMPRODUCT(MID($P199,ROW(INDIRECT("1:23")),1)*2^(-ROW(INDIRECT("1:23"))))</f>
        <v>#VALUE!</v>
      </c>
      <c r="T199" s="3" t="e">
        <f t="shared" ca="1" si="33"/>
        <v>#VALUE!</v>
      </c>
      <c r="U199" s="3" t="e">
        <f t="shared" ca="1" si="34"/>
        <v>#VALUE!</v>
      </c>
      <c r="V199" s="73"/>
      <c r="W199" s="9" t="str">
        <f t="shared" si="35"/>
        <v>NG</v>
      </c>
    </row>
    <row r="200" spans="1:23" x14ac:dyDescent="0.3">
      <c r="A200" s="44">
        <v>197</v>
      </c>
      <c r="B200" s="14">
        <v>4</v>
      </c>
      <c r="C200" s="4">
        <v>7</v>
      </c>
      <c r="D200" s="3" t="str">
        <f>VLOOKUP($C200,Overall!$K$5:$T$36,2)</f>
        <v>Overflow</v>
      </c>
      <c r="E200" s="3">
        <f ca="1">VLOOKUP($C200,Overall!$K$5:$T$36,10)</f>
        <v>3.4028240748575767E+38</v>
      </c>
      <c r="F200" s="9" t="str">
        <f>VLOOKUP($C200,Overall!$K$5:$T$36,6)</f>
        <v>01111111100000000000000000000001</v>
      </c>
      <c r="G200" s="8">
        <v>5</v>
      </c>
      <c r="H200" s="3" t="str">
        <f>VLOOKUP($G200,Overall!$K$5:$T$36,2)</f>
        <v>Underflow</v>
      </c>
      <c r="I200" s="3">
        <f ca="1">VLOOKUP($G200,Overall!$K$5:$T$36,10)</f>
        <v>-2.9387386796526474E-39</v>
      </c>
      <c r="J200" s="62" t="str">
        <f>VLOOKUP($G200,Overall!$K$5:$T$36,6)</f>
        <v>10000000001000000000000000000010</v>
      </c>
      <c r="K200" s="8">
        <f t="shared" ca="1" si="27"/>
        <v>-1.0000010728837196</v>
      </c>
      <c r="L200" s="62">
        <f>VLOOKUP($B200,Overall!$B$5:$I$13,8)</f>
        <v>1</v>
      </c>
      <c r="M200" s="58"/>
      <c r="N200" s="3" t="str">
        <f t="shared" si="28"/>
        <v/>
      </c>
      <c r="O200" s="3" t="str">
        <f t="shared" si="29"/>
        <v/>
      </c>
      <c r="P200" s="3" t="str">
        <f t="shared" si="30"/>
        <v/>
      </c>
      <c r="Q200" s="3">
        <f t="shared" si="31"/>
        <v>0</v>
      </c>
      <c r="R200" s="3">
        <f t="shared" si="32"/>
        <v>0</v>
      </c>
      <c r="S200" s="3" t="e" cm="1">
        <f t="array" aca="1" ref="S200" ca="1">SUMPRODUCT(MID($P200,ROW(INDIRECT("1:23")),1)*2^(-ROW(INDIRECT("1:23"))))</f>
        <v>#VALUE!</v>
      </c>
      <c r="T200" s="3" t="e">
        <f t="shared" ca="1" si="33"/>
        <v>#VALUE!</v>
      </c>
      <c r="U200" s="3" t="e">
        <f t="shared" ca="1" si="34"/>
        <v>#VALUE!</v>
      </c>
      <c r="V200" s="73"/>
      <c r="W200" s="9" t="str">
        <f t="shared" si="35"/>
        <v>NG</v>
      </c>
    </row>
    <row r="201" spans="1:23" x14ac:dyDescent="0.3">
      <c r="A201" s="44">
        <v>198</v>
      </c>
      <c r="B201" s="14">
        <v>4</v>
      </c>
      <c r="C201" s="4">
        <v>7</v>
      </c>
      <c r="D201" s="3" t="str">
        <f>VLOOKUP($C201,Overall!$K$5:$T$36,2)</f>
        <v>Overflow</v>
      </c>
      <c r="E201" s="3">
        <f ca="1">VLOOKUP($C201,Overall!$K$5:$T$36,10)</f>
        <v>3.4028240748575767E+38</v>
      </c>
      <c r="F201" s="9" t="str">
        <f>VLOOKUP($C201,Overall!$K$5:$T$36,6)</f>
        <v>01111111100000000000000000000001</v>
      </c>
      <c r="G201" s="8">
        <v>6</v>
      </c>
      <c r="H201" s="3" t="str">
        <f>VLOOKUP($G201,Overall!$K$5:$T$36,2)</f>
        <v>Underflow</v>
      </c>
      <c r="I201" s="3">
        <f ca="1">VLOOKUP($G201,Overall!$K$5:$T$36,10)</f>
        <v>-1.1754942106924411E-38</v>
      </c>
      <c r="J201" s="62" t="str">
        <f>VLOOKUP($G201,Overall!$K$5:$T$36,6)</f>
        <v>10000000011111111111111111111111</v>
      </c>
      <c r="K201" s="8">
        <f t="shared" ca="1" si="27"/>
        <v>-3.9999999999999432</v>
      </c>
      <c r="L201" s="62">
        <f>VLOOKUP($B201,Overall!$B$5:$I$13,8)</f>
        <v>1</v>
      </c>
      <c r="M201" s="58"/>
      <c r="N201" s="3" t="str">
        <f t="shared" si="28"/>
        <v/>
      </c>
      <c r="O201" s="3" t="str">
        <f t="shared" si="29"/>
        <v/>
      </c>
      <c r="P201" s="3" t="str">
        <f t="shared" si="30"/>
        <v/>
      </c>
      <c r="Q201" s="3">
        <f t="shared" si="31"/>
        <v>0</v>
      </c>
      <c r="R201" s="3">
        <f t="shared" si="32"/>
        <v>0</v>
      </c>
      <c r="S201" s="3" t="e" cm="1">
        <f t="array" aca="1" ref="S201" ca="1">SUMPRODUCT(MID($P201,ROW(INDIRECT("1:23")),1)*2^(-ROW(INDIRECT("1:23"))))</f>
        <v>#VALUE!</v>
      </c>
      <c r="T201" s="3" t="e">
        <f t="shared" ca="1" si="33"/>
        <v>#VALUE!</v>
      </c>
      <c r="U201" s="3" t="e">
        <f t="shared" ca="1" si="34"/>
        <v>#VALUE!</v>
      </c>
      <c r="V201" s="73"/>
      <c r="W201" s="9" t="str">
        <f t="shared" si="35"/>
        <v>NG</v>
      </c>
    </row>
    <row r="202" spans="1:23" x14ac:dyDescent="0.3">
      <c r="A202" s="44">
        <v>199</v>
      </c>
      <c r="B202" s="14">
        <v>4</v>
      </c>
      <c r="C202" s="4">
        <v>8</v>
      </c>
      <c r="D202" s="3" t="str">
        <f>VLOOKUP($C202,Overall!$K$5:$T$36,2)</f>
        <v>Overflow</v>
      </c>
      <c r="E202" s="3">
        <f ca="1">VLOOKUP($C202,Overall!$K$5:$T$36,10)</f>
        <v>4.2535303978081149E+38</v>
      </c>
      <c r="F202" s="9" t="str">
        <f>VLOOKUP($C202,Overall!$K$5:$T$36,6)</f>
        <v>01111111101000000000000000000010</v>
      </c>
      <c r="G202" s="8">
        <v>1</v>
      </c>
      <c r="H202" s="3" t="str">
        <f>VLOOKUP($G202,Overall!$K$5:$T$36,2)</f>
        <v>Underflow</v>
      </c>
      <c r="I202" s="3">
        <f ca="1">VLOOKUP($G202,Overall!$K$5:$T$36,10)</f>
        <v>1.4012984643248171E-45</v>
      </c>
      <c r="J202" s="62" t="str">
        <f>VLOOKUP($G202,Overall!$K$5:$T$36,6)</f>
        <v>00000000000000000000000000000001</v>
      </c>
      <c r="K202" s="8">
        <f t="shared" ca="1" si="27"/>
        <v>5.9604656144074397E-7</v>
      </c>
      <c r="L202" s="62">
        <f>VLOOKUP($B202,Overall!$B$5:$I$13,8)</f>
        <v>1</v>
      </c>
      <c r="M202" s="58"/>
      <c r="N202" s="3" t="str">
        <f t="shared" si="28"/>
        <v/>
      </c>
      <c r="O202" s="3" t="str">
        <f t="shared" si="29"/>
        <v/>
      </c>
      <c r="P202" s="3" t="str">
        <f t="shared" si="30"/>
        <v/>
      </c>
      <c r="Q202" s="3">
        <f t="shared" si="31"/>
        <v>0</v>
      </c>
      <c r="R202" s="3">
        <f t="shared" si="32"/>
        <v>0</v>
      </c>
      <c r="S202" s="3" t="e" cm="1">
        <f t="array" aca="1" ref="S202" ca="1">SUMPRODUCT(MID($P202,ROW(INDIRECT("1:23")),1)*2^(-ROW(INDIRECT("1:23"))))</f>
        <v>#VALUE!</v>
      </c>
      <c r="T202" s="3" t="e">
        <f t="shared" ca="1" si="33"/>
        <v>#VALUE!</v>
      </c>
      <c r="U202" s="3" t="e">
        <f t="shared" ca="1" si="34"/>
        <v>#VALUE!</v>
      </c>
      <c r="V202" s="73"/>
      <c r="W202" s="9" t="str">
        <f t="shared" si="35"/>
        <v>NG</v>
      </c>
    </row>
    <row r="203" spans="1:23" x14ac:dyDescent="0.3">
      <c r="A203" s="44">
        <v>200</v>
      </c>
      <c r="B203" s="14">
        <v>4</v>
      </c>
      <c r="C203" s="4">
        <v>8</v>
      </c>
      <c r="D203" s="3" t="str">
        <f>VLOOKUP($C203,Overall!$K$5:$T$36,2)</f>
        <v>Overflow</v>
      </c>
      <c r="E203" s="3">
        <f ca="1">VLOOKUP($C203,Overall!$K$5:$T$36,10)</f>
        <v>4.2535303978081149E+38</v>
      </c>
      <c r="F203" s="9" t="str">
        <f>VLOOKUP($C203,Overall!$K$5:$T$36,6)</f>
        <v>01111111101000000000000000000010</v>
      </c>
      <c r="G203" s="8">
        <v>2</v>
      </c>
      <c r="H203" s="3" t="str">
        <f>VLOOKUP($G203,Overall!$K$5:$T$36,2)</f>
        <v>Underflow</v>
      </c>
      <c r="I203" s="3">
        <f ca="1">VLOOKUP($G203,Overall!$K$5:$T$36,10)</f>
        <v>2.9387386796526474E-39</v>
      </c>
      <c r="J203" s="62" t="str">
        <f>VLOOKUP($G203,Overall!$K$5:$T$36,6)</f>
        <v>00000000001000000000000000000010</v>
      </c>
      <c r="K203" s="8">
        <f t="shared" ca="1" si="27"/>
        <v>1.250001430511702</v>
      </c>
      <c r="L203" s="62">
        <f>VLOOKUP($B203,Overall!$B$5:$I$13,8)</f>
        <v>1</v>
      </c>
      <c r="M203" s="58"/>
      <c r="N203" s="3" t="str">
        <f t="shared" si="28"/>
        <v/>
      </c>
      <c r="O203" s="3" t="str">
        <f t="shared" si="29"/>
        <v/>
      </c>
      <c r="P203" s="3" t="str">
        <f t="shared" si="30"/>
        <v/>
      </c>
      <c r="Q203" s="3">
        <f t="shared" si="31"/>
        <v>0</v>
      </c>
      <c r="R203" s="3">
        <f t="shared" si="32"/>
        <v>0</v>
      </c>
      <c r="S203" s="3" t="e" cm="1">
        <f t="array" aca="1" ref="S203" ca="1">SUMPRODUCT(MID($P203,ROW(INDIRECT("1:23")),1)*2^(-ROW(INDIRECT("1:23"))))</f>
        <v>#VALUE!</v>
      </c>
      <c r="T203" s="3" t="e">
        <f t="shared" ca="1" si="33"/>
        <v>#VALUE!</v>
      </c>
      <c r="U203" s="3" t="e">
        <f t="shared" ca="1" si="34"/>
        <v>#VALUE!</v>
      </c>
      <c r="V203" s="73"/>
      <c r="W203" s="9" t="str">
        <f t="shared" si="35"/>
        <v>NG</v>
      </c>
    </row>
    <row r="204" spans="1:23" x14ac:dyDescent="0.3">
      <c r="A204" s="44">
        <v>201</v>
      </c>
      <c r="B204" s="14">
        <v>4</v>
      </c>
      <c r="C204" s="4">
        <v>8</v>
      </c>
      <c r="D204" s="3" t="str">
        <f>VLOOKUP($C204,Overall!$K$5:$T$36,2)</f>
        <v>Overflow</v>
      </c>
      <c r="E204" s="3">
        <f ca="1">VLOOKUP($C204,Overall!$K$5:$T$36,10)</f>
        <v>4.2535303978081149E+38</v>
      </c>
      <c r="F204" s="9" t="str">
        <f>VLOOKUP($C204,Overall!$K$5:$T$36,6)</f>
        <v>01111111101000000000000000000010</v>
      </c>
      <c r="G204" s="8">
        <v>3</v>
      </c>
      <c r="H204" s="3" t="str">
        <f>VLOOKUP($G204,Overall!$K$5:$T$36,2)</f>
        <v>Underflow</v>
      </c>
      <c r="I204" s="3">
        <f ca="1">VLOOKUP($G204,Overall!$K$5:$T$36,10)</f>
        <v>1.1754942106924411E-38</v>
      </c>
      <c r="J204" s="62" t="str">
        <f>VLOOKUP($G204,Overall!$K$5:$T$36,6)</f>
        <v>00000000011111111111111111111111</v>
      </c>
      <c r="K204" s="8">
        <f t="shared" ca="1" si="27"/>
        <v>5.000000357627755</v>
      </c>
      <c r="L204" s="62">
        <f>VLOOKUP($B204,Overall!$B$5:$I$13,8)</f>
        <v>1</v>
      </c>
      <c r="M204" s="58"/>
      <c r="N204" s="3" t="str">
        <f t="shared" si="28"/>
        <v/>
      </c>
      <c r="O204" s="3" t="str">
        <f t="shared" si="29"/>
        <v/>
      </c>
      <c r="P204" s="3" t="str">
        <f t="shared" si="30"/>
        <v/>
      </c>
      <c r="Q204" s="3">
        <f t="shared" si="31"/>
        <v>0</v>
      </c>
      <c r="R204" s="3">
        <f t="shared" si="32"/>
        <v>0</v>
      </c>
      <c r="S204" s="3" t="e" cm="1">
        <f t="array" aca="1" ref="S204" ca="1">SUMPRODUCT(MID($P204,ROW(INDIRECT("1:23")),1)*2^(-ROW(INDIRECT("1:23"))))</f>
        <v>#VALUE!</v>
      </c>
      <c r="T204" s="3" t="e">
        <f t="shared" ca="1" si="33"/>
        <v>#VALUE!</v>
      </c>
      <c r="U204" s="3" t="e">
        <f t="shared" ca="1" si="34"/>
        <v>#VALUE!</v>
      </c>
      <c r="V204" s="73"/>
      <c r="W204" s="9" t="str">
        <f t="shared" si="35"/>
        <v>NG</v>
      </c>
    </row>
    <row r="205" spans="1:23" x14ac:dyDescent="0.3">
      <c r="A205" s="44">
        <v>202</v>
      </c>
      <c r="B205" s="14">
        <v>4</v>
      </c>
      <c r="C205" s="4">
        <v>8</v>
      </c>
      <c r="D205" s="3" t="str">
        <f>VLOOKUP($C205,Overall!$K$5:$T$36,2)</f>
        <v>Overflow</v>
      </c>
      <c r="E205" s="3">
        <f ca="1">VLOOKUP($C205,Overall!$K$5:$T$36,10)</f>
        <v>4.2535303978081149E+38</v>
      </c>
      <c r="F205" s="9" t="str">
        <f>VLOOKUP($C205,Overall!$K$5:$T$36,6)</f>
        <v>01111111101000000000000000000010</v>
      </c>
      <c r="G205" s="8">
        <v>4</v>
      </c>
      <c r="H205" s="3" t="str">
        <f>VLOOKUP($G205,Overall!$K$5:$T$36,2)</f>
        <v>Underflow</v>
      </c>
      <c r="I205" s="3">
        <f ca="1">VLOOKUP($G205,Overall!$K$5:$T$36,10)</f>
        <v>-1.4012984643248171E-45</v>
      </c>
      <c r="J205" s="62" t="str">
        <f>VLOOKUP($G205,Overall!$K$5:$T$36,6)</f>
        <v>10000000000000000000000000000001</v>
      </c>
      <c r="K205" s="8">
        <f t="shared" ca="1" si="27"/>
        <v>-5.9604656144074397E-7</v>
      </c>
      <c r="L205" s="62">
        <f>VLOOKUP($B205,Overall!$B$5:$I$13,8)</f>
        <v>1</v>
      </c>
      <c r="M205" s="58"/>
      <c r="N205" s="3" t="str">
        <f t="shared" si="28"/>
        <v/>
      </c>
      <c r="O205" s="3" t="str">
        <f t="shared" si="29"/>
        <v/>
      </c>
      <c r="P205" s="3" t="str">
        <f t="shared" si="30"/>
        <v/>
      </c>
      <c r="Q205" s="3">
        <f t="shared" si="31"/>
        <v>0</v>
      </c>
      <c r="R205" s="3">
        <f t="shared" si="32"/>
        <v>0</v>
      </c>
      <c r="S205" s="3" t="e" cm="1">
        <f t="array" aca="1" ref="S205" ca="1">SUMPRODUCT(MID($P205,ROW(INDIRECT("1:23")),1)*2^(-ROW(INDIRECT("1:23"))))</f>
        <v>#VALUE!</v>
      </c>
      <c r="T205" s="3" t="e">
        <f t="shared" ca="1" si="33"/>
        <v>#VALUE!</v>
      </c>
      <c r="U205" s="3" t="e">
        <f t="shared" ca="1" si="34"/>
        <v>#VALUE!</v>
      </c>
      <c r="V205" s="73"/>
      <c r="W205" s="9" t="str">
        <f t="shared" si="35"/>
        <v>NG</v>
      </c>
    </row>
    <row r="206" spans="1:23" x14ac:dyDescent="0.3">
      <c r="A206" s="44">
        <v>203</v>
      </c>
      <c r="B206" s="14">
        <v>4</v>
      </c>
      <c r="C206" s="4">
        <v>8</v>
      </c>
      <c r="D206" s="3" t="str">
        <f>VLOOKUP($C206,Overall!$K$5:$T$36,2)</f>
        <v>Overflow</v>
      </c>
      <c r="E206" s="3">
        <f ca="1">VLOOKUP($C206,Overall!$K$5:$T$36,10)</f>
        <v>4.2535303978081149E+38</v>
      </c>
      <c r="F206" s="9" t="str">
        <f>VLOOKUP($C206,Overall!$K$5:$T$36,6)</f>
        <v>01111111101000000000000000000010</v>
      </c>
      <c r="G206" s="8">
        <v>5</v>
      </c>
      <c r="H206" s="3" t="str">
        <f>VLOOKUP($G206,Overall!$K$5:$T$36,2)</f>
        <v>Underflow</v>
      </c>
      <c r="I206" s="3">
        <f ca="1">VLOOKUP($G206,Overall!$K$5:$T$36,10)</f>
        <v>-2.9387386796526474E-39</v>
      </c>
      <c r="J206" s="62" t="str">
        <f>VLOOKUP($G206,Overall!$K$5:$T$36,6)</f>
        <v>10000000001000000000000000000010</v>
      </c>
      <c r="K206" s="8">
        <f t="shared" ca="1" si="27"/>
        <v>-1.250001430511702</v>
      </c>
      <c r="L206" s="62">
        <f>VLOOKUP($B206,Overall!$B$5:$I$13,8)</f>
        <v>1</v>
      </c>
      <c r="M206" s="58"/>
      <c r="N206" s="3" t="str">
        <f t="shared" si="28"/>
        <v/>
      </c>
      <c r="O206" s="3" t="str">
        <f t="shared" si="29"/>
        <v/>
      </c>
      <c r="P206" s="3" t="str">
        <f t="shared" si="30"/>
        <v/>
      </c>
      <c r="Q206" s="3">
        <f t="shared" si="31"/>
        <v>0</v>
      </c>
      <c r="R206" s="3">
        <f t="shared" si="32"/>
        <v>0</v>
      </c>
      <c r="S206" s="3" t="e" cm="1">
        <f t="array" aca="1" ref="S206" ca="1">SUMPRODUCT(MID($P206,ROW(INDIRECT("1:23")),1)*2^(-ROW(INDIRECT("1:23"))))</f>
        <v>#VALUE!</v>
      </c>
      <c r="T206" s="3" t="e">
        <f t="shared" ca="1" si="33"/>
        <v>#VALUE!</v>
      </c>
      <c r="U206" s="3" t="e">
        <f t="shared" ca="1" si="34"/>
        <v>#VALUE!</v>
      </c>
      <c r="V206" s="73"/>
      <c r="W206" s="9" t="str">
        <f t="shared" si="35"/>
        <v>NG</v>
      </c>
    </row>
    <row r="207" spans="1:23" x14ac:dyDescent="0.3">
      <c r="A207" s="44">
        <v>204</v>
      </c>
      <c r="B207" s="14">
        <v>4</v>
      </c>
      <c r="C207" s="4">
        <v>8</v>
      </c>
      <c r="D207" s="3" t="str">
        <f>VLOOKUP($C207,Overall!$K$5:$T$36,2)</f>
        <v>Overflow</v>
      </c>
      <c r="E207" s="3">
        <f ca="1">VLOOKUP($C207,Overall!$K$5:$T$36,10)</f>
        <v>4.2535303978081149E+38</v>
      </c>
      <c r="F207" s="9" t="str">
        <f>VLOOKUP($C207,Overall!$K$5:$T$36,6)</f>
        <v>01111111101000000000000000000010</v>
      </c>
      <c r="G207" s="8">
        <v>6</v>
      </c>
      <c r="H207" s="3" t="str">
        <f>VLOOKUP($G207,Overall!$K$5:$T$36,2)</f>
        <v>Underflow</v>
      </c>
      <c r="I207" s="3">
        <f ca="1">VLOOKUP($G207,Overall!$K$5:$T$36,10)</f>
        <v>-1.1754942106924411E-38</v>
      </c>
      <c r="J207" s="62" t="str">
        <f>VLOOKUP($G207,Overall!$K$5:$T$36,6)</f>
        <v>10000000011111111111111111111111</v>
      </c>
      <c r="K207" s="8">
        <f t="shared" ca="1" si="27"/>
        <v>-5.000000357627755</v>
      </c>
      <c r="L207" s="62">
        <f>VLOOKUP($B207,Overall!$B$5:$I$13,8)</f>
        <v>1</v>
      </c>
      <c r="M207" s="58"/>
      <c r="N207" s="3" t="str">
        <f t="shared" si="28"/>
        <v/>
      </c>
      <c r="O207" s="3" t="str">
        <f t="shared" si="29"/>
        <v/>
      </c>
      <c r="P207" s="3" t="str">
        <f t="shared" si="30"/>
        <v/>
      </c>
      <c r="Q207" s="3">
        <f t="shared" si="31"/>
        <v>0</v>
      </c>
      <c r="R207" s="3">
        <f t="shared" si="32"/>
        <v>0</v>
      </c>
      <c r="S207" s="3" t="e" cm="1">
        <f t="array" aca="1" ref="S207" ca="1">SUMPRODUCT(MID($P207,ROW(INDIRECT("1:23")),1)*2^(-ROW(INDIRECT("1:23"))))</f>
        <v>#VALUE!</v>
      </c>
      <c r="T207" s="3" t="e">
        <f t="shared" ca="1" si="33"/>
        <v>#VALUE!</v>
      </c>
      <c r="U207" s="3" t="e">
        <f t="shared" ca="1" si="34"/>
        <v>#VALUE!</v>
      </c>
      <c r="V207" s="73"/>
      <c r="W207" s="9" t="str">
        <f t="shared" si="35"/>
        <v>NG</v>
      </c>
    </row>
    <row r="208" spans="1:23" x14ac:dyDescent="0.3">
      <c r="A208" s="44">
        <v>205</v>
      </c>
      <c r="B208" s="14">
        <v>4</v>
      </c>
      <c r="C208" s="4">
        <v>9</v>
      </c>
      <c r="D208" s="3" t="str">
        <f>VLOOKUP($C208,Overall!$K$5:$T$36,2)</f>
        <v>Overflow</v>
      </c>
      <c r="E208" s="3">
        <f ca="1">VLOOKUP($C208,Overall!$K$5:$T$36,10)</f>
        <v>6.8056469327705772E+38</v>
      </c>
      <c r="F208" s="9" t="str">
        <f>VLOOKUP($C208,Overall!$K$5:$T$36,6)</f>
        <v>01111111111111111111111111111111</v>
      </c>
      <c r="G208" s="8">
        <v>1</v>
      </c>
      <c r="H208" s="3" t="str">
        <f>VLOOKUP($G208,Overall!$K$5:$T$36,2)</f>
        <v>Underflow</v>
      </c>
      <c r="I208" s="3">
        <f ca="1">VLOOKUP($G208,Overall!$K$5:$T$36,10)</f>
        <v>1.4012984643248171E-45</v>
      </c>
      <c r="J208" s="62" t="str">
        <f>VLOOKUP($G208,Overall!$K$5:$T$36,6)</f>
        <v>00000000000000000000000000000001</v>
      </c>
      <c r="K208" s="8">
        <f t="shared" ca="1" si="27"/>
        <v>9.5367425956283114E-7</v>
      </c>
      <c r="L208" s="62">
        <f>VLOOKUP($B208,Overall!$B$5:$I$13,8)</f>
        <v>1</v>
      </c>
      <c r="M208" s="58"/>
      <c r="N208" s="3" t="str">
        <f t="shared" si="28"/>
        <v/>
      </c>
      <c r="O208" s="3" t="str">
        <f t="shared" si="29"/>
        <v/>
      </c>
      <c r="P208" s="3" t="str">
        <f t="shared" si="30"/>
        <v/>
      </c>
      <c r="Q208" s="3">
        <f t="shared" si="31"/>
        <v>0</v>
      </c>
      <c r="R208" s="3">
        <f t="shared" si="32"/>
        <v>0</v>
      </c>
      <c r="S208" s="3" t="e" cm="1">
        <f t="array" aca="1" ref="S208" ca="1">SUMPRODUCT(MID($P208,ROW(INDIRECT("1:23")),1)*2^(-ROW(INDIRECT("1:23"))))</f>
        <v>#VALUE!</v>
      </c>
      <c r="T208" s="3" t="e">
        <f t="shared" ca="1" si="33"/>
        <v>#VALUE!</v>
      </c>
      <c r="U208" s="3" t="e">
        <f t="shared" ca="1" si="34"/>
        <v>#VALUE!</v>
      </c>
      <c r="V208" s="73"/>
      <c r="W208" s="9" t="str">
        <f t="shared" si="35"/>
        <v>NG</v>
      </c>
    </row>
    <row r="209" spans="1:23" x14ac:dyDescent="0.3">
      <c r="A209" s="44">
        <v>206</v>
      </c>
      <c r="B209" s="14">
        <v>4</v>
      </c>
      <c r="C209" s="4">
        <v>9</v>
      </c>
      <c r="D209" s="3" t="str">
        <f>VLOOKUP($C209,Overall!$K$5:$T$36,2)</f>
        <v>Overflow</v>
      </c>
      <c r="E209" s="3">
        <f ca="1">VLOOKUP($C209,Overall!$K$5:$T$36,10)</f>
        <v>6.8056469327705772E+38</v>
      </c>
      <c r="F209" s="9" t="str">
        <f>VLOOKUP($C209,Overall!$K$5:$T$36,6)</f>
        <v>01111111111111111111111111111111</v>
      </c>
      <c r="G209" s="8">
        <v>2</v>
      </c>
      <c r="H209" s="3" t="str">
        <f>VLOOKUP($G209,Overall!$K$5:$T$36,2)</f>
        <v>Underflow</v>
      </c>
      <c r="I209" s="3">
        <f ca="1">VLOOKUP($G209,Overall!$K$5:$T$36,10)</f>
        <v>2.9387386796526474E-39</v>
      </c>
      <c r="J209" s="62" t="str">
        <f>VLOOKUP($G209,Overall!$K$5:$T$36,6)</f>
        <v>00000000001000000000000000000010</v>
      </c>
      <c r="K209" s="8">
        <f t="shared" ca="1" si="27"/>
        <v>2.0000017881392296</v>
      </c>
      <c r="L209" s="62">
        <f>VLOOKUP($B209,Overall!$B$5:$I$13,8)</f>
        <v>1</v>
      </c>
      <c r="M209" s="58"/>
      <c r="N209" s="3" t="str">
        <f t="shared" si="28"/>
        <v/>
      </c>
      <c r="O209" s="3" t="str">
        <f t="shared" si="29"/>
        <v/>
      </c>
      <c r="P209" s="3" t="str">
        <f t="shared" si="30"/>
        <v/>
      </c>
      <c r="Q209" s="3">
        <f t="shared" si="31"/>
        <v>0</v>
      </c>
      <c r="R209" s="3">
        <f t="shared" si="32"/>
        <v>0</v>
      </c>
      <c r="S209" s="3" t="e" cm="1">
        <f t="array" aca="1" ref="S209" ca="1">SUMPRODUCT(MID($P209,ROW(INDIRECT("1:23")),1)*2^(-ROW(INDIRECT("1:23"))))</f>
        <v>#VALUE!</v>
      </c>
      <c r="T209" s="3" t="e">
        <f t="shared" ca="1" si="33"/>
        <v>#VALUE!</v>
      </c>
      <c r="U209" s="3" t="e">
        <f t="shared" ca="1" si="34"/>
        <v>#VALUE!</v>
      </c>
      <c r="V209" s="73"/>
      <c r="W209" s="9" t="str">
        <f t="shared" si="35"/>
        <v>NG</v>
      </c>
    </row>
    <row r="210" spans="1:23" x14ac:dyDescent="0.3">
      <c r="A210" s="44">
        <v>207</v>
      </c>
      <c r="B210" s="14">
        <v>4</v>
      </c>
      <c r="C210" s="4">
        <v>9</v>
      </c>
      <c r="D210" s="3" t="str">
        <f>VLOOKUP($C210,Overall!$K$5:$T$36,2)</f>
        <v>Overflow</v>
      </c>
      <c r="E210" s="3">
        <f ca="1">VLOOKUP($C210,Overall!$K$5:$T$36,10)</f>
        <v>6.8056469327705772E+38</v>
      </c>
      <c r="F210" s="9" t="str">
        <f>VLOOKUP($C210,Overall!$K$5:$T$36,6)</f>
        <v>01111111111111111111111111111111</v>
      </c>
      <c r="G210" s="8">
        <v>3</v>
      </c>
      <c r="H210" s="3" t="str">
        <f>VLOOKUP($G210,Overall!$K$5:$T$36,2)</f>
        <v>Underflow</v>
      </c>
      <c r="I210" s="3">
        <f ca="1">VLOOKUP($G210,Overall!$K$5:$T$36,10)</f>
        <v>1.1754942106924411E-38</v>
      </c>
      <c r="J210" s="62" t="str">
        <f>VLOOKUP($G210,Overall!$K$5:$T$36,6)</f>
        <v>00000000011111111111111111111111</v>
      </c>
      <c r="K210" s="8">
        <f t="shared" ca="1" si="27"/>
        <v>7.9999985694885822</v>
      </c>
      <c r="L210" s="62">
        <f>VLOOKUP($B210,Overall!$B$5:$I$13,8)</f>
        <v>1</v>
      </c>
      <c r="M210" s="58"/>
      <c r="N210" s="3" t="str">
        <f t="shared" si="28"/>
        <v/>
      </c>
      <c r="O210" s="3" t="str">
        <f t="shared" si="29"/>
        <v/>
      </c>
      <c r="P210" s="3" t="str">
        <f t="shared" si="30"/>
        <v/>
      </c>
      <c r="Q210" s="3">
        <f t="shared" si="31"/>
        <v>0</v>
      </c>
      <c r="R210" s="3">
        <f t="shared" si="32"/>
        <v>0</v>
      </c>
      <c r="S210" s="3" t="e" cm="1">
        <f t="array" aca="1" ref="S210" ca="1">SUMPRODUCT(MID($P210,ROW(INDIRECT("1:23")),1)*2^(-ROW(INDIRECT("1:23"))))</f>
        <v>#VALUE!</v>
      </c>
      <c r="T210" s="3" t="e">
        <f t="shared" ca="1" si="33"/>
        <v>#VALUE!</v>
      </c>
      <c r="U210" s="3" t="e">
        <f t="shared" ca="1" si="34"/>
        <v>#VALUE!</v>
      </c>
      <c r="V210" s="73"/>
      <c r="W210" s="9" t="str">
        <f t="shared" si="35"/>
        <v>NG</v>
      </c>
    </row>
    <row r="211" spans="1:23" x14ac:dyDescent="0.3">
      <c r="A211" s="44">
        <v>208</v>
      </c>
      <c r="B211" s="14">
        <v>4</v>
      </c>
      <c r="C211" s="4">
        <v>9</v>
      </c>
      <c r="D211" s="3" t="str">
        <f>VLOOKUP($C211,Overall!$K$5:$T$36,2)</f>
        <v>Overflow</v>
      </c>
      <c r="E211" s="3">
        <f ca="1">VLOOKUP($C211,Overall!$K$5:$T$36,10)</f>
        <v>6.8056469327705772E+38</v>
      </c>
      <c r="F211" s="9" t="str">
        <f>VLOOKUP($C211,Overall!$K$5:$T$36,6)</f>
        <v>01111111111111111111111111111111</v>
      </c>
      <c r="G211" s="8">
        <v>4</v>
      </c>
      <c r="H211" s="3" t="str">
        <f>VLOOKUP($G211,Overall!$K$5:$T$36,2)</f>
        <v>Underflow</v>
      </c>
      <c r="I211" s="3">
        <f ca="1">VLOOKUP($G211,Overall!$K$5:$T$36,10)</f>
        <v>-1.4012984643248171E-45</v>
      </c>
      <c r="J211" s="62" t="str">
        <f>VLOOKUP($G211,Overall!$K$5:$T$36,6)</f>
        <v>10000000000000000000000000000001</v>
      </c>
      <c r="K211" s="8">
        <f t="shared" ca="1" si="27"/>
        <v>-9.5367425956283114E-7</v>
      </c>
      <c r="L211" s="62">
        <f>VLOOKUP($B211,Overall!$B$5:$I$13,8)</f>
        <v>1</v>
      </c>
      <c r="M211" s="58"/>
      <c r="N211" s="3" t="str">
        <f t="shared" si="28"/>
        <v/>
      </c>
      <c r="O211" s="3" t="str">
        <f t="shared" si="29"/>
        <v/>
      </c>
      <c r="P211" s="3" t="str">
        <f t="shared" si="30"/>
        <v/>
      </c>
      <c r="Q211" s="3">
        <f t="shared" si="31"/>
        <v>0</v>
      </c>
      <c r="R211" s="3">
        <f t="shared" si="32"/>
        <v>0</v>
      </c>
      <c r="S211" s="3" t="e" cm="1">
        <f t="array" aca="1" ref="S211" ca="1">SUMPRODUCT(MID($P211,ROW(INDIRECT("1:23")),1)*2^(-ROW(INDIRECT("1:23"))))</f>
        <v>#VALUE!</v>
      </c>
      <c r="T211" s="3" t="e">
        <f t="shared" ca="1" si="33"/>
        <v>#VALUE!</v>
      </c>
      <c r="U211" s="3" t="e">
        <f t="shared" ca="1" si="34"/>
        <v>#VALUE!</v>
      </c>
      <c r="V211" s="73"/>
      <c r="W211" s="9" t="str">
        <f t="shared" si="35"/>
        <v>NG</v>
      </c>
    </row>
    <row r="212" spans="1:23" x14ac:dyDescent="0.3">
      <c r="A212" s="44">
        <v>209</v>
      </c>
      <c r="B212" s="14">
        <v>4</v>
      </c>
      <c r="C212" s="4">
        <v>9</v>
      </c>
      <c r="D212" s="3" t="str">
        <f>VLOOKUP($C212,Overall!$K$5:$T$36,2)</f>
        <v>Overflow</v>
      </c>
      <c r="E212" s="3">
        <f ca="1">VLOOKUP($C212,Overall!$K$5:$T$36,10)</f>
        <v>6.8056469327705772E+38</v>
      </c>
      <c r="F212" s="9" t="str">
        <f>VLOOKUP($C212,Overall!$K$5:$T$36,6)</f>
        <v>01111111111111111111111111111111</v>
      </c>
      <c r="G212" s="8">
        <v>5</v>
      </c>
      <c r="H212" s="3" t="str">
        <f>VLOOKUP($G212,Overall!$K$5:$T$36,2)</f>
        <v>Underflow</v>
      </c>
      <c r="I212" s="3">
        <f ca="1">VLOOKUP($G212,Overall!$K$5:$T$36,10)</f>
        <v>-2.9387386796526474E-39</v>
      </c>
      <c r="J212" s="62" t="str">
        <f>VLOOKUP($G212,Overall!$K$5:$T$36,6)</f>
        <v>10000000001000000000000000000010</v>
      </c>
      <c r="K212" s="8">
        <f t="shared" ca="1" si="27"/>
        <v>-2.0000017881392296</v>
      </c>
      <c r="L212" s="62">
        <f>VLOOKUP($B212,Overall!$B$5:$I$13,8)</f>
        <v>1</v>
      </c>
      <c r="M212" s="58"/>
      <c r="N212" s="3" t="str">
        <f t="shared" si="28"/>
        <v/>
      </c>
      <c r="O212" s="3" t="str">
        <f t="shared" si="29"/>
        <v/>
      </c>
      <c r="P212" s="3" t="str">
        <f t="shared" si="30"/>
        <v/>
      </c>
      <c r="Q212" s="3">
        <f t="shared" si="31"/>
        <v>0</v>
      </c>
      <c r="R212" s="3">
        <f t="shared" si="32"/>
        <v>0</v>
      </c>
      <c r="S212" s="3" t="e" cm="1">
        <f t="array" aca="1" ref="S212" ca="1">SUMPRODUCT(MID($P212,ROW(INDIRECT("1:23")),1)*2^(-ROW(INDIRECT("1:23"))))</f>
        <v>#VALUE!</v>
      </c>
      <c r="T212" s="3" t="e">
        <f t="shared" ca="1" si="33"/>
        <v>#VALUE!</v>
      </c>
      <c r="U212" s="3" t="e">
        <f t="shared" ca="1" si="34"/>
        <v>#VALUE!</v>
      </c>
      <c r="V212" s="73"/>
      <c r="W212" s="9" t="str">
        <f t="shared" si="35"/>
        <v>NG</v>
      </c>
    </row>
    <row r="213" spans="1:23" x14ac:dyDescent="0.3">
      <c r="A213" s="44">
        <v>210</v>
      </c>
      <c r="B213" s="14">
        <v>4</v>
      </c>
      <c r="C213" s="4">
        <v>9</v>
      </c>
      <c r="D213" s="3" t="str">
        <f>VLOOKUP($C213,Overall!$K$5:$T$36,2)</f>
        <v>Overflow</v>
      </c>
      <c r="E213" s="3">
        <f ca="1">VLOOKUP($C213,Overall!$K$5:$T$36,10)</f>
        <v>6.8056469327705772E+38</v>
      </c>
      <c r="F213" s="9" t="str">
        <f>VLOOKUP($C213,Overall!$K$5:$T$36,6)</f>
        <v>01111111111111111111111111111111</v>
      </c>
      <c r="G213" s="8">
        <v>6</v>
      </c>
      <c r="H213" s="3" t="str">
        <f>VLOOKUP($G213,Overall!$K$5:$T$36,2)</f>
        <v>Underflow</v>
      </c>
      <c r="I213" s="3">
        <f ca="1">VLOOKUP($G213,Overall!$K$5:$T$36,10)</f>
        <v>-1.1754942106924411E-38</v>
      </c>
      <c r="J213" s="62" t="str">
        <f>VLOOKUP($G213,Overall!$K$5:$T$36,6)</f>
        <v>10000000011111111111111111111111</v>
      </c>
      <c r="K213" s="8">
        <f t="shared" ca="1" si="27"/>
        <v>-7.9999985694885822</v>
      </c>
      <c r="L213" s="62">
        <f>VLOOKUP($B213,Overall!$B$5:$I$13,8)</f>
        <v>1</v>
      </c>
      <c r="M213" s="58"/>
      <c r="N213" s="3" t="str">
        <f t="shared" si="28"/>
        <v/>
      </c>
      <c r="O213" s="3" t="str">
        <f t="shared" si="29"/>
        <v/>
      </c>
      <c r="P213" s="3" t="str">
        <f t="shared" si="30"/>
        <v/>
      </c>
      <c r="Q213" s="3">
        <f t="shared" si="31"/>
        <v>0</v>
      </c>
      <c r="R213" s="3">
        <f t="shared" si="32"/>
        <v>0</v>
      </c>
      <c r="S213" s="3" t="e" cm="1">
        <f t="array" aca="1" ref="S213" ca="1">SUMPRODUCT(MID($P213,ROW(INDIRECT("1:23")),1)*2^(-ROW(INDIRECT("1:23"))))</f>
        <v>#VALUE!</v>
      </c>
      <c r="T213" s="3" t="e">
        <f t="shared" ca="1" si="33"/>
        <v>#VALUE!</v>
      </c>
      <c r="U213" s="3" t="e">
        <f t="shared" ca="1" si="34"/>
        <v>#VALUE!</v>
      </c>
      <c r="V213" s="73"/>
      <c r="W213" s="9" t="str">
        <f t="shared" si="35"/>
        <v>NG</v>
      </c>
    </row>
    <row r="214" spans="1:23" x14ac:dyDescent="0.3">
      <c r="A214" s="44">
        <v>211</v>
      </c>
      <c r="B214" s="14">
        <v>4</v>
      </c>
      <c r="C214" s="4">
        <v>10</v>
      </c>
      <c r="D214" s="3" t="str">
        <f>VLOOKUP($C214,Overall!$K$5:$T$36,2)</f>
        <v>Overflow</v>
      </c>
      <c r="E214" s="3">
        <f ca="1">VLOOKUP($C214,Overall!$K$5:$T$36,10)</f>
        <v>-3.4028240748575767E+38</v>
      </c>
      <c r="F214" s="9" t="str">
        <f>VLOOKUP($C214,Overall!$K$5:$T$36,6)</f>
        <v>11111111100000000000000000000001</v>
      </c>
      <c r="G214" s="8">
        <v>1</v>
      </c>
      <c r="H214" s="3" t="str">
        <f>VLOOKUP($G214,Overall!$K$5:$T$36,2)</f>
        <v>Underflow</v>
      </c>
      <c r="I214" s="3">
        <f ca="1">VLOOKUP($G214,Overall!$K$5:$T$36,10)</f>
        <v>1.4012984643248171E-45</v>
      </c>
      <c r="J214" s="62" t="str">
        <f>VLOOKUP($G214,Overall!$K$5:$T$36,6)</f>
        <v>00000000000000000000000000000001</v>
      </c>
      <c r="K214" s="8">
        <f t="shared" ca="1" si="27"/>
        <v>-4.7683721504654386E-7</v>
      </c>
      <c r="L214" s="62">
        <f>VLOOKUP($B214,Overall!$B$5:$I$13,8)</f>
        <v>1</v>
      </c>
      <c r="M214" s="58"/>
      <c r="N214" s="3" t="str">
        <f t="shared" si="28"/>
        <v/>
      </c>
      <c r="O214" s="3" t="str">
        <f t="shared" si="29"/>
        <v/>
      </c>
      <c r="P214" s="3" t="str">
        <f t="shared" si="30"/>
        <v/>
      </c>
      <c r="Q214" s="3">
        <f t="shared" si="31"/>
        <v>0</v>
      </c>
      <c r="R214" s="3">
        <f t="shared" si="32"/>
        <v>0</v>
      </c>
      <c r="S214" s="3" t="e" cm="1">
        <f t="array" aca="1" ref="S214" ca="1">SUMPRODUCT(MID($P214,ROW(INDIRECT("1:23")),1)*2^(-ROW(INDIRECT("1:23"))))</f>
        <v>#VALUE!</v>
      </c>
      <c r="T214" s="3" t="e">
        <f t="shared" ca="1" si="33"/>
        <v>#VALUE!</v>
      </c>
      <c r="U214" s="3" t="e">
        <f t="shared" ca="1" si="34"/>
        <v>#VALUE!</v>
      </c>
      <c r="V214" s="73"/>
      <c r="W214" s="9" t="str">
        <f t="shared" si="35"/>
        <v>NG</v>
      </c>
    </row>
    <row r="215" spans="1:23" x14ac:dyDescent="0.3">
      <c r="A215" s="44">
        <v>212</v>
      </c>
      <c r="B215" s="14">
        <v>4</v>
      </c>
      <c r="C215" s="4">
        <v>10</v>
      </c>
      <c r="D215" s="3" t="str">
        <f>VLOOKUP($C215,Overall!$K$5:$T$36,2)</f>
        <v>Overflow</v>
      </c>
      <c r="E215" s="3">
        <f ca="1">VLOOKUP($C215,Overall!$K$5:$T$36,10)</f>
        <v>-3.4028240748575767E+38</v>
      </c>
      <c r="F215" s="9" t="str">
        <f>VLOOKUP($C215,Overall!$K$5:$T$36,6)</f>
        <v>11111111100000000000000000000001</v>
      </c>
      <c r="G215" s="8">
        <v>2</v>
      </c>
      <c r="H215" s="3" t="str">
        <f>VLOOKUP($G215,Overall!$K$5:$T$36,2)</f>
        <v>Underflow</v>
      </c>
      <c r="I215" s="3">
        <f ca="1">VLOOKUP($G215,Overall!$K$5:$T$36,10)</f>
        <v>2.9387386796526474E-39</v>
      </c>
      <c r="J215" s="62" t="str">
        <f>VLOOKUP($G215,Overall!$K$5:$T$36,6)</f>
        <v>00000000001000000000000000000010</v>
      </c>
      <c r="K215" s="8">
        <f t="shared" ca="1" si="27"/>
        <v>-1.0000010728837196</v>
      </c>
      <c r="L215" s="62">
        <f>VLOOKUP($B215,Overall!$B$5:$I$13,8)</f>
        <v>1</v>
      </c>
      <c r="M215" s="58"/>
      <c r="N215" s="3" t="str">
        <f t="shared" si="28"/>
        <v/>
      </c>
      <c r="O215" s="3" t="str">
        <f t="shared" si="29"/>
        <v/>
      </c>
      <c r="P215" s="3" t="str">
        <f t="shared" si="30"/>
        <v/>
      </c>
      <c r="Q215" s="3">
        <f t="shared" si="31"/>
        <v>0</v>
      </c>
      <c r="R215" s="3">
        <f t="shared" si="32"/>
        <v>0</v>
      </c>
      <c r="S215" s="3" t="e" cm="1">
        <f t="array" aca="1" ref="S215" ca="1">SUMPRODUCT(MID($P215,ROW(INDIRECT("1:23")),1)*2^(-ROW(INDIRECT("1:23"))))</f>
        <v>#VALUE!</v>
      </c>
      <c r="T215" s="3" t="e">
        <f t="shared" ca="1" si="33"/>
        <v>#VALUE!</v>
      </c>
      <c r="U215" s="3" t="e">
        <f t="shared" ca="1" si="34"/>
        <v>#VALUE!</v>
      </c>
      <c r="V215" s="73"/>
      <c r="W215" s="9" t="str">
        <f t="shared" si="35"/>
        <v>NG</v>
      </c>
    </row>
    <row r="216" spans="1:23" x14ac:dyDescent="0.3">
      <c r="A216" s="44">
        <v>213</v>
      </c>
      <c r="B216" s="14">
        <v>4</v>
      </c>
      <c r="C216" s="4">
        <v>10</v>
      </c>
      <c r="D216" s="3" t="str">
        <f>VLOOKUP($C216,Overall!$K$5:$T$36,2)</f>
        <v>Overflow</v>
      </c>
      <c r="E216" s="3">
        <f ca="1">VLOOKUP($C216,Overall!$K$5:$T$36,10)</f>
        <v>-3.4028240748575767E+38</v>
      </c>
      <c r="F216" s="9" t="str">
        <f>VLOOKUP($C216,Overall!$K$5:$T$36,6)</f>
        <v>11111111100000000000000000000001</v>
      </c>
      <c r="G216" s="8">
        <v>3</v>
      </c>
      <c r="H216" s="3" t="str">
        <f>VLOOKUP($G216,Overall!$K$5:$T$36,2)</f>
        <v>Underflow</v>
      </c>
      <c r="I216" s="3">
        <f ca="1">VLOOKUP($G216,Overall!$K$5:$T$36,10)</f>
        <v>1.1754942106924411E-38</v>
      </c>
      <c r="J216" s="62" t="str">
        <f>VLOOKUP($G216,Overall!$K$5:$T$36,6)</f>
        <v>00000000011111111111111111111111</v>
      </c>
      <c r="K216" s="8">
        <f t="shared" ca="1" si="27"/>
        <v>-3.9999999999999432</v>
      </c>
      <c r="L216" s="62">
        <f>VLOOKUP($B216,Overall!$B$5:$I$13,8)</f>
        <v>1</v>
      </c>
      <c r="M216" s="58"/>
      <c r="N216" s="3" t="str">
        <f t="shared" si="28"/>
        <v/>
      </c>
      <c r="O216" s="3" t="str">
        <f t="shared" si="29"/>
        <v/>
      </c>
      <c r="P216" s="3" t="str">
        <f t="shared" si="30"/>
        <v/>
      </c>
      <c r="Q216" s="3">
        <f t="shared" si="31"/>
        <v>0</v>
      </c>
      <c r="R216" s="3">
        <f t="shared" si="32"/>
        <v>0</v>
      </c>
      <c r="S216" s="3" t="e" cm="1">
        <f t="array" aca="1" ref="S216" ca="1">SUMPRODUCT(MID($P216,ROW(INDIRECT("1:23")),1)*2^(-ROW(INDIRECT("1:23"))))</f>
        <v>#VALUE!</v>
      </c>
      <c r="T216" s="3" t="e">
        <f t="shared" ca="1" si="33"/>
        <v>#VALUE!</v>
      </c>
      <c r="U216" s="3" t="e">
        <f t="shared" ca="1" si="34"/>
        <v>#VALUE!</v>
      </c>
      <c r="V216" s="73"/>
      <c r="W216" s="9" t="str">
        <f t="shared" si="35"/>
        <v>NG</v>
      </c>
    </row>
    <row r="217" spans="1:23" x14ac:dyDescent="0.3">
      <c r="A217" s="44">
        <v>214</v>
      </c>
      <c r="B217" s="14">
        <v>4</v>
      </c>
      <c r="C217" s="4">
        <v>10</v>
      </c>
      <c r="D217" s="3" t="str">
        <f>VLOOKUP($C217,Overall!$K$5:$T$36,2)</f>
        <v>Overflow</v>
      </c>
      <c r="E217" s="3">
        <f ca="1">VLOOKUP($C217,Overall!$K$5:$T$36,10)</f>
        <v>-3.4028240748575767E+38</v>
      </c>
      <c r="F217" s="9" t="str">
        <f>VLOOKUP($C217,Overall!$K$5:$T$36,6)</f>
        <v>11111111100000000000000000000001</v>
      </c>
      <c r="G217" s="8">
        <v>4</v>
      </c>
      <c r="H217" s="3" t="str">
        <f>VLOOKUP($G217,Overall!$K$5:$T$36,2)</f>
        <v>Underflow</v>
      </c>
      <c r="I217" s="3">
        <f ca="1">VLOOKUP($G217,Overall!$K$5:$T$36,10)</f>
        <v>-1.4012984643248171E-45</v>
      </c>
      <c r="J217" s="62" t="str">
        <f>VLOOKUP($G217,Overall!$K$5:$T$36,6)</f>
        <v>10000000000000000000000000000001</v>
      </c>
      <c r="K217" s="8">
        <f t="shared" ca="1" si="27"/>
        <v>4.7683721504654386E-7</v>
      </c>
      <c r="L217" s="62">
        <f>VLOOKUP($B217,Overall!$B$5:$I$13,8)</f>
        <v>1</v>
      </c>
      <c r="M217" s="58"/>
      <c r="N217" s="3" t="str">
        <f t="shared" si="28"/>
        <v/>
      </c>
      <c r="O217" s="3" t="str">
        <f t="shared" si="29"/>
        <v/>
      </c>
      <c r="P217" s="3" t="str">
        <f t="shared" si="30"/>
        <v/>
      </c>
      <c r="Q217" s="3">
        <f t="shared" si="31"/>
        <v>0</v>
      </c>
      <c r="R217" s="3">
        <f t="shared" si="32"/>
        <v>0</v>
      </c>
      <c r="S217" s="3" t="e" cm="1">
        <f t="array" aca="1" ref="S217" ca="1">SUMPRODUCT(MID($P217,ROW(INDIRECT("1:23")),1)*2^(-ROW(INDIRECT("1:23"))))</f>
        <v>#VALUE!</v>
      </c>
      <c r="T217" s="3" t="e">
        <f t="shared" ca="1" si="33"/>
        <v>#VALUE!</v>
      </c>
      <c r="U217" s="3" t="e">
        <f t="shared" ca="1" si="34"/>
        <v>#VALUE!</v>
      </c>
      <c r="V217" s="73"/>
      <c r="W217" s="9" t="str">
        <f t="shared" si="35"/>
        <v>NG</v>
      </c>
    </row>
    <row r="218" spans="1:23" x14ac:dyDescent="0.3">
      <c r="A218" s="44">
        <v>215</v>
      </c>
      <c r="B218" s="14">
        <v>4</v>
      </c>
      <c r="C218" s="4">
        <v>10</v>
      </c>
      <c r="D218" s="3" t="str">
        <f>VLOOKUP($C218,Overall!$K$5:$T$36,2)</f>
        <v>Overflow</v>
      </c>
      <c r="E218" s="3">
        <f ca="1">VLOOKUP($C218,Overall!$K$5:$T$36,10)</f>
        <v>-3.4028240748575767E+38</v>
      </c>
      <c r="F218" s="9" t="str">
        <f>VLOOKUP($C218,Overall!$K$5:$T$36,6)</f>
        <v>11111111100000000000000000000001</v>
      </c>
      <c r="G218" s="8">
        <v>5</v>
      </c>
      <c r="H218" s="3" t="str">
        <f>VLOOKUP($G218,Overall!$K$5:$T$36,2)</f>
        <v>Underflow</v>
      </c>
      <c r="I218" s="3">
        <f ca="1">VLOOKUP($G218,Overall!$K$5:$T$36,10)</f>
        <v>-2.9387386796526474E-39</v>
      </c>
      <c r="J218" s="62" t="str">
        <f>VLOOKUP($G218,Overall!$K$5:$T$36,6)</f>
        <v>10000000001000000000000000000010</v>
      </c>
      <c r="K218" s="8">
        <f t="shared" ca="1" si="27"/>
        <v>1.0000010728837196</v>
      </c>
      <c r="L218" s="62">
        <f>VLOOKUP($B218,Overall!$B$5:$I$13,8)</f>
        <v>1</v>
      </c>
      <c r="M218" s="58"/>
      <c r="N218" s="3" t="str">
        <f t="shared" si="28"/>
        <v/>
      </c>
      <c r="O218" s="3" t="str">
        <f t="shared" si="29"/>
        <v/>
      </c>
      <c r="P218" s="3" t="str">
        <f t="shared" si="30"/>
        <v/>
      </c>
      <c r="Q218" s="3">
        <f t="shared" si="31"/>
        <v>0</v>
      </c>
      <c r="R218" s="3">
        <f t="shared" si="32"/>
        <v>0</v>
      </c>
      <c r="S218" s="3" t="e" cm="1">
        <f t="array" aca="1" ref="S218" ca="1">SUMPRODUCT(MID($P218,ROW(INDIRECT("1:23")),1)*2^(-ROW(INDIRECT("1:23"))))</f>
        <v>#VALUE!</v>
      </c>
      <c r="T218" s="3" t="e">
        <f t="shared" ca="1" si="33"/>
        <v>#VALUE!</v>
      </c>
      <c r="U218" s="3" t="e">
        <f t="shared" ca="1" si="34"/>
        <v>#VALUE!</v>
      </c>
      <c r="V218" s="73"/>
      <c r="W218" s="9" t="str">
        <f t="shared" si="35"/>
        <v>NG</v>
      </c>
    </row>
    <row r="219" spans="1:23" x14ac:dyDescent="0.3">
      <c r="A219" s="44">
        <v>216</v>
      </c>
      <c r="B219" s="14">
        <v>4</v>
      </c>
      <c r="C219" s="4">
        <v>10</v>
      </c>
      <c r="D219" s="3" t="str">
        <f>VLOOKUP($C219,Overall!$K$5:$T$36,2)</f>
        <v>Overflow</v>
      </c>
      <c r="E219" s="3">
        <f ca="1">VLOOKUP($C219,Overall!$K$5:$T$36,10)</f>
        <v>-3.4028240748575767E+38</v>
      </c>
      <c r="F219" s="9" t="str">
        <f>VLOOKUP($C219,Overall!$K$5:$T$36,6)</f>
        <v>11111111100000000000000000000001</v>
      </c>
      <c r="G219" s="8">
        <v>6</v>
      </c>
      <c r="H219" s="3" t="str">
        <f>VLOOKUP($G219,Overall!$K$5:$T$36,2)</f>
        <v>Underflow</v>
      </c>
      <c r="I219" s="3">
        <f ca="1">VLOOKUP($G219,Overall!$K$5:$T$36,10)</f>
        <v>-1.1754942106924411E-38</v>
      </c>
      <c r="J219" s="62" t="str">
        <f>VLOOKUP($G219,Overall!$K$5:$T$36,6)</f>
        <v>10000000011111111111111111111111</v>
      </c>
      <c r="K219" s="8">
        <f t="shared" ca="1" si="27"/>
        <v>3.9999999999999432</v>
      </c>
      <c r="L219" s="62">
        <f>VLOOKUP($B219,Overall!$B$5:$I$13,8)</f>
        <v>1</v>
      </c>
      <c r="M219" s="58"/>
      <c r="N219" s="3" t="str">
        <f t="shared" si="28"/>
        <v/>
      </c>
      <c r="O219" s="3" t="str">
        <f t="shared" si="29"/>
        <v/>
      </c>
      <c r="P219" s="3" t="str">
        <f t="shared" si="30"/>
        <v/>
      </c>
      <c r="Q219" s="3">
        <f t="shared" si="31"/>
        <v>0</v>
      </c>
      <c r="R219" s="3">
        <f t="shared" si="32"/>
        <v>0</v>
      </c>
      <c r="S219" s="3" t="e" cm="1">
        <f t="array" aca="1" ref="S219" ca="1">SUMPRODUCT(MID($P219,ROW(INDIRECT("1:23")),1)*2^(-ROW(INDIRECT("1:23"))))</f>
        <v>#VALUE!</v>
      </c>
      <c r="T219" s="3" t="e">
        <f t="shared" ca="1" si="33"/>
        <v>#VALUE!</v>
      </c>
      <c r="U219" s="3" t="e">
        <f t="shared" ca="1" si="34"/>
        <v>#VALUE!</v>
      </c>
      <c r="V219" s="73"/>
      <c r="W219" s="9" t="str">
        <f t="shared" si="35"/>
        <v>NG</v>
      </c>
    </row>
    <row r="220" spans="1:23" x14ac:dyDescent="0.3">
      <c r="A220" s="44">
        <v>217</v>
      </c>
      <c r="B220" s="14">
        <v>4</v>
      </c>
      <c r="C220" s="4">
        <v>11</v>
      </c>
      <c r="D220" s="3" t="str">
        <f>VLOOKUP($C220,Overall!$K$5:$T$36,2)</f>
        <v>Overflow</v>
      </c>
      <c r="E220" s="3">
        <f ca="1">VLOOKUP($C220,Overall!$K$5:$T$36,10)</f>
        <v>-4.2535303978081149E+38</v>
      </c>
      <c r="F220" s="9" t="str">
        <f>VLOOKUP($C220,Overall!$K$5:$T$36,6)</f>
        <v>11111111101000000000000000000010</v>
      </c>
      <c r="G220" s="8">
        <v>1</v>
      </c>
      <c r="H220" s="3" t="str">
        <f>VLOOKUP($G220,Overall!$K$5:$T$36,2)</f>
        <v>Underflow</v>
      </c>
      <c r="I220" s="3">
        <f ca="1">VLOOKUP($G220,Overall!$K$5:$T$36,10)</f>
        <v>1.4012984643248171E-45</v>
      </c>
      <c r="J220" s="62" t="str">
        <f>VLOOKUP($G220,Overall!$K$5:$T$36,6)</f>
        <v>00000000000000000000000000000001</v>
      </c>
      <c r="K220" s="8">
        <f t="shared" ca="1" si="27"/>
        <v>-5.9604656144074397E-7</v>
      </c>
      <c r="L220" s="62">
        <f>VLOOKUP($B220,Overall!$B$5:$I$13,8)</f>
        <v>1</v>
      </c>
      <c r="M220" s="58"/>
      <c r="N220" s="3" t="str">
        <f t="shared" si="28"/>
        <v/>
      </c>
      <c r="O220" s="3" t="str">
        <f t="shared" si="29"/>
        <v/>
      </c>
      <c r="P220" s="3" t="str">
        <f t="shared" si="30"/>
        <v/>
      </c>
      <c r="Q220" s="3">
        <f t="shared" si="31"/>
        <v>0</v>
      </c>
      <c r="R220" s="3">
        <f t="shared" si="32"/>
        <v>0</v>
      </c>
      <c r="S220" s="3" t="e" cm="1">
        <f t="array" aca="1" ref="S220" ca="1">SUMPRODUCT(MID($P220,ROW(INDIRECT("1:23")),1)*2^(-ROW(INDIRECT("1:23"))))</f>
        <v>#VALUE!</v>
      </c>
      <c r="T220" s="3" t="e">
        <f t="shared" ca="1" si="33"/>
        <v>#VALUE!</v>
      </c>
      <c r="U220" s="3" t="e">
        <f t="shared" ca="1" si="34"/>
        <v>#VALUE!</v>
      </c>
      <c r="V220" s="73"/>
      <c r="W220" s="9" t="str">
        <f t="shared" si="35"/>
        <v>NG</v>
      </c>
    </row>
    <row r="221" spans="1:23" x14ac:dyDescent="0.3">
      <c r="A221" s="44">
        <v>218</v>
      </c>
      <c r="B221" s="14">
        <v>4</v>
      </c>
      <c r="C221" s="4">
        <v>11</v>
      </c>
      <c r="D221" s="3" t="str">
        <f>VLOOKUP($C221,Overall!$K$5:$T$36,2)</f>
        <v>Overflow</v>
      </c>
      <c r="E221" s="3">
        <f ca="1">VLOOKUP($C221,Overall!$K$5:$T$36,10)</f>
        <v>-4.2535303978081149E+38</v>
      </c>
      <c r="F221" s="9" t="str">
        <f>VLOOKUP($C221,Overall!$K$5:$T$36,6)</f>
        <v>11111111101000000000000000000010</v>
      </c>
      <c r="G221" s="8">
        <v>2</v>
      </c>
      <c r="H221" s="3" t="str">
        <f>VLOOKUP($G221,Overall!$K$5:$T$36,2)</f>
        <v>Underflow</v>
      </c>
      <c r="I221" s="3">
        <f ca="1">VLOOKUP($G221,Overall!$K$5:$T$36,10)</f>
        <v>2.9387386796526474E-39</v>
      </c>
      <c r="J221" s="62" t="str">
        <f>VLOOKUP($G221,Overall!$K$5:$T$36,6)</f>
        <v>00000000001000000000000000000010</v>
      </c>
      <c r="K221" s="8">
        <f t="shared" ca="1" si="27"/>
        <v>-1.250001430511702</v>
      </c>
      <c r="L221" s="62">
        <f>VLOOKUP($B221,Overall!$B$5:$I$13,8)</f>
        <v>1</v>
      </c>
      <c r="M221" s="58"/>
      <c r="N221" s="3" t="str">
        <f t="shared" si="28"/>
        <v/>
      </c>
      <c r="O221" s="3" t="str">
        <f t="shared" si="29"/>
        <v/>
      </c>
      <c r="P221" s="3" t="str">
        <f t="shared" si="30"/>
        <v/>
      </c>
      <c r="Q221" s="3">
        <f t="shared" si="31"/>
        <v>0</v>
      </c>
      <c r="R221" s="3">
        <f t="shared" si="32"/>
        <v>0</v>
      </c>
      <c r="S221" s="3" t="e" cm="1">
        <f t="array" aca="1" ref="S221" ca="1">SUMPRODUCT(MID($P221,ROW(INDIRECT("1:23")),1)*2^(-ROW(INDIRECT("1:23"))))</f>
        <v>#VALUE!</v>
      </c>
      <c r="T221" s="3" t="e">
        <f t="shared" ca="1" si="33"/>
        <v>#VALUE!</v>
      </c>
      <c r="U221" s="3" t="e">
        <f t="shared" ca="1" si="34"/>
        <v>#VALUE!</v>
      </c>
      <c r="V221" s="73"/>
      <c r="W221" s="9" t="str">
        <f t="shared" si="35"/>
        <v>NG</v>
      </c>
    </row>
    <row r="222" spans="1:23" x14ac:dyDescent="0.3">
      <c r="A222" s="44">
        <v>219</v>
      </c>
      <c r="B222" s="14">
        <v>4</v>
      </c>
      <c r="C222" s="4">
        <v>11</v>
      </c>
      <c r="D222" s="3" t="str">
        <f>VLOOKUP($C222,Overall!$K$5:$T$36,2)</f>
        <v>Overflow</v>
      </c>
      <c r="E222" s="3">
        <f ca="1">VLOOKUP($C222,Overall!$K$5:$T$36,10)</f>
        <v>-4.2535303978081149E+38</v>
      </c>
      <c r="F222" s="9" t="str">
        <f>VLOOKUP($C222,Overall!$K$5:$T$36,6)</f>
        <v>11111111101000000000000000000010</v>
      </c>
      <c r="G222" s="8">
        <v>3</v>
      </c>
      <c r="H222" s="3" t="str">
        <f>VLOOKUP($G222,Overall!$K$5:$T$36,2)</f>
        <v>Underflow</v>
      </c>
      <c r="I222" s="3">
        <f ca="1">VLOOKUP($G222,Overall!$K$5:$T$36,10)</f>
        <v>1.1754942106924411E-38</v>
      </c>
      <c r="J222" s="62" t="str">
        <f>VLOOKUP($G222,Overall!$K$5:$T$36,6)</f>
        <v>00000000011111111111111111111111</v>
      </c>
      <c r="K222" s="8">
        <f t="shared" ca="1" si="27"/>
        <v>-5.000000357627755</v>
      </c>
      <c r="L222" s="62">
        <f>VLOOKUP($B222,Overall!$B$5:$I$13,8)</f>
        <v>1</v>
      </c>
      <c r="M222" s="58"/>
      <c r="N222" s="3" t="str">
        <f t="shared" si="28"/>
        <v/>
      </c>
      <c r="O222" s="3" t="str">
        <f t="shared" si="29"/>
        <v/>
      </c>
      <c r="P222" s="3" t="str">
        <f t="shared" si="30"/>
        <v/>
      </c>
      <c r="Q222" s="3">
        <f t="shared" si="31"/>
        <v>0</v>
      </c>
      <c r="R222" s="3">
        <f t="shared" si="32"/>
        <v>0</v>
      </c>
      <c r="S222" s="3" t="e" cm="1">
        <f t="array" aca="1" ref="S222" ca="1">SUMPRODUCT(MID($P222,ROW(INDIRECT("1:23")),1)*2^(-ROW(INDIRECT("1:23"))))</f>
        <v>#VALUE!</v>
      </c>
      <c r="T222" s="3" t="e">
        <f t="shared" ca="1" si="33"/>
        <v>#VALUE!</v>
      </c>
      <c r="U222" s="3" t="e">
        <f t="shared" ca="1" si="34"/>
        <v>#VALUE!</v>
      </c>
      <c r="V222" s="73"/>
      <c r="W222" s="9" t="str">
        <f t="shared" si="35"/>
        <v>NG</v>
      </c>
    </row>
    <row r="223" spans="1:23" x14ac:dyDescent="0.3">
      <c r="A223" s="44">
        <v>220</v>
      </c>
      <c r="B223" s="14">
        <v>4</v>
      </c>
      <c r="C223" s="4">
        <v>11</v>
      </c>
      <c r="D223" s="3" t="str">
        <f>VLOOKUP($C223,Overall!$K$5:$T$36,2)</f>
        <v>Overflow</v>
      </c>
      <c r="E223" s="3">
        <f ca="1">VLOOKUP($C223,Overall!$K$5:$T$36,10)</f>
        <v>-4.2535303978081149E+38</v>
      </c>
      <c r="F223" s="9" t="str">
        <f>VLOOKUP($C223,Overall!$K$5:$T$36,6)</f>
        <v>11111111101000000000000000000010</v>
      </c>
      <c r="G223" s="8">
        <v>4</v>
      </c>
      <c r="H223" s="3" t="str">
        <f>VLOOKUP($G223,Overall!$K$5:$T$36,2)</f>
        <v>Underflow</v>
      </c>
      <c r="I223" s="3">
        <f ca="1">VLOOKUP($G223,Overall!$K$5:$T$36,10)</f>
        <v>-1.4012984643248171E-45</v>
      </c>
      <c r="J223" s="62" t="str">
        <f>VLOOKUP($G223,Overall!$K$5:$T$36,6)</f>
        <v>10000000000000000000000000000001</v>
      </c>
      <c r="K223" s="8">
        <f t="shared" ca="1" si="27"/>
        <v>5.9604656144074397E-7</v>
      </c>
      <c r="L223" s="62">
        <f>VLOOKUP($B223,Overall!$B$5:$I$13,8)</f>
        <v>1</v>
      </c>
      <c r="M223" s="58"/>
      <c r="N223" s="3" t="str">
        <f t="shared" si="28"/>
        <v/>
      </c>
      <c r="O223" s="3" t="str">
        <f t="shared" si="29"/>
        <v/>
      </c>
      <c r="P223" s="3" t="str">
        <f t="shared" si="30"/>
        <v/>
      </c>
      <c r="Q223" s="3">
        <f t="shared" si="31"/>
        <v>0</v>
      </c>
      <c r="R223" s="3">
        <f t="shared" si="32"/>
        <v>0</v>
      </c>
      <c r="S223" s="3" t="e" cm="1">
        <f t="array" aca="1" ref="S223" ca="1">SUMPRODUCT(MID($P223,ROW(INDIRECT("1:23")),1)*2^(-ROW(INDIRECT("1:23"))))</f>
        <v>#VALUE!</v>
      </c>
      <c r="T223" s="3" t="e">
        <f t="shared" ca="1" si="33"/>
        <v>#VALUE!</v>
      </c>
      <c r="U223" s="3" t="e">
        <f t="shared" ca="1" si="34"/>
        <v>#VALUE!</v>
      </c>
      <c r="V223" s="73"/>
      <c r="W223" s="9" t="str">
        <f t="shared" si="35"/>
        <v>NG</v>
      </c>
    </row>
    <row r="224" spans="1:23" x14ac:dyDescent="0.3">
      <c r="A224" s="44">
        <v>221</v>
      </c>
      <c r="B224" s="14">
        <v>4</v>
      </c>
      <c r="C224" s="4">
        <v>11</v>
      </c>
      <c r="D224" s="3" t="str">
        <f>VLOOKUP($C224,Overall!$K$5:$T$36,2)</f>
        <v>Overflow</v>
      </c>
      <c r="E224" s="3">
        <f ca="1">VLOOKUP($C224,Overall!$K$5:$T$36,10)</f>
        <v>-4.2535303978081149E+38</v>
      </c>
      <c r="F224" s="9" t="str">
        <f>VLOOKUP($C224,Overall!$K$5:$T$36,6)</f>
        <v>11111111101000000000000000000010</v>
      </c>
      <c r="G224" s="8">
        <v>5</v>
      </c>
      <c r="H224" s="3" t="str">
        <f>VLOOKUP($G224,Overall!$K$5:$T$36,2)</f>
        <v>Underflow</v>
      </c>
      <c r="I224" s="3">
        <f ca="1">VLOOKUP($G224,Overall!$K$5:$T$36,10)</f>
        <v>-2.9387386796526474E-39</v>
      </c>
      <c r="J224" s="62" t="str">
        <f>VLOOKUP($G224,Overall!$K$5:$T$36,6)</f>
        <v>10000000001000000000000000000010</v>
      </c>
      <c r="K224" s="8">
        <f t="shared" ca="1" si="27"/>
        <v>1.250001430511702</v>
      </c>
      <c r="L224" s="62">
        <f>VLOOKUP($B224,Overall!$B$5:$I$13,8)</f>
        <v>1</v>
      </c>
      <c r="M224" s="58"/>
      <c r="N224" s="3" t="str">
        <f t="shared" si="28"/>
        <v/>
      </c>
      <c r="O224" s="3" t="str">
        <f t="shared" si="29"/>
        <v/>
      </c>
      <c r="P224" s="3" t="str">
        <f t="shared" si="30"/>
        <v/>
      </c>
      <c r="Q224" s="3">
        <f t="shared" si="31"/>
        <v>0</v>
      </c>
      <c r="R224" s="3">
        <f t="shared" si="32"/>
        <v>0</v>
      </c>
      <c r="S224" s="3" t="e" cm="1">
        <f t="array" aca="1" ref="S224" ca="1">SUMPRODUCT(MID($P224,ROW(INDIRECT("1:23")),1)*2^(-ROW(INDIRECT("1:23"))))</f>
        <v>#VALUE!</v>
      </c>
      <c r="T224" s="3" t="e">
        <f t="shared" ca="1" si="33"/>
        <v>#VALUE!</v>
      </c>
      <c r="U224" s="3" t="e">
        <f t="shared" ca="1" si="34"/>
        <v>#VALUE!</v>
      </c>
      <c r="V224" s="73"/>
      <c r="W224" s="9" t="str">
        <f t="shared" si="35"/>
        <v>NG</v>
      </c>
    </row>
    <row r="225" spans="1:23" x14ac:dyDescent="0.3">
      <c r="A225" s="44">
        <v>222</v>
      </c>
      <c r="B225" s="14">
        <v>4</v>
      </c>
      <c r="C225" s="4">
        <v>11</v>
      </c>
      <c r="D225" s="3" t="str">
        <f>VLOOKUP($C225,Overall!$K$5:$T$36,2)</f>
        <v>Overflow</v>
      </c>
      <c r="E225" s="3">
        <f ca="1">VLOOKUP($C225,Overall!$K$5:$T$36,10)</f>
        <v>-4.2535303978081149E+38</v>
      </c>
      <c r="F225" s="9" t="str">
        <f>VLOOKUP($C225,Overall!$K$5:$T$36,6)</f>
        <v>11111111101000000000000000000010</v>
      </c>
      <c r="G225" s="8">
        <v>6</v>
      </c>
      <c r="H225" s="3" t="str">
        <f>VLOOKUP($G225,Overall!$K$5:$T$36,2)</f>
        <v>Underflow</v>
      </c>
      <c r="I225" s="3">
        <f ca="1">VLOOKUP($G225,Overall!$K$5:$T$36,10)</f>
        <v>-1.1754942106924411E-38</v>
      </c>
      <c r="J225" s="62" t="str">
        <f>VLOOKUP($G225,Overall!$K$5:$T$36,6)</f>
        <v>10000000011111111111111111111111</v>
      </c>
      <c r="K225" s="8">
        <f t="shared" ca="1" si="27"/>
        <v>5.000000357627755</v>
      </c>
      <c r="L225" s="62">
        <f>VLOOKUP($B225,Overall!$B$5:$I$13,8)</f>
        <v>1</v>
      </c>
      <c r="M225" s="58"/>
      <c r="N225" s="3" t="str">
        <f t="shared" si="28"/>
        <v/>
      </c>
      <c r="O225" s="3" t="str">
        <f t="shared" si="29"/>
        <v/>
      </c>
      <c r="P225" s="3" t="str">
        <f t="shared" si="30"/>
        <v/>
      </c>
      <c r="Q225" s="3">
        <f t="shared" si="31"/>
        <v>0</v>
      </c>
      <c r="R225" s="3">
        <f t="shared" si="32"/>
        <v>0</v>
      </c>
      <c r="S225" s="3" t="e" cm="1">
        <f t="array" aca="1" ref="S225" ca="1">SUMPRODUCT(MID($P225,ROW(INDIRECT("1:23")),1)*2^(-ROW(INDIRECT("1:23"))))</f>
        <v>#VALUE!</v>
      </c>
      <c r="T225" s="3" t="e">
        <f t="shared" ca="1" si="33"/>
        <v>#VALUE!</v>
      </c>
      <c r="U225" s="3" t="e">
        <f t="shared" ca="1" si="34"/>
        <v>#VALUE!</v>
      </c>
      <c r="V225" s="73"/>
      <c r="W225" s="9" t="str">
        <f t="shared" si="35"/>
        <v>NG</v>
      </c>
    </row>
    <row r="226" spans="1:23" x14ac:dyDescent="0.3">
      <c r="A226" s="44">
        <v>223</v>
      </c>
      <c r="B226" s="14">
        <v>4</v>
      </c>
      <c r="C226" s="4">
        <v>12</v>
      </c>
      <c r="D226" s="3" t="str">
        <f>VLOOKUP($C226,Overall!$K$5:$T$36,2)</f>
        <v>Overflow</v>
      </c>
      <c r="E226" s="3">
        <f ca="1">VLOOKUP($C226,Overall!$K$5:$T$36,10)</f>
        <v>-6.8056469327705772E+38</v>
      </c>
      <c r="F226" s="9" t="str">
        <f>VLOOKUP($C226,Overall!$K$5:$T$36,6)</f>
        <v>11111111111111111111111111111111</v>
      </c>
      <c r="G226" s="8">
        <v>1</v>
      </c>
      <c r="H226" s="3" t="str">
        <f>VLOOKUP($G226,Overall!$K$5:$T$36,2)</f>
        <v>Underflow</v>
      </c>
      <c r="I226" s="3">
        <f ca="1">VLOOKUP($G226,Overall!$K$5:$T$36,10)</f>
        <v>1.4012984643248171E-45</v>
      </c>
      <c r="J226" s="62" t="str">
        <f>VLOOKUP($G226,Overall!$K$5:$T$36,6)</f>
        <v>00000000000000000000000000000001</v>
      </c>
      <c r="K226" s="8">
        <f t="shared" ca="1" si="27"/>
        <v>-9.5367425956283114E-7</v>
      </c>
      <c r="L226" s="62">
        <f>VLOOKUP($B226,Overall!$B$5:$I$13,8)</f>
        <v>1</v>
      </c>
      <c r="M226" s="58"/>
      <c r="N226" s="3" t="str">
        <f t="shared" si="28"/>
        <v/>
      </c>
      <c r="O226" s="3" t="str">
        <f t="shared" si="29"/>
        <v/>
      </c>
      <c r="P226" s="3" t="str">
        <f t="shared" si="30"/>
        <v/>
      </c>
      <c r="Q226" s="3">
        <f t="shared" si="31"/>
        <v>0</v>
      </c>
      <c r="R226" s="3">
        <f t="shared" si="32"/>
        <v>0</v>
      </c>
      <c r="S226" s="3" t="e" cm="1">
        <f t="array" aca="1" ref="S226" ca="1">SUMPRODUCT(MID($P226,ROW(INDIRECT("1:23")),1)*2^(-ROW(INDIRECT("1:23"))))</f>
        <v>#VALUE!</v>
      </c>
      <c r="T226" s="3" t="e">
        <f t="shared" ca="1" si="33"/>
        <v>#VALUE!</v>
      </c>
      <c r="U226" s="3" t="e">
        <f t="shared" ca="1" si="34"/>
        <v>#VALUE!</v>
      </c>
      <c r="V226" s="73"/>
      <c r="W226" s="9" t="str">
        <f t="shared" si="35"/>
        <v>NG</v>
      </c>
    </row>
    <row r="227" spans="1:23" x14ac:dyDescent="0.3">
      <c r="A227" s="44">
        <v>224</v>
      </c>
      <c r="B227" s="14">
        <v>4</v>
      </c>
      <c r="C227" s="4">
        <v>12</v>
      </c>
      <c r="D227" s="3" t="str">
        <f>VLOOKUP($C227,Overall!$K$5:$T$36,2)</f>
        <v>Overflow</v>
      </c>
      <c r="E227" s="3">
        <f ca="1">VLOOKUP($C227,Overall!$K$5:$T$36,10)</f>
        <v>-6.8056469327705772E+38</v>
      </c>
      <c r="F227" s="9" t="str">
        <f>VLOOKUP($C227,Overall!$K$5:$T$36,6)</f>
        <v>11111111111111111111111111111111</v>
      </c>
      <c r="G227" s="8">
        <v>2</v>
      </c>
      <c r="H227" s="3" t="str">
        <f>VLOOKUP($G227,Overall!$K$5:$T$36,2)</f>
        <v>Underflow</v>
      </c>
      <c r="I227" s="3">
        <f ca="1">VLOOKUP($G227,Overall!$K$5:$T$36,10)</f>
        <v>2.9387386796526474E-39</v>
      </c>
      <c r="J227" s="62" t="str">
        <f>VLOOKUP($G227,Overall!$K$5:$T$36,6)</f>
        <v>00000000001000000000000000000010</v>
      </c>
      <c r="K227" s="8">
        <f t="shared" ca="1" si="27"/>
        <v>-2.0000017881392296</v>
      </c>
      <c r="L227" s="62">
        <f>VLOOKUP($B227,Overall!$B$5:$I$13,8)</f>
        <v>1</v>
      </c>
      <c r="M227" s="58"/>
      <c r="N227" s="3" t="str">
        <f t="shared" si="28"/>
        <v/>
      </c>
      <c r="O227" s="3" t="str">
        <f t="shared" si="29"/>
        <v/>
      </c>
      <c r="P227" s="3" t="str">
        <f t="shared" si="30"/>
        <v/>
      </c>
      <c r="Q227" s="3">
        <f t="shared" si="31"/>
        <v>0</v>
      </c>
      <c r="R227" s="3">
        <f t="shared" si="32"/>
        <v>0</v>
      </c>
      <c r="S227" s="3" t="e" cm="1">
        <f t="array" aca="1" ref="S227" ca="1">SUMPRODUCT(MID($P227,ROW(INDIRECT("1:23")),1)*2^(-ROW(INDIRECT("1:23"))))</f>
        <v>#VALUE!</v>
      </c>
      <c r="T227" s="3" t="e">
        <f t="shared" ca="1" si="33"/>
        <v>#VALUE!</v>
      </c>
      <c r="U227" s="3" t="e">
        <f t="shared" ca="1" si="34"/>
        <v>#VALUE!</v>
      </c>
      <c r="V227" s="73"/>
      <c r="W227" s="9" t="str">
        <f t="shared" si="35"/>
        <v>NG</v>
      </c>
    </row>
    <row r="228" spans="1:23" x14ac:dyDescent="0.3">
      <c r="A228" s="44">
        <v>225</v>
      </c>
      <c r="B228" s="14">
        <v>4</v>
      </c>
      <c r="C228" s="4">
        <v>12</v>
      </c>
      <c r="D228" s="3" t="str">
        <f>VLOOKUP($C228,Overall!$K$5:$T$36,2)</f>
        <v>Overflow</v>
      </c>
      <c r="E228" s="3">
        <f ca="1">VLOOKUP($C228,Overall!$K$5:$T$36,10)</f>
        <v>-6.8056469327705772E+38</v>
      </c>
      <c r="F228" s="9" t="str">
        <f>VLOOKUP($C228,Overall!$K$5:$T$36,6)</f>
        <v>11111111111111111111111111111111</v>
      </c>
      <c r="G228" s="8">
        <v>3</v>
      </c>
      <c r="H228" s="3" t="str">
        <f>VLOOKUP($G228,Overall!$K$5:$T$36,2)</f>
        <v>Underflow</v>
      </c>
      <c r="I228" s="3">
        <f ca="1">VLOOKUP($G228,Overall!$K$5:$T$36,10)</f>
        <v>1.1754942106924411E-38</v>
      </c>
      <c r="J228" s="62" t="str">
        <f>VLOOKUP($G228,Overall!$K$5:$T$36,6)</f>
        <v>00000000011111111111111111111111</v>
      </c>
      <c r="K228" s="8">
        <f t="shared" ca="1" si="27"/>
        <v>-7.9999985694885822</v>
      </c>
      <c r="L228" s="62">
        <f>VLOOKUP($B228,Overall!$B$5:$I$13,8)</f>
        <v>1</v>
      </c>
      <c r="M228" s="58"/>
      <c r="N228" s="3" t="str">
        <f t="shared" si="28"/>
        <v/>
      </c>
      <c r="O228" s="3" t="str">
        <f t="shared" si="29"/>
        <v/>
      </c>
      <c r="P228" s="3" t="str">
        <f t="shared" si="30"/>
        <v/>
      </c>
      <c r="Q228" s="3">
        <f t="shared" si="31"/>
        <v>0</v>
      </c>
      <c r="R228" s="3">
        <f t="shared" si="32"/>
        <v>0</v>
      </c>
      <c r="S228" s="3" t="e" cm="1">
        <f t="array" aca="1" ref="S228" ca="1">SUMPRODUCT(MID($P228,ROW(INDIRECT("1:23")),1)*2^(-ROW(INDIRECT("1:23"))))</f>
        <v>#VALUE!</v>
      </c>
      <c r="T228" s="3" t="e">
        <f t="shared" ca="1" si="33"/>
        <v>#VALUE!</v>
      </c>
      <c r="U228" s="3" t="e">
        <f t="shared" ca="1" si="34"/>
        <v>#VALUE!</v>
      </c>
      <c r="V228" s="73"/>
      <c r="W228" s="9" t="str">
        <f t="shared" si="35"/>
        <v>NG</v>
      </c>
    </row>
    <row r="229" spans="1:23" x14ac:dyDescent="0.3">
      <c r="A229" s="44">
        <v>226</v>
      </c>
      <c r="B229" s="14">
        <v>4</v>
      </c>
      <c r="C229" s="4">
        <v>12</v>
      </c>
      <c r="D229" s="3" t="str">
        <f>VLOOKUP($C229,Overall!$K$5:$T$36,2)</f>
        <v>Overflow</v>
      </c>
      <c r="E229" s="3">
        <f ca="1">VLOOKUP($C229,Overall!$K$5:$T$36,10)</f>
        <v>-6.8056469327705772E+38</v>
      </c>
      <c r="F229" s="9" t="str">
        <f>VLOOKUP($C229,Overall!$K$5:$T$36,6)</f>
        <v>11111111111111111111111111111111</v>
      </c>
      <c r="G229" s="8">
        <v>4</v>
      </c>
      <c r="H229" s="3" t="str">
        <f>VLOOKUP($G229,Overall!$K$5:$T$36,2)</f>
        <v>Underflow</v>
      </c>
      <c r="I229" s="3">
        <f ca="1">VLOOKUP($G229,Overall!$K$5:$T$36,10)</f>
        <v>-1.4012984643248171E-45</v>
      </c>
      <c r="J229" s="62" t="str">
        <f>VLOOKUP($G229,Overall!$K$5:$T$36,6)</f>
        <v>10000000000000000000000000000001</v>
      </c>
      <c r="K229" s="8">
        <f t="shared" ca="1" si="27"/>
        <v>9.5367425956283114E-7</v>
      </c>
      <c r="L229" s="62">
        <f>VLOOKUP($B229,Overall!$B$5:$I$13,8)</f>
        <v>1</v>
      </c>
      <c r="M229" s="58"/>
      <c r="N229" s="3" t="str">
        <f t="shared" si="28"/>
        <v/>
      </c>
      <c r="O229" s="3" t="str">
        <f t="shared" si="29"/>
        <v/>
      </c>
      <c r="P229" s="3" t="str">
        <f t="shared" si="30"/>
        <v/>
      </c>
      <c r="Q229" s="3">
        <f t="shared" si="31"/>
        <v>0</v>
      </c>
      <c r="R229" s="3">
        <f t="shared" si="32"/>
        <v>0</v>
      </c>
      <c r="S229" s="3" t="e" cm="1">
        <f t="array" aca="1" ref="S229" ca="1">SUMPRODUCT(MID($P229,ROW(INDIRECT("1:23")),1)*2^(-ROW(INDIRECT("1:23"))))</f>
        <v>#VALUE!</v>
      </c>
      <c r="T229" s="3" t="e">
        <f t="shared" ca="1" si="33"/>
        <v>#VALUE!</v>
      </c>
      <c r="U229" s="3" t="e">
        <f t="shared" ca="1" si="34"/>
        <v>#VALUE!</v>
      </c>
      <c r="V229" s="73"/>
      <c r="W229" s="9" t="str">
        <f t="shared" si="35"/>
        <v>NG</v>
      </c>
    </row>
    <row r="230" spans="1:23" x14ac:dyDescent="0.3">
      <c r="A230" s="44">
        <v>227</v>
      </c>
      <c r="B230" s="14">
        <v>4</v>
      </c>
      <c r="C230" s="4">
        <v>12</v>
      </c>
      <c r="D230" s="3" t="str">
        <f>VLOOKUP($C230,Overall!$K$5:$T$36,2)</f>
        <v>Overflow</v>
      </c>
      <c r="E230" s="3">
        <f ca="1">VLOOKUP($C230,Overall!$K$5:$T$36,10)</f>
        <v>-6.8056469327705772E+38</v>
      </c>
      <c r="F230" s="9" t="str">
        <f>VLOOKUP($C230,Overall!$K$5:$T$36,6)</f>
        <v>11111111111111111111111111111111</v>
      </c>
      <c r="G230" s="8">
        <v>5</v>
      </c>
      <c r="H230" s="3" t="str">
        <f>VLOOKUP($G230,Overall!$K$5:$T$36,2)</f>
        <v>Underflow</v>
      </c>
      <c r="I230" s="3">
        <f ca="1">VLOOKUP($G230,Overall!$K$5:$T$36,10)</f>
        <v>-2.9387386796526474E-39</v>
      </c>
      <c r="J230" s="62" t="str">
        <f>VLOOKUP($G230,Overall!$K$5:$T$36,6)</f>
        <v>10000000001000000000000000000010</v>
      </c>
      <c r="K230" s="8">
        <f t="shared" ca="1" si="27"/>
        <v>2.0000017881392296</v>
      </c>
      <c r="L230" s="62">
        <f>VLOOKUP($B230,Overall!$B$5:$I$13,8)</f>
        <v>1</v>
      </c>
      <c r="M230" s="58"/>
      <c r="N230" s="3" t="str">
        <f t="shared" si="28"/>
        <v/>
      </c>
      <c r="O230" s="3" t="str">
        <f t="shared" si="29"/>
        <v/>
      </c>
      <c r="P230" s="3" t="str">
        <f t="shared" si="30"/>
        <v/>
      </c>
      <c r="Q230" s="3">
        <f t="shared" si="31"/>
        <v>0</v>
      </c>
      <c r="R230" s="3">
        <f t="shared" si="32"/>
        <v>0</v>
      </c>
      <c r="S230" s="3" t="e" cm="1">
        <f t="array" aca="1" ref="S230" ca="1">SUMPRODUCT(MID($P230,ROW(INDIRECT("1:23")),1)*2^(-ROW(INDIRECT("1:23"))))</f>
        <v>#VALUE!</v>
      </c>
      <c r="T230" s="3" t="e">
        <f t="shared" ca="1" si="33"/>
        <v>#VALUE!</v>
      </c>
      <c r="U230" s="3" t="e">
        <f t="shared" ca="1" si="34"/>
        <v>#VALUE!</v>
      </c>
      <c r="V230" s="73"/>
      <c r="W230" s="9" t="str">
        <f t="shared" si="35"/>
        <v>NG</v>
      </c>
    </row>
    <row r="231" spans="1:23" x14ac:dyDescent="0.3">
      <c r="A231" s="44">
        <v>228</v>
      </c>
      <c r="B231" s="14">
        <v>4</v>
      </c>
      <c r="C231" s="4">
        <v>12</v>
      </c>
      <c r="D231" s="3" t="str">
        <f>VLOOKUP($C231,Overall!$K$5:$T$36,2)</f>
        <v>Overflow</v>
      </c>
      <c r="E231" s="3">
        <f ca="1">VLOOKUP($C231,Overall!$K$5:$T$36,10)</f>
        <v>-6.8056469327705772E+38</v>
      </c>
      <c r="F231" s="9" t="str">
        <f>VLOOKUP($C231,Overall!$K$5:$T$36,6)</f>
        <v>11111111111111111111111111111111</v>
      </c>
      <c r="G231" s="8">
        <v>6</v>
      </c>
      <c r="H231" s="3" t="str">
        <f>VLOOKUP($G231,Overall!$K$5:$T$36,2)</f>
        <v>Underflow</v>
      </c>
      <c r="I231" s="3">
        <f ca="1">VLOOKUP($G231,Overall!$K$5:$T$36,10)</f>
        <v>-1.1754942106924411E-38</v>
      </c>
      <c r="J231" s="62" t="str">
        <f>VLOOKUP($G231,Overall!$K$5:$T$36,6)</f>
        <v>10000000011111111111111111111111</v>
      </c>
      <c r="K231" s="8">
        <f t="shared" ca="1" si="27"/>
        <v>7.9999985694885822</v>
      </c>
      <c r="L231" s="62">
        <f>VLOOKUP($B231,Overall!$B$5:$I$13,8)</f>
        <v>1</v>
      </c>
      <c r="M231" s="58"/>
      <c r="N231" s="3" t="str">
        <f t="shared" si="28"/>
        <v/>
      </c>
      <c r="O231" s="3" t="str">
        <f t="shared" si="29"/>
        <v/>
      </c>
      <c r="P231" s="3" t="str">
        <f t="shared" si="30"/>
        <v/>
      </c>
      <c r="Q231" s="3">
        <f t="shared" si="31"/>
        <v>0</v>
      </c>
      <c r="R231" s="3">
        <f t="shared" si="32"/>
        <v>0</v>
      </c>
      <c r="S231" s="3" t="e" cm="1">
        <f t="array" aca="1" ref="S231" ca="1">SUMPRODUCT(MID($P231,ROW(INDIRECT("1:23")),1)*2^(-ROW(INDIRECT("1:23"))))</f>
        <v>#VALUE!</v>
      </c>
      <c r="T231" s="3" t="e">
        <f t="shared" ca="1" si="33"/>
        <v>#VALUE!</v>
      </c>
      <c r="U231" s="3" t="e">
        <f t="shared" ca="1" si="34"/>
        <v>#VALUE!</v>
      </c>
      <c r="V231" s="73"/>
      <c r="W231" s="9" t="str">
        <f t="shared" si="35"/>
        <v>NG</v>
      </c>
    </row>
    <row r="232" spans="1:23" x14ac:dyDescent="0.3">
      <c r="A232" s="44">
        <v>229</v>
      </c>
      <c r="B232" s="14">
        <v>5</v>
      </c>
      <c r="C232" s="4">
        <v>7</v>
      </c>
      <c r="D232" s="3" t="str">
        <f>VLOOKUP($C232,Overall!$K$5:$T$36,2)</f>
        <v>Overflow</v>
      </c>
      <c r="E232" s="3">
        <f ca="1">VLOOKUP($C232,Overall!$K$5:$T$36,10)</f>
        <v>3.4028240748575767E+38</v>
      </c>
      <c r="F232" s="9" t="str">
        <f>VLOOKUP($C232,Overall!$K$5:$T$36,6)</f>
        <v>01111111100000000000000000000001</v>
      </c>
      <c r="G232" s="8">
        <v>7</v>
      </c>
      <c r="H232" s="3" t="str">
        <f>VLOOKUP($G232,Overall!$K$5:$T$36,2)</f>
        <v>Overflow</v>
      </c>
      <c r="I232" s="3">
        <f ca="1">VLOOKUP($G232,Overall!$K$5:$T$36,10)</f>
        <v>3.4028240748575767E+38</v>
      </c>
      <c r="J232" s="62" t="str">
        <f>VLOOKUP($G232,Overall!$K$5:$T$36,6)</f>
        <v>01111111100000000000000000000001</v>
      </c>
      <c r="K232" s="8">
        <f t="shared" ca="1" si="27"/>
        <v>1.1579211684430323E+77</v>
      </c>
      <c r="L232" s="62">
        <f>VLOOKUP($B232,Overall!$B$5:$I$13,8)</f>
        <v>0</v>
      </c>
      <c r="M232" s="58"/>
      <c r="N232" s="3" t="str">
        <f t="shared" si="28"/>
        <v/>
      </c>
      <c r="O232" s="3" t="str">
        <f t="shared" si="29"/>
        <v/>
      </c>
      <c r="P232" s="3" t="str">
        <f t="shared" si="30"/>
        <v/>
      </c>
      <c r="Q232" s="3">
        <f t="shared" si="31"/>
        <v>0</v>
      </c>
      <c r="R232" s="3">
        <f t="shared" si="32"/>
        <v>0</v>
      </c>
      <c r="S232" s="3" t="e" cm="1">
        <f t="array" aca="1" ref="S232" ca="1">SUMPRODUCT(MID($P232,ROW(INDIRECT("1:23")),1)*2^(-ROW(INDIRECT("1:23"))))</f>
        <v>#VALUE!</v>
      </c>
      <c r="T232" s="3" t="e">
        <f t="shared" ca="1" si="33"/>
        <v>#VALUE!</v>
      </c>
      <c r="U232" s="3" t="e">
        <f t="shared" ca="1" si="34"/>
        <v>#VALUE!</v>
      </c>
      <c r="V232" s="73"/>
      <c r="W232" s="9" t="str">
        <f t="shared" si="35"/>
        <v>OK</v>
      </c>
    </row>
    <row r="233" spans="1:23" x14ac:dyDescent="0.3">
      <c r="A233" s="44">
        <v>230</v>
      </c>
      <c r="B233" s="14">
        <v>5</v>
      </c>
      <c r="C233" s="4">
        <v>7</v>
      </c>
      <c r="D233" s="3" t="str">
        <f>VLOOKUP($C233,Overall!$K$5:$T$36,2)</f>
        <v>Overflow</v>
      </c>
      <c r="E233" s="3">
        <f ca="1">VLOOKUP($C233,Overall!$K$5:$T$36,10)</f>
        <v>3.4028240748575767E+38</v>
      </c>
      <c r="F233" s="9" t="str">
        <f>VLOOKUP($C233,Overall!$K$5:$T$36,6)</f>
        <v>01111111100000000000000000000001</v>
      </c>
      <c r="G233" s="8">
        <v>8</v>
      </c>
      <c r="H233" s="3" t="str">
        <f>VLOOKUP($G233,Overall!$K$5:$T$36,2)</f>
        <v>Overflow</v>
      </c>
      <c r="I233" s="3">
        <f ca="1">VLOOKUP($G233,Overall!$K$5:$T$36,10)</f>
        <v>4.2535303978081149E+38</v>
      </c>
      <c r="J233" s="62" t="str">
        <f>VLOOKUP($G233,Overall!$K$5:$T$36,6)</f>
        <v>01111111101000000000000000000010</v>
      </c>
      <c r="K233" s="8">
        <f t="shared" ca="1" si="27"/>
        <v>1.4474015640799979E+77</v>
      </c>
      <c r="L233" s="62">
        <f>VLOOKUP($B233,Overall!$B$5:$I$13,8)</f>
        <v>0</v>
      </c>
      <c r="M233" s="58"/>
      <c r="N233" s="3" t="str">
        <f t="shared" si="28"/>
        <v/>
      </c>
      <c r="O233" s="3" t="str">
        <f t="shared" si="29"/>
        <v/>
      </c>
      <c r="P233" s="3" t="str">
        <f t="shared" si="30"/>
        <v/>
      </c>
      <c r="Q233" s="3">
        <f t="shared" si="31"/>
        <v>0</v>
      </c>
      <c r="R233" s="3">
        <f t="shared" si="32"/>
        <v>0</v>
      </c>
      <c r="S233" s="3" t="e" cm="1">
        <f t="array" aca="1" ref="S233" ca="1">SUMPRODUCT(MID($P233,ROW(INDIRECT("1:23")),1)*2^(-ROW(INDIRECT("1:23"))))</f>
        <v>#VALUE!</v>
      </c>
      <c r="T233" s="3" t="e">
        <f t="shared" ca="1" si="33"/>
        <v>#VALUE!</v>
      </c>
      <c r="U233" s="3" t="e">
        <f t="shared" ca="1" si="34"/>
        <v>#VALUE!</v>
      </c>
      <c r="V233" s="73"/>
      <c r="W233" s="9" t="str">
        <f t="shared" si="35"/>
        <v>OK</v>
      </c>
    </row>
    <row r="234" spans="1:23" x14ac:dyDescent="0.3">
      <c r="A234" s="44">
        <v>231</v>
      </c>
      <c r="B234" s="14">
        <v>5</v>
      </c>
      <c r="C234" s="4">
        <v>7</v>
      </c>
      <c r="D234" s="3" t="str">
        <f>VLOOKUP($C234,Overall!$K$5:$T$36,2)</f>
        <v>Overflow</v>
      </c>
      <c r="E234" s="3">
        <f ca="1">VLOOKUP($C234,Overall!$K$5:$T$36,10)</f>
        <v>3.4028240748575767E+38</v>
      </c>
      <c r="F234" s="9" t="str">
        <f>VLOOKUP($C234,Overall!$K$5:$T$36,6)</f>
        <v>01111111100000000000000000000001</v>
      </c>
      <c r="G234" s="8">
        <v>9</v>
      </c>
      <c r="H234" s="3" t="str">
        <f>VLOOKUP($G234,Overall!$K$5:$T$36,2)</f>
        <v>Overflow</v>
      </c>
      <c r="I234" s="3">
        <f ca="1">VLOOKUP($G234,Overall!$K$5:$T$36,10)</f>
        <v>6.8056469327705772E+38</v>
      </c>
      <c r="J234" s="62" t="str">
        <f>VLOOKUP($G234,Overall!$K$5:$T$36,6)</f>
        <v>01111111111111111111111111111111</v>
      </c>
      <c r="K234" s="8">
        <f t="shared" ca="1" si="27"/>
        <v>2.3158419227812344E+77</v>
      </c>
      <c r="L234" s="62">
        <f>VLOOKUP($B234,Overall!$B$5:$I$13,8)</f>
        <v>0</v>
      </c>
      <c r="M234" s="58"/>
      <c r="N234" s="3" t="str">
        <f t="shared" si="28"/>
        <v/>
      </c>
      <c r="O234" s="3" t="str">
        <f t="shared" si="29"/>
        <v/>
      </c>
      <c r="P234" s="3" t="str">
        <f t="shared" si="30"/>
        <v/>
      </c>
      <c r="Q234" s="3">
        <f t="shared" si="31"/>
        <v>0</v>
      </c>
      <c r="R234" s="3">
        <f t="shared" si="32"/>
        <v>0</v>
      </c>
      <c r="S234" s="3" t="e" cm="1">
        <f t="array" aca="1" ref="S234" ca="1">SUMPRODUCT(MID($P234,ROW(INDIRECT("1:23")),1)*2^(-ROW(INDIRECT("1:23"))))</f>
        <v>#VALUE!</v>
      </c>
      <c r="T234" s="3" t="e">
        <f t="shared" ca="1" si="33"/>
        <v>#VALUE!</v>
      </c>
      <c r="U234" s="3" t="e">
        <f t="shared" ca="1" si="34"/>
        <v>#VALUE!</v>
      </c>
      <c r="V234" s="73"/>
      <c r="W234" s="9" t="str">
        <f t="shared" si="35"/>
        <v>OK</v>
      </c>
    </row>
    <row r="235" spans="1:23" x14ac:dyDescent="0.3">
      <c r="A235" s="44">
        <v>232</v>
      </c>
      <c r="B235" s="14">
        <v>5</v>
      </c>
      <c r="C235" s="4">
        <v>7</v>
      </c>
      <c r="D235" s="3" t="str">
        <f>VLOOKUP($C235,Overall!$K$5:$T$36,2)</f>
        <v>Overflow</v>
      </c>
      <c r="E235" s="3">
        <f ca="1">VLOOKUP($C235,Overall!$K$5:$T$36,10)</f>
        <v>3.4028240748575767E+38</v>
      </c>
      <c r="F235" s="9" t="str">
        <f>VLOOKUP($C235,Overall!$K$5:$T$36,6)</f>
        <v>01111111100000000000000000000001</v>
      </c>
      <c r="G235" s="8">
        <v>10</v>
      </c>
      <c r="H235" s="3" t="str">
        <f>VLOOKUP($G235,Overall!$K$5:$T$36,2)</f>
        <v>Overflow</v>
      </c>
      <c r="I235" s="3">
        <f ca="1">VLOOKUP($G235,Overall!$K$5:$T$36,10)</f>
        <v>-3.4028240748575767E+38</v>
      </c>
      <c r="J235" s="62" t="str">
        <f>VLOOKUP($G235,Overall!$K$5:$T$36,6)</f>
        <v>11111111100000000000000000000001</v>
      </c>
      <c r="K235" s="8">
        <f t="shared" ca="1" si="27"/>
        <v>-1.1579211684430323E+77</v>
      </c>
      <c r="L235" s="62">
        <f>VLOOKUP($B235,Overall!$B$5:$I$13,8)</f>
        <v>0</v>
      </c>
      <c r="M235" s="58"/>
      <c r="N235" s="3" t="str">
        <f t="shared" si="28"/>
        <v/>
      </c>
      <c r="O235" s="3" t="str">
        <f t="shared" si="29"/>
        <v/>
      </c>
      <c r="P235" s="3" t="str">
        <f t="shared" si="30"/>
        <v/>
      </c>
      <c r="Q235" s="3">
        <f t="shared" si="31"/>
        <v>0</v>
      </c>
      <c r="R235" s="3">
        <f t="shared" si="32"/>
        <v>0</v>
      </c>
      <c r="S235" s="3" t="e" cm="1">
        <f t="array" aca="1" ref="S235" ca="1">SUMPRODUCT(MID($P235,ROW(INDIRECT("1:23")),1)*2^(-ROW(INDIRECT("1:23"))))</f>
        <v>#VALUE!</v>
      </c>
      <c r="T235" s="3" t="e">
        <f t="shared" ca="1" si="33"/>
        <v>#VALUE!</v>
      </c>
      <c r="U235" s="3" t="e">
        <f t="shared" ca="1" si="34"/>
        <v>#VALUE!</v>
      </c>
      <c r="V235" s="73"/>
      <c r="W235" s="9" t="str">
        <f t="shared" si="35"/>
        <v>OK</v>
      </c>
    </row>
    <row r="236" spans="1:23" x14ac:dyDescent="0.3">
      <c r="A236" s="44">
        <v>233</v>
      </c>
      <c r="B236" s="14">
        <v>5</v>
      </c>
      <c r="C236" s="4">
        <v>7</v>
      </c>
      <c r="D236" s="3" t="str">
        <f>VLOOKUP($C236,Overall!$K$5:$T$36,2)</f>
        <v>Overflow</v>
      </c>
      <c r="E236" s="3">
        <f ca="1">VLOOKUP($C236,Overall!$K$5:$T$36,10)</f>
        <v>3.4028240748575767E+38</v>
      </c>
      <c r="F236" s="9" t="str">
        <f>VLOOKUP($C236,Overall!$K$5:$T$36,6)</f>
        <v>01111111100000000000000000000001</v>
      </c>
      <c r="G236" s="8">
        <v>11</v>
      </c>
      <c r="H236" s="3" t="str">
        <f>VLOOKUP($G236,Overall!$K$5:$T$36,2)</f>
        <v>Overflow</v>
      </c>
      <c r="I236" s="3">
        <f ca="1">VLOOKUP($G236,Overall!$K$5:$T$36,10)</f>
        <v>-4.2535303978081149E+38</v>
      </c>
      <c r="J236" s="62" t="str">
        <f>VLOOKUP($G236,Overall!$K$5:$T$36,6)</f>
        <v>11111111101000000000000000000010</v>
      </c>
      <c r="K236" s="8">
        <f t="shared" ca="1" si="27"/>
        <v>-1.4474015640799979E+77</v>
      </c>
      <c r="L236" s="62">
        <f>VLOOKUP($B236,Overall!$B$5:$I$13,8)</f>
        <v>0</v>
      </c>
      <c r="M236" s="58"/>
      <c r="N236" s="3" t="str">
        <f t="shared" si="28"/>
        <v/>
      </c>
      <c r="O236" s="3" t="str">
        <f t="shared" si="29"/>
        <v/>
      </c>
      <c r="P236" s="3" t="str">
        <f t="shared" si="30"/>
        <v/>
      </c>
      <c r="Q236" s="3">
        <f t="shared" si="31"/>
        <v>0</v>
      </c>
      <c r="R236" s="3">
        <f t="shared" si="32"/>
        <v>0</v>
      </c>
      <c r="S236" s="3" t="e" cm="1">
        <f t="array" aca="1" ref="S236" ca="1">SUMPRODUCT(MID($P236,ROW(INDIRECT("1:23")),1)*2^(-ROW(INDIRECT("1:23"))))</f>
        <v>#VALUE!</v>
      </c>
      <c r="T236" s="3" t="e">
        <f t="shared" ca="1" si="33"/>
        <v>#VALUE!</v>
      </c>
      <c r="U236" s="3" t="e">
        <f t="shared" ca="1" si="34"/>
        <v>#VALUE!</v>
      </c>
      <c r="V236" s="73"/>
      <c r="W236" s="9" t="str">
        <f t="shared" si="35"/>
        <v>OK</v>
      </c>
    </row>
    <row r="237" spans="1:23" x14ac:dyDescent="0.3">
      <c r="A237" s="44">
        <v>234</v>
      </c>
      <c r="B237" s="14">
        <v>5</v>
      </c>
      <c r="C237" s="4">
        <v>7</v>
      </c>
      <c r="D237" s="3" t="str">
        <f>VLOOKUP($C237,Overall!$K$5:$T$36,2)</f>
        <v>Overflow</v>
      </c>
      <c r="E237" s="3">
        <f ca="1">VLOOKUP($C237,Overall!$K$5:$T$36,10)</f>
        <v>3.4028240748575767E+38</v>
      </c>
      <c r="F237" s="9" t="str">
        <f>VLOOKUP($C237,Overall!$K$5:$T$36,6)</f>
        <v>01111111100000000000000000000001</v>
      </c>
      <c r="G237" s="8">
        <v>12</v>
      </c>
      <c r="H237" s="3" t="str">
        <f>VLOOKUP($G237,Overall!$K$5:$T$36,2)</f>
        <v>Overflow</v>
      </c>
      <c r="I237" s="3">
        <f ca="1">VLOOKUP($G237,Overall!$K$5:$T$36,10)</f>
        <v>-6.8056469327705772E+38</v>
      </c>
      <c r="J237" s="62" t="str">
        <f>VLOOKUP($G237,Overall!$K$5:$T$36,6)</f>
        <v>11111111111111111111111111111111</v>
      </c>
      <c r="K237" s="8">
        <f t="shared" ca="1" si="27"/>
        <v>-2.3158419227812344E+77</v>
      </c>
      <c r="L237" s="62">
        <f>VLOOKUP($B237,Overall!$B$5:$I$13,8)</f>
        <v>0</v>
      </c>
      <c r="M237" s="58"/>
      <c r="N237" s="3" t="str">
        <f t="shared" si="28"/>
        <v/>
      </c>
      <c r="O237" s="3" t="str">
        <f t="shared" si="29"/>
        <v/>
      </c>
      <c r="P237" s="3" t="str">
        <f t="shared" si="30"/>
        <v/>
      </c>
      <c r="Q237" s="3">
        <f t="shared" si="31"/>
        <v>0</v>
      </c>
      <c r="R237" s="3">
        <f t="shared" si="32"/>
        <v>0</v>
      </c>
      <c r="S237" s="3" t="e" cm="1">
        <f t="array" aca="1" ref="S237" ca="1">SUMPRODUCT(MID($P237,ROW(INDIRECT("1:23")),1)*2^(-ROW(INDIRECT("1:23"))))</f>
        <v>#VALUE!</v>
      </c>
      <c r="T237" s="3" t="e">
        <f t="shared" ca="1" si="33"/>
        <v>#VALUE!</v>
      </c>
      <c r="U237" s="3" t="e">
        <f t="shared" ca="1" si="34"/>
        <v>#VALUE!</v>
      </c>
      <c r="V237" s="73"/>
      <c r="W237" s="9" t="str">
        <f t="shared" si="35"/>
        <v>OK</v>
      </c>
    </row>
    <row r="238" spans="1:23" x14ac:dyDescent="0.3">
      <c r="A238" s="44">
        <v>235</v>
      </c>
      <c r="B238" s="14">
        <v>5</v>
      </c>
      <c r="C238" s="4">
        <v>8</v>
      </c>
      <c r="D238" s="3" t="str">
        <f>VLOOKUP($C238,Overall!$K$5:$T$36,2)</f>
        <v>Overflow</v>
      </c>
      <c r="E238" s="3">
        <f ca="1">VLOOKUP($C238,Overall!$K$5:$T$36,10)</f>
        <v>4.2535303978081149E+38</v>
      </c>
      <c r="F238" s="9" t="str">
        <f>VLOOKUP($C238,Overall!$K$5:$T$36,6)</f>
        <v>01111111101000000000000000000010</v>
      </c>
      <c r="G238" s="8">
        <v>7</v>
      </c>
      <c r="H238" s="3" t="str">
        <f>VLOOKUP($G238,Overall!$K$5:$T$36,2)</f>
        <v>Overflow</v>
      </c>
      <c r="I238" s="3">
        <f ca="1">VLOOKUP($G238,Overall!$K$5:$T$36,10)</f>
        <v>3.4028240748575767E+38</v>
      </c>
      <c r="J238" s="62" t="str">
        <f>VLOOKUP($G238,Overall!$K$5:$T$36,6)</f>
        <v>01111111100000000000000000000001</v>
      </c>
      <c r="K238" s="8">
        <f t="shared" ca="1" si="27"/>
        <v>1.4474015640799979E+77</v>
      </c>
      <c r="L238" s="62">
        <f>VLOOKUP($B238,Overall!$B$5:$I$13,8)</f>
        <v>0</v>
      </c>
      <c r="M238" s="58"/>
      <c r="N238" s="3" t="str">
        <f t="shared" si="28"/>
        <v/>
      </c>
      <c r="O238" s="3" t="str">
        <f t="shared" si="29"/>
        <v/>
      </c>
      <c r="P238" s="3" t="str">
        <f t="shared" si="30"/>
        <v/>
      </c>
      <c r="Q238" s="3">
        <f t="shared" si="31"/>
        <v>0</v>
      </c>
      <c r="R238" s="3">
        <f t="shared" si="32"/>
        <v>0</v>
      </c>
      <c r="S238" s="3" t="e" cm="1">
        <f t="array" aca="1" ref="S238" ca="1">SUMPRODUCT(MID($P238,ROW(INDIRECT("1:23")),1)*2^(-ROW(INDIRECT("1:23"))))</f>
        <v>#VALUE!</v>
      </c>
      <c r="T238" s="3" t="e">
        <f t="shared" ca="1" si="33"/>
        <v>#VALUE!</v>
      </c>
      <c r="U238" s="3" t="e">
        <f t="shared" ca="1" si="34"/>
        <v>#VALUE!</v>
      </c>
      <c r="V238" s="73"/>
      <c r="W238" s="9" t="str">
        <f t="shared" si="35"/>
        <v>OK</v>
      </c>
    </row>
    <row r="239" spans="1:23" x14ac:dyDescent="0.3">
      <c r="A239" s="44">
        <v>236</v>
      </c>
      <c r="B239" s="14">
        <v>5</v>
      </c>
      <c r="C239" s="4">
        <v>8</v>
      </c>
      <c r="D239" s="3" t="str">
        <f>VLOOKUP($C239,Overall!$K$5:$T$36,2)</f>
        <v>Overflow</v>
      </c>
      <c r="E239" s="3">
        <f ca="1">VLOOKUP($C239,Overall!$K$5:$T$36,10)</f>
        <v>4.2535303978081149E+38</v>
      </c>
      <c r="F239" s="9" t="str">
        <f>VLOOKUP($C239,Overall!$K$5:$T$36,6)</f>
        <v>01111111101000000000000000000010</v>
      </c>
      <c r="G239" s="8">
        <v>8</v>
      </c>
      <c r="H239" s="3" t="str">
        <f>VLOOKUP($G239,Overall!$K$5:$T$36,2)</f>
        <v>Overflow</v>
      </c>
      <c r="I239" s="3">
        <f ca="1">VLOOKUP($G239,Overall!$K$5:$T$36,10)</f>
        <v>4.2535303978081149E+38</v>
      </c>
      <c r="J239" s="62" t="str">
        <f>VLOOKUP($G239,Overall!$K$5:$T$36,6)</f>
        <v>01111111101000000000000000000010</v>
      </c>
      <c r="K239" s="8">
        <f t="shared" ca="1" si="27"/>
        <v>1.8092520845077661E+77</v>
      </c>
      <c r="L239" s="62">
        <f>VLOOKUP($B239,Overall!$B$5:$I$13,8)</f>
        <v>0</v>
      </c>
      <c r="M239" s="58"/>
      <c r="N239" s="3" t="str">
        <f t="shared" si="28"/>
        <v/>
      </c>
      <c r="O239" s="3" t="str">
        <f t="shared" si="29"/>
        <v/>
      </c>
      <c r="P239" s="3" t="str">
        <f t="shared" si="30"/>
        <v/>
      </c>
      <c r="Q239" s="3">
        <f t="shared" si="31"/>
        <v>0</v>
      </c>
      <c r="R239" s="3">
        <f t="shared" si="32"/>
        <v>0</v>
      </c>
      <c r="S239" s="3" t="e" cm="1">
        <f t="array" aca="1" ref="S239" ca="1">SUMPRODUCT(MID($P239,ROW(INDIRECT("1:23")),1)*2^(-ROW(INDIRECT("1:23"))))</f>
        <v>#VALUE!</v>
      </c>
      <c r="T239" s="3" t="e">
        <f t="shared" ca="1" si="33"/>
        <v>#VALUE!</v>
      </c>
      <c r="U239" s="3" t="e">
        <f t="shared" ca="1" si="34"/>
        <v>#VALUE!</v>
      </c>
      <c r="V239" s="73"/>
      <c r="W239" s="9" t="str">
        <f t="shared" si="35"/>
        <v>OK</v>
      </c>
    </row>
    <row r="240" spans="1:23" x14ac:dyDescent="0.3">
      <c r="A240" s="44">
        <v>237</v>
      </c>
      <c r="B240" s="14">
        <v>5</v>
      </c>
      <c r="C240" s="4">
        <v>8</v>
      </c>
      <c r="D240" s="3" t="str">
        <f>VLOOKUP($C240,Overall!$K$5:$T$36,2)</f>
        <v>Overflow</v>
      </c>
      <c r="E240" s="3">
        <f ca="1">VLOOKUP($C240,Overall!$K$5:$T$36,10)</f>
        <v>4.2535303978081149E+38</v>
      </c>
      <c r="F240" s="9" t="str">
        <f>VLOOKUP($C240,Overall!$K$5:$T$36,6)</f>
        <v>01111111101000000000000000000010</v>
      </c>
      <c r="G240" s="8">
        <v>9</v>
      </c>
      <c r="H240" s="3" t="str">
        <f>VLOOKUP($G240,Overall!$K$5:$T$36,2)</f>
        <v>Overflow</v>
      </c>
      <c r="I240" s="3">
        <f ca="1">VLOOKUP($G240,Overall!$K$5:$T$36,10)</f>
        <v>6.8056469327705772E+38</v>
      </c>
      <c r="J240" s="62" t="str">
        <f>VLOOKUP($G240,Overall!$K$5:$T$36,6)</f>
        <v>01111111111111111111111111111111</v>
      </c>
      <c r="K240" s="8">
        <f t="shared" ca="1" si="27"/>
        <v>2.894802610528921E+77</v>
      </c>
      <c r="L240" s="62">
        <f>VLOOKUP($B240,Overall!$B$5:$I$13,8)</f>
        <v>0</v>
      </c>
      <c r="M240" s="58"/>
      <c r="N240" s="3" t="str">
        <f t="shared" si="28"/>
        <v/>
      </c>
      <c r="O240" s="3" t="str">
        <f t="shared" si="29"/>
        <v/>
      </c>
      <c r="P240" s="3" t="str">
        <f t="shared" si="30"/>
        <v/>
      </c>
      <c r="Q240" s="3">
        <f t="shared" si="31"/>
        <v>0</v>
      </c>
      <c r="R240" s="3">
        <f t="shared" si="32"/>
        <v>0</v>
      </c>
      <c r="S240" s="3" t="e" cm="1">
        <f t="array" aca="1" ref="S240" ca="1">SUMPRODUCT(MID($P240,ROW(INDIRECT("1:23")),1)*2^(-ROW(INDIRECT("1:23"))))</f>
        <v>#VALUE!</v>
      </c>
      <c r="T240" s="3" t="e">
        <f t="shared" ca="1" si="33"/>
        <v>#VALUE!</v>
      </c>
      <c r="U240" s="3" t="e">
        <f t="shared" ca="1" si="34"/>
        <v>#VALUE!</v>
      </c>
      <c r="V240" s="73"/>
      <c r="W240" s="9" t="str">
        <f t="shared" si="35"/>
        <v>OK</v>
      </c>
    </row>
    <row r="241" spans="1:23" x14ac:dyDescent="0.3">
      <c r="A241" s="44">
        <v>238</v>
      </c>
      <c r="B241" s="14">
        <v>5</v>
      </c>
      <c r="C241" s="4">
        <v>8</v>
      </c>
      <c r="D241" s="3" t="str">
        <f>VLOOKUP($C241,Overall!$K$5:$T$36,2)</f>
        <v>Overflow</v>
      </c>
      <c r="E241" s="3">
        <f ca="1">VLOOKUP($C241,Overall!$K$5:$T$36,10)</f>
        <v>4.2535303978081149E+38</v>
      </c>
      <c r="F241" s="9" t="str">
        <f>VLOOKUP($C241,Overall!$K$5:$T$36,6)</f>
        <v>01111111101000000000000000000010</v>
      </c>
      <c r="G241" s="8">
        <v>10</v>
      </c>
      <c r="H241" s="3" t="str">
        <f>VLOOKUP($G241,Overall!$K$5:$T$36,2)</f>
        <v>Overflow</v>
      </c>
      <c r="I241" s="3">
        <f ca="1">VLOOKUP($G241,Overall!$K$5:$T$36,10)</f>
        <v>-3.4028240748575767E+38</v>
      </c>
      <c r="J241" s="62" t="str">
        <f>VLOOKUP($G241,Overall!$K$5:$T$36,6)</f>
        <v>11111111100000000000000000000001</v>
      </c>
      <c r="K241" s="8">
        <f t="shared" ca="1" si="27"/>
        <v>-1.4474015640799979E+77</v>
      </c>
      <c r="L241" s="62">
        <f>VLOOKUP($B241,Overall!$B$5:$I$13,8)</f>
        <v>0</v>
      </c>
      <c r="M241" s="58"/>
      <c r="N241" s="3" t="str">
        <f t="shared" si="28"/>
        <v/>
      </c>
      <c r="O241" s="3" t="str">
        <f t="shared" si="29"/>
        <v/>
      </c>
      <c r="P241" s="3" t="str">
        <f t="shared" si="30"/>
        <v/>
      </c>
      <c r="Q241" s="3">
        <f t="shared" si="31"/>
        <v>0</v>
      </c>
      <c r="R241" s="3">
        <f t="shared" si="32"/>
        <v>0</v>
      </c>
      <c r="S241" s="3" t="e" cm="1">
        <f t="array" aca="1" ref="S241" ca="1">SUMPRODUCT(MID($P241,ROW(INDIRECT("1:23")),1)*2^(-ROW(INDIRECT("1:23"))))</f>
        <v>#VALUE!</v>
      </c>
      <c r="T241" s="3" t="e">
        <f t="shared" ca="1" si="33"/>
        <v>#VALUE!</v>
      </c>
      <c r="U241" s="3" t="e">
        <f t="shared" ca="1" si="34"/>
        <v>#VALUE!</v>
      </c>
      <c r="V241" s="73"/>
      <c r="W241" s="9" t="str">
        <f t="shared" si="35"/>
        <v>OK</v>
      </c>
    </row>
    <row r="242" spans="1:23" x14ac:dyDescent="0.3">
      <c r="A242" s="44">
        <v>239</v>
      </c>
      <c r="B242" s="14">
        <v>5</v>
      </c>
      <c r="C242" s="4">
        <v>8</v>
      </c>
      <c r="D242" s="3" t="str">
        <f>VLOOKUP($C242,Overall!$K$5:$T$36,2)</f>
        <v>Overflow</v>
      </c>
      <c r="E242" s="3">
        <f ca="1">VLOOKUP($C242,Overall!$K$5:$T$36,10)</f>
        <v>4.2535303978081149E+38</v>
      </c>
      <c r="F242" s="9" t="str">
        <f>VLOOKUP($C242,Overall!$K$5:$T$36,6)</f>
        <v>01111111101000000000000000000010</v>
      </c>
      <c r="G242" s="8">
        <v>11</v>
      </c>
      <c r="H242" s="3" t="str">
        <f>VLOOKUP($G242,Overall!$K$5:$T$36,2)</f>
        <v>Overflow</v>
      </c>
      <c r="I242" s="3">
        <f ca="1">VLOOKUP($G242,Overall!$K$5:$T$36,10)</f>
        <v>-4.2535303978081149E+38</v>
      </c>
      <c r="J242" s="62" t="str">
        <f>VLOOKUP($G242,Overall!$K$5:$T$36,6)</f>
        <v>11111111101000000000000000000010</v>
      </c>
      <c r="K242" s="8">
        <f t="shared" ca="1" si="27"/>
        <v>-1.8092520845077661E+77</v>
      </c>
      <c r="L242" s="62">
        <f>VLOOKUP($B242,Overall!$B$5:$I$13,8)</f>
        <v>0</v>
      </c>
      <c r="M242" s="58"/>
      <c r="N242" s="3" t="str">
        <f t="shared" si="28"/>
        <v/>
      </c>
      <c r="O242" s="3" t="str">
        <f t="shared" si="29"/>
        <v/>
      </c>
      <c r="P242" s="3" t="str">
        <f t="shared" si="30"/>
        <v/>
      </c>
      <c r="Q242" s="3">
        <f t="shared" si="31"/>
        <v>0</v>
      </c>
      <c r="R242" s="3">
        <f t="shared" si="32"/>
        <v>0</v>
      </c>
      <c r="S242" s="3" t="e" cm="1">
        <f t="array" aca="1" ref="S242" ca="1">SUMPRODUCT(MID($P242,ROW(INDIRECT("1:23")),1)*2^(-ROW(INDIRECT("1:23"))))</f>
        <v>#VALUE!</v>
      </c>
      <c r="T242" s="3" t="e">
        <f t="shared" ca="1" si="33"/>
        <v>#VALUE!</v>
      </c>
      <c r="U242" s="3" t="e">
        <f t="shared" ca="1" si="34"/>
        <v>#VALUE!</v>
      </c>
      <c r="V242" s="73"/>
      <c r="W242" s="9" t="str">
        <f t="shared" si="35"/>
        <v>OK</v>
      </c>
    </row>
    <row r="243" spans="1:23" x14ac:dyDescent="0.3">
      <c r="A243" s="44">
        <v>240</v>
      </c>
      <c r="B243" s="14">
        <v>5</v>
      </c>
      <c r="C243" s="4">
        <v>8</v>
      </c>
      <c r="D243" s="3" t="str">
        <f>VLOOKUP($C243,Overall!$K$5:$T$36,2)</f>
        <v>Overflow</v>
      </c>
      <c r="E243" s="3">
        <f ca="1">VLOOKUP($C243,Overall!$K$5:$T$36,10)</f>
        <v>4.2535303978081149E+38</v>
      </c>
      <c r="F243" s="9" t="str">
        <f>VLOOKUP($C243,Overall!$K$5:$T$36,6)</f>
        <v>01111111101000000000000000000010</v>
      </c>
      <c r="G243" s="8">
        <v>12</v>
      </c>
      <c r="H243" s="3" t="str">
        <f>VLOOKUP($G243,Overall!$K$5:$T$36,2)</f>
        <v>Overflow</v>
      </c>
      <c r="I243" s="3">
        <f ca="1">VLOOKUP($G243,Overall!$K$5:$T$36,10)</f>
        <v>-6.8056469327705772E+38</v>
      </c>
      <c r="J243" s="62" t="str">
        <f>VLOOKUP($G243,Overall!$K$5:$T$36,6)</f>
        <v>11111111111111111111111111111111</v>
      </c>
      <c r="K243" s="8">
        <f t="shared" ca="1" si="27"/>
        <v>-2.894802610528921E+77</v>
      </c>
      <c r="L243" s="62">
        <f>VLOOKUP($B243,Overall!$B$5:$I$13,8)</f>
        <v>0</v>
      </c>
      <c r="M243" s="58"/>
      <c r="N243" s="3" t="str">
        <f t="shared" si="28"/>
        <v/>
      </c>
      <c r="O243" s="3" t="str">
        <f t="shared" si="29"/>
        <v/>
      </c>
      <c r="P243" s="3" t="str">
        <f t="shared" si="30"/>
        <v/>
      </c>
      <c r="Q243" s="3">
        <f t="shared" si="31"/>
        <v>0</v>
      </c>
      <c r="R243" s="3">
        <f t="shared" si="32"/>
        <v>0</v>
      </c>
      <c r="S243" s="3" t="e" cm="1">
        <f t="array" aca="1" ref="S243" ca="1">SUMPRODUCT(MID($P243,ROW(INDIRECT("1:23")),1)*2^(-ROW(INDIRECT("1:23"))))</f>
        <v>#VALUE!</v>
      </c>
      <c r="T243" s="3" t="e">
        <f t="shared" ca="1" si="33"/>
        <v>#VALUE!</v>
      </c>
      <c r="U243" s="3" t="e">
        <f t="shared" ca="1" si="34"/>
        <v>#VALUE!</v>
      </c>
      <c r="V243" s="73"/>
      <c r="W243" s="9" t="str">
        <f t="shared" si="35"/>
        <v>OK</v>
      </c>
    </row>
    <row r="244" spans="1:23" x14ac:dyDescent="0.3">
      <c r="A244" s="44">
        <v>241</v>
      </c>
      <c r="B244" s="14">
        <v>5</v>
      </c>
      <c r="C244" s="4">
        <v>9</v>
      </c>
      <c r="D244" s="3" t="str">
        <f>VLOOKUP($C244,Overall!$K$5:$T$36,2)</f>
        <v>Overflow</v>
      </c>
      <c r="E244" s="3">
        <f ca="1">VLOOKUP($C244,Overall!$K$5:$T$36,10)</f>
        <v>6.8056469327705772E+38</v>
      </c>
      <c r="F244" s="9" t="str">
        <f>VLOOKUP($C244,Overall!$K$5:$T$36,6)</f>
        <v>01111111111111111111111111111111</v>
      </c>
      <c r="G244" s="8">
        <v>7</v>
      </c>
      <c r="H244" s="3" t="str">
        <f>VLOOKUP($G244,Overall!$K$5:$T$36,2)</f>
        <v>Overflow</v>
      </c>
      <c r="I244" s="3">
        <f ca="1">VLOOKUP($G244,Overall!$K$5:$T$36,10)</f>
        <v>3.4028240748575767E+38</v>
      </c>
      <c r="J244" s="62" t="str">
        <f>VLOOKUP($G244,Overall!$K$5:$T$36,6)</f>
        <v>01111111100000000000000000000001</v>
      </c>
      <c r="K244" s="8">
        <f t="shared" ca="1" si="27"/>
        <v>2.3158419227812344E+77</v>
      </c>
      <c r="L244" s="62">
        <f>VLOOKUP($B244,Overall!$B$5:$I$13,8)</f>
        <v>0</v>
      </c>
      <c r="M244" s="58"/>
      <c r="N244" s="3" t="str">
        <f t="shared" si="28"/>
        <v/>
      </c>
      <c r="O244" s="3" t="str">
        <f t="shared" si="29"/>
        <v/>
      </c>
      <c r="P244" s="3" t="str">
        <f t="shared" si="30"/>
        <v/>
      </c>
      <c r="Q244" s="3">
        <f t="shared" si="31"/>
        <v>0</v>
      </c>
      <c r="R244" s="3">
        <f t="shared" si="32"/>
        <v>0</v>
      </c>
      <c r="S244" s="3" t="e" cm="1">
        <f t="array" aca="1" ref="S244" ca="1">SUMPRODUCT(MID($P244,ROW(INDIRECT("1:23")),1)*2^(-ROW(INDIRECT("1:23"))))</f>
        <v>#VALUE!</v>
      </c>
      <c r="T244" s="3" t="e">
        <f t="shared" ca="1" si="33"/>
        <v>#VALUE!</v>
      </c>
      <c r="U244" s="3" t="e">
        <f t="shared" ca="1" si="34"/>
        <v>#VALUE!</v>
      </c>
      <c r="V244" s="73"/>
      <c r="W244" s="9" t="str">
        <f t="shared" si="35"/>
        <v>OK</v>
      </c>
    </row>
    <row r="245" spans="1:23" x14ac:dyDescent="0.3">
      <c r="A245" s="44">
        <v>242</v>
      </c>
      <c r="B245" s="14">
        <v>5</v>
      </c>
      <c r="C245" s="4">
        <v>9</v>
      </c>
      <c r="D245" s="3" t="str">
        <f>VLOOKUP($C245,Overall!$K$5:$T$36,2)</f>
        <v>Overflow</v>
      </c>
      <c r="E245" s="3">
        <f ca="1">VLOOKUP($C245,Overall!$K$5:$T$36,10)</f>
        <v>6.8056469327705772E+38</v>
      </c>
      <c r="F245" s="9" t="str">
        <f>VLOOKUP($C245,Overall!$K$5:$T$36,6)</f>
        <v>01111111111111111111111111111111</v>
      </c>
      <c r="G245" s="8">
        <v>8</v>
      </c>
      <c r="H245" s="3" t="str">
        <f>VLOOKUP($G245,Overall!$K$5:$T$36,2)</f>
        <v>Overflow</v>
      </c>
      <c r="I245" s="3">
        <f ca="1">VLOOKUP($G245,Overall!$K$5:$T$36,10)</f>
        <v>4.2535303978081149E+38</v>
      </c>
      <c r="J245" s="62" t="str">
        <f>VLOOKUP($G245,Overall!$K$5:$T$36,6)</f>
        <v>01111111101000000000000000000010</v>
      </c>
      <c r="K245" s="8">
        <f t="shared" ca="1" si="27"/>
        <v>2.894802610528921E+77</v>
      </c>
      <c r="L245" s="62">
        <f>VLOOKUP($B245,Overall!$B$5:$I$13,8)</f>
        <v>0</v>
      </c>
      <c r="M245" s="58"/>
      <c r="N245" s="3" t="str">
        <f t="shared" si="28"/>
        <v/>
      </c>
      <c r="O245" s="3" t="str">
        <f t="shared" si="29"/>
        <v/>
      </c>
      <c r="P245" s="3" t="str">
        <f t="shared" si="30"/>
        <v/>
      </c>
      <c r="Q245" s="3">
        <f t="shared" si="31"/>
        <v>0</v>
      </c>
      <c r="R245" s="3">
        <f t="shared" si="32"/>
        <v>0</v>
      </c>
      <c r="S245" s="3" t="e" cm="1">
        <f t="array" aca="1" ref="S245" ca="1">SUMPRODUCT(MID($P245,ROW(INDIRECT("1:23")),1)*2^(-ROW(INDIRECT("1:23"))))</f>
        <v>#VALUE!</v>
      </c>
      <c r="T245" s="3" t="e">
        <f t="shared" ca="1" si="33"/>
        <v>#VALUE!</v>
      </c>
      <c r="U245" s="3" t="e">
        <f t="shared" ca="1" si="34"/>
        <v>#VALUE!</v>
      </c>
      <c r="V245" s="73"/>
      <c r="W245" s="9" t="str">
        <f t="shared" si="35"/>
        <v>OK</v>
      </c>
    </row>
    <row r="246" spans="1:23" x14ac:dyDescent="0.3">
      <c r="A246" s="44">
        <v>243</v>
      </c>
      <c r="B246" s="14">
        <v>5</v>
      </c>
      <c r="C246" s="4">
        <v>9</v>
      </c>
      <c r="D246" s="3" t="str">
        <f>VLOOKUP($C246,Overall!$K$5:$T$36,2)</f>
        <v>Overflow</v>
      </c>
      <c r="E246" s="3">
        <f ca="1">VLOOKUP($C246,Overall!$K$5:$T$36,10)</f>
        <v>6.8056469327705772E+38</v>
      </c>
      <c r="F246" s="9" t="str">
        <f>VLOOKUP($C246,Overall!$K$5:$T$36,6)</f>
        <v>01111111111111111111111111111111</v>
      </c>
      <c r="G246" s="8">
        <v>9</v>
      </c>
      <c r="H246" s="3" t="str">
        <f>VLOOKUP($G246,Overall!$K$5:$T$36,2)</f>
        <v>Overflow</v>
      </c>
      <c r="I246" s="3">
        <f ca="1">VLOOKUP($G246,Overall!$K$5:$T$36,10)</f>
        <v>6.8056469327705772E+38</v>
      </c>
      <c r="J246" s="62" t="str">
        <f>VLOOKUP($G246,Overall!$K$5:$T$36,6)</f>
        <v>01111111111111111111111111111111</v>
      </c>
      <c r="K246" s="8">
        <f t="shared" ca="1" si="27"/>
        <v>4.6316830173529565E+77</v>
      </c>
      <c r="L246" s="62">
        <f>VLOOKUP($B246,Overall!$B$5:$I$13,8)</f>
        <v>0</v>
      </c>
      <c r="M246" s="58"/>
      <c r="N246" s="3" t="str">
        <f t="shared" si="28"/>
        <v/>
      </c>
      <c r="O246" s="3" t="str">
        <f t="shared" si="29"/>
        <v/>
      </c>
      <c r="P246" s="3" t="str">
        <f t="shared" si="30"/>
        <v/>
      </c>
      <c r="Q246" s="3">
        <f t="shared" si="31"/>
        <v>0</v>
      </c>
      <c r="R246" s="3">
        <f t="shared" si="32"/>
        <v>0</v>
      </c>
      <c r="S246" s="3" t="e" cm="1">
        <f t="array" aca="1" ref="S246" ca="1">SUMPRODUCT(MID($P246,ROW(INDIRECT("1:23")),1)*2^(-ROW(INDIRECT("1:23"))))</f>
        <v>#VALUE!</v>
      </c>
      <c r="T246" s="3" t="e">
        <f t="shared" ca="1" si="33"/>
        <v>#VALUE!</v>
      </c>
      <c r="U246" s="3" t="e">
        <f t="shared" ca="1" si="34"/>
        <v>#VALUE!</v>
      </c>
      <c r="V246" s="73"/>
      <c r="W246" s="9" t="str">
        <f t="shared" si="35"/>
        <v>OK</v>
      </c>
    </row>
    <row r="247" spans="1:23" x14ac:dyDescent="0.3">
      <c r="A247" s="44">
        <v>244</v>
      </c>
      <c r="B247" s="14">
        <v>5</v>
      </c>
      <c r="C247" s="4">
        <v>9</v>
      </c>
      <c r="D247" s="3" t="str">
        <f>VLOOKUP($C247,Overall!$K$5:$T$36,2)</f>
        <v>Overflow</v>
      </c>
      <c r="E247" s="3">
        <f ca="1">VLOOKUP($C247,Overall!$K$5:$T$36,10)</f>
        <v>6.8056469327705772E+38</v>
      </c>
      <c r="F247" s="9" t="str">
        <f>VLOOKUP($C247,Overall!$K$5:$T$36,6)</f>
        <v>01111111111111111111111111111111</v>
      </c>
      <c r="G247" s="8">
        <v>10</v>
      </c>
      <c r="H247" s="3" t="str">
        <f>VLOOKUP($G247,Overall!$K$5:$T$36,2)</f>
        <v>Overflow</v>
      </c>
      <c r="I247" s="3">
        <f ca="1">VLOOKUP($G247,Overall!$K$5:$T$36,10)</f>
        <v>-3.4028240748575767E+38</v>
      </c>
      <c r="J247" s="62" t="str">
        <f>VLOOKUP($G247,Overall!$K$5:$T$36,6)</f>
        <v>11111111100000000000000000000001</v>
      </c>
      <c r="K247" s="8">
        <f t="shared" ca="1" si="27"/>
        <v>-2.3158419227812344E+77</v>
      </c>
      <c r="L247" s="62">
        <f>VLOOKUP($B247,Overall!$B$5:$I$13,8)</f>
        <v>0</v>
      </c>
      <c r="M247" s="58"/>
      <c r="N247" s="3" t="str">
        <f t="shared" si="28"/>
        <v/>
      </c>
      <c r="O247" s="3" t="str">
        <f t="shared" si="29"/>
        <v/>
      </c>
      <c r="P247" s="3" t="str">
        <f t="shared" si="30"/>
        <v/>
      </c>
      <c r="Q247" s="3">
        <f t="shared" si="31"/>
        <v>0</v>
      </c>
      <c r="R247" s="3">
        <f t="shared" si="32"/>
        <v>0</v>
      </c>
      <c r="S247" s="3" t="e" cm="1">
        <f t="array" aca="1" ref="S247" ca="1">SUMPRODUCT(MID($P247,ROW(INDIRECT("1:23")),1)*2^(-ROW(INDIRECT("1:23"))))</f>
        <v>#VALUE!</v>
      </c>
      <c r="T247" s="3" t="e">
        <f t="shared" ca="1" si="33"/>
        <v>#VALUE!</v>
      </c>
      <c r="U247" s="3" t="e">
        <f t="shared" ca="1" si="34"/>
        <v>#VALUE!</v>
      </c>
      <c r="V247" s="73"/>
      <c r="W247" s="9" t="str">
        <f t="shared" si="35"/>
        <v>OK</v>
      </c>
    </row>
    <row r="248" spans="1:23" x14ac:dyDescent="0.3">
      <c r="A248" s="44">
        <v>245</v>
      </c>
      <c r="B248" s="14">
        <v>5</v>
      </c>
      <c r="C248" s="4">
        <v>9</v>
      </c>
      <c r="D248" s="3" t="str">
        <f>VLOOKUP($C248,Overall!$K$5:$T$36,2)</f>
        <v>Overflow</v>
      </c>
      <c r="E248" s="3">
        <f ca="1">VLOOKUP($C248,Overall!$K$5:$T$36,10)</f>
        <v>6.8056469327705772E+38</v>
      </c>
      <c r="F248" s="9" t="str">
        <f>VLOOKUP($C248,Overall!$K$5:$T$36,6)</f>
        <v>01111111111111111111111111111111</v>
      </c>
      <c r="G248" s="8">
        <v>11</v>
      </c>
      <c r="H248" s="3" t="str">
        <f>VLOOKUP($G248,Overall!$K$5:$T$36,2)</f>
        <v>Overflow</v>
      </c>
      <c r="I248" s="3">
        <f ca="1">VLOOKUP($G248,Overall!$K$5:$T$36,10)</f>
        <v>-4.2535303978081149E+38</v>
      </c>
      <c r="J248" s="62" t="str">
        <f>VLOOKUP($G248,Overall!$K$5:$T$36,6)</f>
        <v>11111111101000000000000000000010</v>
      </c>
      <c r="K248" s="8">
        <f t="shared" ca="1" si="27"/>
        <v>-2.894802610528921E+77</v>
      </c>
      <c r="L248" s="62">
        <f>VLOOKUP($B248,Overall!$B$5:$I$13,8)</f>
        <v>0</v>
      </c>
      <c r="M248" s="58"/>
      <c r="N248" s="3" t="str">
        <f t="shared" si="28"/>
        <v/>
      </c>
      <c r="O248" s="3" t="str">
        <f t="shared" si="29"/>
        <v/>
      </c>
      <c r="P248" s="3" t="str">
        <f t="shared" si="30"/>
        <v/>
      </c>
      <c r="Q248" s="3">
        <f t="shared" si="31"/>
        <v>0</v>
      </c>
      <c r="R248" s="3">
        <f t="shared" si="32"/>
        <v>0</v>
      </c>
      <c r="S248" s="3" t="e" cm="1">
        <f t="array" aca="1" ref="S248" ca="1">SUMPRODUCT(MID($P248,ROW(INDIRECT("1:23")),1)*2^(-ROW(INDIRECT("1:23"))))</f>
        <v>#VALUE!</v>
      </c>
      <c r="T248" s="3" t="e">
        <f t="shared" ca="1" si="33"/>
        <v>#VALUE!</v>
      </c>
      <c r="U248" s="3" t="e">
        <f t="shared" ca="1" si="34"/>
        <v>#VALUE!</v>
      </c>
      <c r="V248" s="73"/>
      <c r="W248" s="9" t="str">
        <f t="shared" si="35"/>
        <v>OK</v>
      </c>
    </row>
    <row r="249" spans="1:23" x14ac:dyDescent="0.3">
      <c r="A249" s="44">
        <v>246</v>
      </c>
      <c r="B249" s="14">
        <v>5</v>
      </c>
      <c r="C249" s="4">
        <v>9</v>
      </c>
      <c r="D249" s="3" t="str">
        <f>VLOOKUP($C249,Overall!$K$5:$T$36,2)</f>
        <v>Overflow</v>
      </c>
      <c r="E249" s="3">
        <f ca="1">VLOOKUP($C249,Overall!$K$5:$T$36,10)</f>
        <v>6.8056469327705772E+38</v>
      </c>
      <c r="F249" s="9" t="str">
        <f>VLOOKUP($C249,Overall!$K$5:$T$36,6)</f>
        <v>01111111111111111111111111111111</v>
      </c>
      <c r="G249" s="8">
        <v>12</v>
      </c>
      <c r="H249" s="3" t="str">
        <f>VLOOKUP($G249,Overall!$K$5:$T$36,2)</f>
        <v>Overflow</v>
      </c>
      <c r="I249" s="3">
        <f ca="1">VLOOKUP($G249,Overall!$K$5:$T$36,10)</f>
        <v>-6.8056469327705772E+38</v>
      </c>
      <c r="J249" s="62" t="str">
        <f>VLOOKUP($G249,Overall!$K$5:$T$36,6)</f>
        <v>11111111111111111111111111111111</v>
      </c>
      <c r="K249" s="8">
        <f t="shared" ca="1" si="27"/>
        <v>-4.6316830173529565E+77</v>
      </c>
      <c r="L249" s="62">
        <f>VLOOKUP($B249,Overall!$B$5:$I$13,8)</f>
        <v>0</v>
      </c>
      <c r="M249" s="58"/>
      <c r="N249" s="3" t="str">
        <f t="shared" si="28"/>
        <v/>
      </c>
      <c r="O249" s="3" t="str">
        <f t="shared" si="29"/>
        <v/>
      </c>
      <c r="P249" s="3" t="str">
        <f t="shared" si="30"/>
        <v/>
      </c>
      <c r="Q249" s="3">
        <f t="shared" si="31"/>
        <v>0</v>
      </c>
      <c r="R249" s="3">
        <f t="shared" si="32"/>
        <v>0</v>
      </c>
      <c r="S249" s="3" t="e" cm="1">
        <f t="array" aca="1" ref="S249" ca="1">SUMPRODUCT(MID($P249,ROW(INDIRECT("1:23")),1)*2^(-ROW(INDIRECT("1:23"))))</f>
        <v>#VALUE!</v>
      </c>
      <c r="T249" s="3" t="e">
        <f t="shared" ca="1" si="33"/>
        <v>#VALUE!</v>
      </c>
      <c r="U249" s="3" t="e">
        <f t="shared" ca="1" si="34"/>
        <v>#VALUE!</v>
      </c>
      <c r="V249" s="73"/>
      <c r="W249" s="9" t="str">
        <f t="shared" si="35"/>
        <v>OK</v>
      </c>
    </row>
    <row r="250" spans="1:23" x14ac:dyDescent="0.3">
      <c r="A250" s="44">
        <v>247</v>
      </c>
      <c r="B250" s="14">
        <v>5</v>
      </c>
      <c r="C250" s="4">
        <v>10</v>
      </c>
      <c r="D250" s="3" t="str">
        <f>VLOOKUP($C250,Overall!$K$5:$T$36,2)</f>
        <v>Overflow</v>
      </c>
      <c r="E250" s="3">
        <f ca="1">VLOOKUP($C250,Overall!$K$5:$T$36,10)</f>
        <v>-3.4028240748575767E+38</v>
      </c>
      <c r="F250" s="9" t="str">
        <f>VLOOKUP($C250,Overall!$K$5:$T$36,6)</f>
        <v>11111111100000000000000000000001</v>
      </c>
      <c r="G250" s="8">
        <v>7</v>
      </c>
      <c r="H250" s="3" t="str">
        <f>VLOOKUP($G250,Overall!$K$5:$T$36,2)</f>
        <v>Overflow</v>
      </c>
      <c r="I250" s="3">
        <f ca="1">VLOOKUP($G250,Overall!$K$5:$T$36,10)</f>
        <v>3.4028240748575767E+38</v>
      </c>
      <c r="J250" s="62" t="str">
        <f>VLOOKUP($G250,Overall!$K$5:$T$36,6)</f>
        <v>01111111100000000000000000000001</v>
      </c>
      <c r="K250" s="8">
        <f t="shared" ca="1" si="27"/>
        <v>-1.1579211684430323E+77</v>
      </c>
      <c r="L250" s="62">
        <f>VLOOKUP($B250,Overall!$B$5:$I$13,8)</f>
        <v>0</v>
      </c>
      <c r="M250" s="58"/>
      <c r="N250" s="3" t="str">
        <f t="shared" si="28"/>
        <v/>
      </c>
      <c r="O250" s="3" t="str">
        <f t="shared" si="29"/>
        <v/>
      </c>
      <c r="P250" s="3" t="str">
        <f t="shared" si="30"/>
        <v/>
      </c>
      <c r="Q250" s="3">
        <f t="shared" si="31"/>
        <v>0</v>
      </c>
      <c r="R250" s="3">
        <f t="shared" si="32"/>
        <v>0</v>
      </c>
      <c r="S250" s="3" t="e" cm="1">
        <f t="array" aca="1" ref="S250" ca="1">SUMPRODUCT(MID($P250,ROW(INDIRECT("1:23")),1)*2^(-ROW(INDIRECT("1:23"))))</f>
        <v>#VALUE!</v>
      </c>
      <c r="T250" s="3" t="e">
        <f t="shared" ca="1" si="33"/>
        <v>#VALUE!</v>
      </c>
      <c r="U250" s="3" t="e">
        <f t="shared" ca="1" si="34"/>
        <v>#VALUE!</v>
      </c>
      <c r="V250" s="73"/>
      <c r="W250" s="9" t="str">
        <f t="shared" si="35"/>
        <v>OK</v>
      </c>
    </row>
    <row r="251" spans="1:23" x14ac:dyDescent="0.3">
      <c r="A251" s="44">
        <v>248</v>
      </c>
      <c r="B251" s="14">
        <v>5</v>
      </c>
      <c r="C251" s="4">
        <v>10</v>
      </c>
      <c r="D251" s="3" t="str">
        <f>VLOOKUP($C251,Overall!$K$5:$T$36,2)</f>
        <v>Overflow</v>
      </c>
      <c r="E251" s="3">
        <f ca="1">VLOOKUP($C251,Overall!$K$5:$T$36,10)</f>
        <v>-3.4028240748575767E+38</v>
      </c>
      <c r="F251" s="9" t="str">
        <f>VLOOKUP($C251,Overall!$K$5:$T$36,6)</f>
        <v>11111111100000000000000000000001</v>
      </c>
      <c r="G251" s="8">
        <v>8</v>
      </c>
      <c r="H251" s="3" t="str">
        <f>VLOOKUP($G251,Overall!$K$5:$T$36,2)</f>
        <v>Overflow</v>
      </c>
      <c r="I251" s="3">
        <f ca="1">VLOOKUP($G251,Overall!$K$5:$T$36,10)</f>
        <v>4.2535303978081149E+38</v>
      </c>
      <c r="J251" s="62" t="str">
        <f>VLOOKUP($G251,Overall!$K$5:$T$36,6)</f>
        <v>01111111101000000000000000000010</v>
      </c>
      <c r="K251" s="8">
        <f t="shared" ca="1" si="27"/>
        <v>-1.4474015640799979E+77</v>
      </c>
      <c r="L251" s="62">
        <f>VLOOKUP($B251,Overall!$B$5:$I$13,8)</f>
        <v>0</v>
      </c>
      <c r="M251" s="58"/>
      <c r="N251" s="3" t="str">
        <f t="shared" si="28"/>
        <v/>
      </c>
      <c r="O251" s="3" t="str">
        <f t="shared" si="29"/>
        <v/>
      </c>
      <c r="P251" s="3" t="str">
        <f t="shared" si="30"/>
        <v/>
      </c>
      <c r="Q251" s="3">
        <f t="shared" si="31"/>
        <v>0</v>
      </c>
      <c r="R251" s="3">
        <f t="shared" si="32"/>
        <v>0</v>
      </c>
      <c r="S251" s="3" t="e" cm="1">
        <f t="array" aca="1" ref="S251" ca="1">SUMPRODUCT(MID($P251,ROW(INDIRECT("1:23")),1)*2^(-ROW(INDIRECT("1:23"))))</f>
        <v>#VALUE!</v>
      </c>
      <c r="T251" s="3" t="e">
        <f t="shared" ca="1" si="33"/>
        <v>#VALUE!</v>
      </c>
      <c r="U251" s="3" t="e">
        <f t="shared" ca="1" si="34"/>
        <v>#VALUE!</v>
      </c>
      <c r="V251" s="73"/>
      <c r="W251" s="9" t="str">
        <f t="shared" si="35"/>
        <v>OK</v>
      </c>
    </row>
    <row r="252" spans="1:23" x14ac:dyDescent="0.3">
      <c r="A252" s="44">
        <v>249</v>
      </c>
      <c r="B252" s="14">
        <v>5</v>
      </c>
      <c r="C252" s="4">
        <v>10</v>
      </c>
      <c r="D252" s="3" t="str">
        <f>VLOOKUP($C252,Overall!$K$5:$T$36,2)</f>
        <v>Overflow</v>
      </c>
      <c r="E252" s="3">
        <f ca="1">VLOOKUP($C252,Overall!$K$5:$T$36,10)</f>
        <v>-3.4028240748575767E+38</v>
      </c>
      <c r="F252" s="9" t="str">
        <f>VLOOKUP($C252,Overall!$K$5:$T$36,6)</f>
        <v>11111111100000000000000000000001</v>
      </c>
      <c r="G252" s="8">
        <v>9</v>
      </c>
      <c r="H252" s="3" t="str">
        <f>VLOOKUP($G252,Overall!$K$5:$T$36,2)</f>
        <v>Overflow</v>
      </c>
      <c r="I252" s="3">
        <f ca="1">VLOOKUP($G252,Overall!$K$5:$T$36,10)</f>
        <v>6.8056469327705772E+38</v>
      </c>
      <c r="J252" s="62" t="str">
        <f>VLOOKUP($G252,Overall!$K$5:$T$36,6)</f>
        <v>01111111111111111111111111111111</v>
      </c>
      <c r="K252" s="8">
        <f t="shared" ca="1" si="27"/>
        <v>-2.3158419227812344E+77</v>
      </c>
      <c r="L252" s="62">
        <f>VLOOKUP($B252,Overall!$B$5:$I$13,8)</f>
        <v>0</v>
      </c>
      <c r="M252" s="58"/>
      <c r="N252" s="3" t="str">
        <f t="shared" si="28"/>
        <v/>
      </c>
      <c r="O252" s="3" t="str">
        <f t="shared" si="29"/>
        <v/>
      </c>
      <c r="P252" s="3" t="str">
        <f t="shared" si="30"/>
        <v/>
      </c>
      <c r="Q252" s="3">
        <f t="shared" si="31"/>
        <v>0</v>
      </c>
      <c r="R252" s="3">
        <f t="shared" si="32"/>
        <v>0</v>
      </c>
      <c r="S252" s="3" t="e" cm="1">
        <f t="array" aca="1" ref="S252" ca="1">SUMPRODUCT(MID($P252,ROW(INDIRECT("1:23")),1)*2^(-ROW(INDIRECT("1:23"))))</f>
        <v>#VALUE!</v>
      </c>
      <c r="T252" s="3" t="e">
        <f t="shared" ca="1" si="33"/>
        <v>#VALUE!</v>
      </c>
      <c r="U252" s="3" t="e">
        <f t="shared" ca="1" si="34"/>
        <v>#VALUE!</v>
      </c>
      <c r="V252" s="73"/>
      <c r="W252" s="9" t="str">
        <f t="shared" si="35"/>
        <v>OK</v>
      </c>
    </row>
    <row r="253" spans="1:23" x14ac:dyDescent="0.3">
      <c r="A253" s="44">
        <v>250</v>
      </c>
      <c r="B253" s="14">
        <v>5</v>
      </c>
      <c r="C253" s="4">
        <v>10</v>
      </c>
      <c r="D253" s="3" t="str">
        <f>VLOOKUP($C253,Overall!$K$5:$T$36,2)</f>
        <v>Overflow</v>
      </c>
      <c r="E253" s="3">
        <f ca="1">VLOOKUP($C253,Overall!$K$5:$T$36,10)</f>
        <v>-3.4028240748575767E+38</v>
      </c>
      <c r="F253" s="9" t="str">
        <f>VLOOKUP($C253,Overall!$K$5:$T$36,6)</f>
        <v>11111111100000000000000000000001</v>
      </c>
      <c r="G253" s="8">
        <v>10</v>
      </c>
      <c r="H253" s="3" t="str">
        <f>VLOOKUP($G253,Overall!$K$5:$T$36,2)</f>
        <v>Overflow</v>
      </c>
      <c r="I253" s="3">
        <f ca="1">VLOOKUP($G253,Overall!$K$5:$T$36,10)</f>
        <v>-3.4028240748575767E+38</v>
      </c>
      <c r="J253" s="62" t="str">
        <f>VLOOKUP($G253,Overall!$K$5:$T$36,6)</f>
        <v>11111111100000000000000000000001</v>
      </c>
      <c r="K253" s="8">
        <f t="shared" ca="1" si="27"/>
        <v>1.1579211684430323E+77</v>
      </c>
      <c r="L253" s="62">
        <f>VLOOKUP($B253,Overall!$B$5:$I$13,8)</f>
        <v>0</v>
      </c>
      <c r="M253" s="58"/>
      <c r="N253" s="3" t="str">
        <f t="shared" si="28"/>
        <v/>
      </c>
      <c r="O253" s="3" t="str">
        <f t="shared" si="29"/>
        <v/>
      </c>
      <c r="P253" s="3" t="str">
        <f t="shared" si="30"/>
        <v/>
      </c>
      <c r="Q253" s="3">
        <f t="shared" si="31"/>
        <v>0</v>
      </c>
      <c r="R253" s="3">
        <f t="shared" si="32"/>
        <v>0</v>
      </c>
      <c r="S253" s="3" t="e" cm="1">
        <f t="array" aca="1" ref="S253" ca="1">SUMPRODUCT(MID($P253,ROW(INDIRECT("1:23")),1)*2^(-ROW(INDIRECT("1:23"))))</f>
        <v>#VALUE!</v>
      </c>
      <c r="T253" s="3" t="e">
        <f t="shared" ca="1" si="33"/>
        <v>#VALUE!</v>
      </c>
      <c r="U253" s="3" t="e">
        <f t="shared" ca="1" si="34"/>
        <v>#VALUE!</v>
      </c>
      <c r="V253" s="73"/>
      <c r="W253" s="9" t="str">
        <f t="shared" si="35"/>
        <v>OK</v>
      </c>
    </row>
    <row r="254" spans="1:23" x14ac:dyDescent="0.3">
      <c r="A254" s="44">
        <v>251</v>
      </c>
      <c r="B254" s="14">
        <v>5</v>
      </c>
      <c r="C254" s="4">
        <v>10</v>
      </c>
      <c r="D254" s="3" t="str">
        <f>VLOOKUP($C254,Overall!$K$5:$T$36,2)</f>
        <v>Overflow</v>
      </c>
      <c r="E254" s="3">
        <f ca="1">VLOOKUP($C254,Overall!$K$5:$T$36,10)</f>
        <v>-3.4028240748575767E+38</v>
      </c>
      <c r="F254" s="9" t="str">
        <f>VLOOKUP($C254,Overall!$K$5:$T$36,6)</f>
        <v>11111111100000000000000000000001</v>
      </c>
      <c r="G254" s="8">
        <v>11</v>
      </c>
      <c r="H254" s="3" t="str">
        <f>VLOOKUP($G254,Overall!$K$5:$T$36,2)</f>
        <v>Overflow</v>
      </c>
      <c r="I254" s="3">
        <f ca="1">VLOOKUP($G254,Overall!$K$5:$T$36,10)</f>
        <v>-4.2535303978081149E+38</v>
      </c>
      <c r="J254" s="62" t="str">
        <f>VLOOKUP($G254,Overall!$K$5:$T$36,6)</f>
        <v>11111111101000000000000000000010</v>
      </c>
      <c r="K254" s="8">
        <f t="shared" ca="1" si="27"/>
        <v>1.4474015640799979E+77</v>
      </c>
      <c r="L254" s="62">
        <f>VLOOKUP($B254,Overall!$B$5:$I$13,8)</f>
        <v>0</v>
      </c>
      <c r="M254" s="58"/>
      <c r="N254" s="3" t="str">
        <f t="shared" si="28"/>
        <v/>
      </c>
      <c r="O254" s="3" t="str">
        <f t="shared" si="29"/>
        <v/>
      </c>
      <c r="P254" s="3" t="str">
        <f t="shared" si="30"/>
        <v/>
      </c>
      <c r="Q254" s="3">
        <f t="shared" si="31"/>
        <v>0</v>
      </c>
      <c r="R254" s="3">
        <f t="shared" si="32"/>
        <v>0</v>
      </c>
      <c r="S254" s="3" t="e" cm="1">
        <f t="array" aca="1" ref="S254" ca="1">SUMPRODUCT(MID($P254,ROW(INDIRECT("1:23")),1)*2^(-ROW(INDIRECT("1:23"))))</f>
        <v>#VALUE!</v>
      </c>
      <c r="T254" s="3" t="e">
        <f t="shared" ca="1" si="33"/>
        <v>#VALUE!</v>
      </c>
      <c r="U254" s="3" t="e">
        <f t="shared" ca="1" si="34"/>
        <v>#VALUE!</v>
      </c>
      <c r="V254" s="73"/>
      <c r="W254" s="9" t="str">
        <f t="shared" si="35"/>
        <v>OK</v>
      </c>
    </row>
    <row r="255" spans="1:23" x14ac:dyDescent="0.3">
      <c r="A255" s="44">
        <v>252</v>
      </c>
      <c r="B255" s="14">
        <v>5</v>
      </c>
      <c r="C255" s="4">
        <v>10</v>
      </c>
      <c r="D255" s="3" t="str">
        <f>VLOOKUP($C255,Overall!$K$5:$T$36,2)</f>
        <v>Overflow</v>
      </c>
      <c r="E255" s="3">
        <f ca="1">VLOOKUP($C255,Overall!$K$5:$T$36,10)</f>
        <v>-3.4028240748575767E+38</v>
      </c>
      <c r="F255" s="9" t="str">
        <f>VLOOKUP($C255,Overall!$K$5:$T$36,6)</f>
        <v>11111111100000000000000000000001</v>
      </c>
      <c r="G255" s="8">
        <v>12</v>
      </c>
      <c r="H255" s="3" t="str">
        <f>VLOOKUP($G255,Overall!$K$5:$T$36,2)</f>
        <v>Overflow</v>
      </c>
      <c r="I255" s="3">
        <f ca="1">VLOOKUP($G255,Overall!$K$5:$T$36,10)</f>
        <v>-6.8056469327705772E+38</v>
      </c>
      <c r="J255" s="62" t="str">
        <f>VLOOKUP($G255,Overall!$K$5:$T$36,6)</f>
        <v>11111111111111111111111111111111</v>
      </c>
      <c r="K255" s="8">
        <f t="shared" ca="1" si="27"/>
        <v>2.3158419227812344E+77</v>
      </c>
      <c r="L255" s="62">
        <f>VLOOKUP($B255,Overall!$B$5:$I$13,8)</f>
        <v>0</v>
      </c>
      <c r="M255" s="58"/>
      <c r="N255" s="3" t="str">
        <f t="shared" si="28"/>
        <v/>
      </c>
      <c r="O255" s="3" t="str">
        <f t="shared" si="29"/>
        <v/>
      </c>
      <c r="P255" s="3" t="str">
        <f t="shared" si="30"/>
        <v/>
      </c>
      <c r="Q255" s="3">
        <f t="shared" si="31"/>
        <v>0</v>
      </c>
      <c r="R255" s="3">
        <f t="shared" si="32"/>
        <v>0</v>
      </c>
      <c r="S255" s="3" t="e" cm="1">
        <f t="array" aca="1" ref="S255" ca="1">SUMPRODUCT(MID($P255,ROW(INDIRECT("1:23")),1)*2^(-ROW(INDIRECT("1:23"))))</f>
        <v>#VALUE!</v>
      </c>
      <c r="T255" s="3" t="e">
        <f t="shared" ca="1" si="33"/>
        <v>#VALUE!</v>
      </c>
      <c r="U255" s="3" t="e">
        <f t="shared" ca="1" si="34"/>
        <v>#VALUE!</v>
      </c>
      <c r="V255" s="73"/>
      <c r="W255" s="9" t="str">
        <f t="shared" si="35"/>
        <v>OK</v>
      </c>
    </row>
    <row r="256" spans="1:23" x14ac:dyDescent="0.3">
      <c r="A256" s="44">
        <v>253</v>
      </c>
      <c r="B256" s="14">
        <v>5</v>
      </c>
      <c r="C256" s="4">
        <v>11</v>
      </c>
      <c r="D256" s="3" t="str">
        <f>VLOOKUP($C256,Overall!$K$5:$T$36,2)</f>
        <v>Overflow</v>
      </c>
      <c r="E256" s="3">
        <f ca="1">VLOOKUP($C256,Overall!$K$5:$T$36,10)</f>
        <v>-4.2535303978081149E+38</v>
      </c>
      <c r="F256" s="9" t="str">
        <f>VLOOKUP($C256,Overall!$K$5:$T$36,6)</f>
        <v>11111111101000000000000000000010</v>
      </c>
      <c r="G256" s="8">
        <v>7</v>
      </c>
      <c r="H256" s="3" t="str">
        <f>VLOOKUP($G256,Overall!$K$5:$T$36,2)</f>
        <v>Overflow</v>
      </c>
      <c r="I256" s="3">
        <f ca="1">VLOOKUP($G256,Overall!$K$5:$T$36,10)</f>
        <v>3.4028240748575767E+38</v>
      </c>
      <c r="J256" s="62" t="str">
        <f>VLOOKUP($G256,Overall!$K$5:$T$36,6)</f>
        <v>01111111100000000000000000000001</v>
      </c>
      <c r="K256" s="8">
        <f t="shared" ca="1" si="27"/>
        <v>-1.4474015640799979E+77</v>
      </c>
      <c r="L256" s="62">
        <f>VLOOKUP($B256,Overall!$B$5:$I$13,8)</f>
        <v>0</v>
      </c>
      <c r="M256" s="58"/>
      <c r="N256" s="3" t="str">
        <f t="shared" si="28"/>
        <v/>
      </c>
      <c r="O256" s="3" t="str">
        <f t="shared" si="29"/>
        <v/>
      </c>
      <c r="P256" s="3" t="str">
        <f t="shared" si="30"/>
        <v/>
      </c>
      <c r="Q256" s="3">
        <f t="shared" si="31"/>
        <v>0</v>
      </c>
      <c r="R256" s="3">
        <f t="shared" si="32"/>
        <v>0</v>
      </c>
      <c r="S256" s="3" t="e" cm="1">
        <f t="array" aca="1" ref="S256" ca="1">SUMPRODUCT(MID($P256,ROW(INDIRECT("1:23")),1)*2^(-ROW(INDIRECT("1:23"))))</f>
        <v>#VALUE!</v>
      </c>
      <c r="T256" s="3" t="e">
        <f t="shared" ca="1" si="33"/>
        <v>#VALUE!</v>
      </c>
      <c r="U256" s="3" t="e">
        <f t="shared" ca="1" si="34"/>
        <v>#VALUE!</v>
      </c>
      <c r="V256" s="73"/>
      <c r="W256" s="9" t="str">
        <f t="shared" si="35"/>
        <v>OK</v>
      </c>
    </row>
    <row r="257" spans="1:23" x14ac:dyDescent="0.3">
      <c r="A257" s="44">
        <v>254</v>
      </c>
      <c r="B257" s="14">
        <v>5</v>
      </c>
      <c r="C257" s="4">
        <v>11</v>
      </c>
      <c r="D257" s="3" t="str">
        <f>VLOOKUP($C257,Overall!$K$5:$T$36,2)</f>
        <v>Overflow</v>
      </c>
      <c r="E257" s="3">
        <f ca="1">VLOOKUP($C257,Overall!$K$5:$T$36,10)</f>
        <v>-4.2535303978081149E+38</v>
      </c>
      <c r="F257" s="9" t="str">
        <f>VLOOKUP($C257,Overall!$K$5:$T$36,6)</f>
        <v>11111111101000000000000000000010</v>
      </c>
      <c r="G257" s="8">
        <v>8</v>
      </c>
      <c r="H257" s="3" t="str">
        <f>VLOOKUP($G257,Overall!$K$5:$T$36,2)</f>
        <v>Overflow</v>
      </c>
      <c r="I257" s="3">
        <f ca="1">VLOOKUP($G257,Overall!$K$5:$T$36,10)</f>
        <v>4.2535303978081149E+38</v>
      </c>
      <c r="J257" s="62" t="str">
        <f>VLOOKUP($G257,Overall!$K$5:$T$36,6)</f>
        <v>01111111101000000000000000000010</v>
      </c>
      <c r="K257" s="8">
        <f t="shared" ca="1" si="27"/>
        <v>-1.8092520845077661E+77</v>
      </c>
      <c r="L257" s="62">
        <f>VLOOKUP($B257,Overall!$B$5:$I$13,8)</f>
        <v>0</v>
      </c>
      <c r="M257" s="58"/>
      <c r="N257" s="3" t="str">
        <f t="shared" si="28"/>
        <v/>
      </c>
      <c r="O257" s="3" t="str">
        <f t="shared" si="29"/>
        <v/>
      </c>
      <c r="P257" s="3" t="str">
        <f t="shared" si="30"/>
        <v/>
      </c>
      <c r="Q257" s="3">
        <f t="shared" si="31"/>
        <v>0</v>
      </c>
      <c r="R257" s="3">
        <f t="shared" si="32"/>
        <v>0</v>
      </c>
      <c r="S257" s="3" t="e" cm="1">
        <f t="array" aca="1" ref="S257" ca="1">SUMPRODUCT(MID($P257,ROW(INDIRECT("1:23")),1)*2^(-ROW(INDIRECT("1:23"))))</f>
        <v>#VALUE!</v>
      </c>
      <c r="T257" s="3" t="e">
        <f t="shared" ca="1" si="33"/>
        <v>#VALUE!</v>
      </c>
      <c r="U257" s="3" t="e">
        <f t="shared" ca="1" si="34"/>
        <v>#VALUE!</v>
      </c>
      <c r="V257" s="73"/>
      <c r="W257" s="9" t="str">
        <f t="shared" si="35"/>
        <v>OK</v>
      </c>
    </row>
    <row r="258" spans="1:23" x14ac:dyDescent="0.3">
      <c r="A258" s="44">
        <v>255</v>
      </c>
      <c r="B258" s="14">
        <v>5</v>
      </c>
      <c r="C258" s="4">
        <v>11</v>
      </c>
      <c r="D258" s="3" t="str">
        <f>VLOOKUP($C258,Overall!$K$5:$T$36,2)</f>
        <v>Overflow</v>
      </c>
      <c r="E258" s="3">
        <f ca="1">VLOOKUP($C258,Overall!$K$5:$T$36,10)</f>
        <v>-4.2535303978081149E+38</v>
      </c>
      <c r="F258" s="9" t="str">
        <f>VLOOKUP($C258,Overall!$K$5:$T$36,6)</f>
        <v>11111111101000000000000000000010</v>
      </c>
      <c r="G258" s="8">
        <v>9</v>
      </c>
      <c r="H258" s="3" t="str">
        <f>VLOOKUP($G258,Overall!$K$5:$T$36,2)</f>
        <v>Overflow</v>
      </c>
      <c r="I258" s="3">
        <f ca="1">VLOOKUP($G258,Overall!$K$5:$T$36,10)</f>
        <v>6.8056469327705772E+38</v>
      </c>
      <c r="J258" s="62" t="str">
        <f>VLOOKUP($G258,Overall!$K$5:$T$36,6)</f>
        <v>01111111111111111111111111111111</v>
      </c>
      <c r="K258" s="8">
        <f t="shared" ca="1" si="27"/>
        <v>-2.894802610528921E+77</v>
      </c>
      <c r="L258" s="62">
        <f>VLOOKUP($B258,Overall!$B$5:$I$13,8)</f>
        <v>0</v>
      </c>
      <c r="M258" s="58"/>
      <c r="N258" s="3" t="str">
        <f t="shared" si="28"/>
        <v/>
      </c>
      <c r="O258" s="3" t="str">
        <f t="shared" si="29"/>
        <v/>
      </c>
      <c r="P258" s="3" t="str">
        <f t="shared" si="30"/>
        <v/>
      </c>
      <c r="Q258" s="3">
        <f t="shared" si="31"/>
        <v>0</v>
      </c>
      <c r="R258" s="3">
        <f t="shared" si="32"/>
        <v>0</v>
      </c>
      <c r="S258" s="3" t="e" cm="1">
        <f t="array" aca="1" ref="S258" ca="1">SUMPRODUCT(MID($P258,ROW(INDIRECT("1:23")),1)*2^(-ROW(INDIRECT("1:23"))))</f>
        <v>#VALUE!</v>
      </c>
      <c r="T258" s="3" t="e">
        <f t="shared" ca="1" si="33"/>
        <v>#VALUE!</v>
      </c>
      <c r="U258" s="3" t="e">
        <f t="shared" ca="1" si="34"/>
        <v>#VALUE!</v>
      </c>
      <c r="V258" s="73"/>
      <c r="W258" s="9" t="str">
        <f t="shared" si="35"/>
        <v>OK</v>
      </c>
    </row>
    <row r="259" spans="1:23" x14ac:dyDescent="0.3">
      <c r="A259" s="44">
        <v>256</v>
      </c>
      <c r="B259" s="14">
        <v>5</v>
      </c>
      <c r="C259" s="4">
        <v>11</v>
      </c>
      <c r="D259" s="3" t="str">
        <f>VLOOKUP($C259,Overall!$K$5:$T$36,2)</f>
        <v>Overflow</v>
      </c>
      <c r="E259" s="3">
        <f ca="1">VLOOKUP($C259,Overall!$K$5:$T$36,10)</f>
        <v>-4.2535303978081149E+38</v>
      </c>
      <c r="F259" s="9" t="str">
        <f>VLOOKUP($C259,Overall!$K$5:$T$36,6)</f>
        <v>11111111101000000000000000000010</v>
      </c>
      <c r="G259" s="8">
        <v>10</v>
      </c>
      <c r="H259" s="3" t="str">
        <f>VLOOKUP($G259,Overall!$K$5:$T$36,2)</f>
        <v>Overflow</v>
      </c>
      <c r="I259" s="3">
        <f ca="1">VLOOKUP($G259,Overall!$K$5:$T$36,10)</f>
        <v>-3.4028240748575767E+38</v>
      </c>
      <c r="J259" s="62" t="str">
        <f>VLOOKUP($G259,Overall!$K$5:$T$36,6)</f>
        <v>11111111100000000000000000000001</v>
      </c>
      <c r="K259" s="8">
        <f t="shared" ca="1" si="27"/>
        <v>1.4474015640799979E+77</v>
      </c>
      <c r="L259" s="62">
        <f>VLOOKUP($B259,Overall!$B$5:$I$13,8)</f>
        <v>0</v>
      </c>
      <c r="M259" s="58"/>
      <c r="N259" s="3" t="str">
        <f t="shared" si="28"/>
        <v/>
      </c>
      <c r="O259" s="3" t="str">
        <f t="shared" si="29"/>
        <v/>
      </c>
      <c r="P259" s="3" t="str">
        <f t="shared" si="30"/>
        <v/>
      </c>
      <c r="Q259" s="3">
        <f t="shared" si="31"/>
        <v>0</v>
      </c>
      <c r="R259" s="3">
        <f t="shared" si="32"/>
        <v>0</v>
      </c>
      <c r="S259" s="3" t="e" cm="1">
        <f t="array" aca="1" ref="S259" ca="1">SUMPRODUCT(MID($P259,ROW(INDIRECT("1:23")),1)*2^(-ROW(INDIRECT("1:23"))))</f>
        <v>#VALUE!</v>
      </c>
      <c r="T259" s="3" t="e">
        <f t="shared" ca="1" si="33"/>
        <v>#VALUE!</v>
      </c>
      <c r="U259" s="3" t="e">
        <f t="shared" ca="1" si="34"/>
        <v>#VALUE!</v>
      </c>
      <c r="V259" s="73"/>
      <c r="W259" s="9" t="str">
        <f t="shared" si="35"/>
        <v>OK</v>
      </c>
    </row>
    <row r="260" spans="1:23" x14ac:dyDescent="0.3">
      <c r="A260" s="44">
        <v>257</v>
      </c>
      <c r="B260" s="14">
        <v>5</v>
      </c>
      <c r="C260" s="4">
        <v>11</v>
      </c>
      <c r="D260" s="3" t="str">
        <f>VLOOKUP($C260,Overall!$K$5:$T$36,2)</f>
        <v>Overflow</v>
      </c>
      <c r="E260" s="3">
        <f ca="1">VLOOKUP($C260,Overall!$K$5:$T$36,10)</f>
        <v>-4.2535303978081149E+38</v>
      </c>
      <c r="F260" s="9" t="str">
        <f>VLOOKUP($C260,Overall!$K$5:$T$36,6)</f>
        <v>11111111101000000000000000000010</v>
      </c>
      <c r="G260" s="8">
        <v>11</v>
      </c>
      <c r="H260" s="3" t="str">
        <f>VLOOKUP($G260,Overall!$K$5:$T$36,2)</f>
        <v>Overflow</v>
      </c>
      <c r="I260" s="3">
        <f ca="1">VLOOKUP($G260,Overall!$K$5:$T$36,10)</f>
        <v>-4.2535303978081149E+38</v>
      </c>
      <c r="J260" s="62" t="str">
        <f>VLOOKUP($G260,Overall!$K$5:$T$36,6)</f>
        <v>11111111101000000000000000000010</v>
      </c>
      <c r="K260" s="8">
        <f t="shared" ca="1" si="27"/>
        <v>1.8092520845077661E+77</v>
      </c>
      <c r="L260" s="62">
        <f>VLOOKUP($B260,Overall!$B$5:$I$13,8)</f>
        <v>0</v>
      </c>
      <c r="M260" s="58"/>
      <c r="N260" s="3" t="str">
        <f t="shared" si="28"/>
        <v/>
      </c>
      <c r="O260" s="3" t="str">
        <f t="shared" si="29"/>
        <v/>
      </c>
      <c r="P260" s="3" t="str">
        <f t="shared" si="30"/>
        <v/>
      </c>
      <c r="Q260" s="3">
        <f t="shared" si="31"/>
        <v>0</v>
      </c>
      <c r="R260" s="3">
        <f t="shared" si="32"/>
        <v>0</v>
      </c>
      <c r="S260" s="3" t="e" cm="1">
        <f t="array" aca="1" ref="S260" ca="1">SUMPRODUCT(MID($P260,ROW(INDIRECT("1:23")),1)*2^(-ROW(INDIRECT("1:23"))))</f>
        <v>#VALUE!</v>
      </c>
      <c r="T260" s="3" t="e">
        <f t="shared" ca="1" si="33"/>
        <v>#VALUE!</v>
      </c>
      <c r="U260" s="3" t="e">
        <f t="shared" ca="1" si="34"/>
        <v>#VALUE!</v>
      </c>
      <c r="V260" s="73"/>
      <c r="W260" s="9" t="str">
        <f t="shared" si="35"/>
        <v>OK</v>
      </c>
    </row>
    <row r="261" spans="1:23" x14ac:dyDescent="0.3">
      <c r="A261" s="44">
        <v>258</v>
      </c>
      <c r="B261" s="14">
        <v>5</v>
      </c>
      <c r="C261" s="4">
        <v>11</v>
      </c>
      <c r="D261" s="3" t="str">
        <f>VLOOKUP($C261,Overall!$K$5:$T$36,2)</f>
        <v>Overflow</v>
      </c>
      <c r="E261" s="3">
        <f ca="1">VLOOKUP($C261,Overall!$K$5:$T$36,10)</f>
        <v>-4.2535303978081149E+38</v>
      </c>
      <c r="F261" s="9" t="str">
        <f>VLOOKUP($C261,Overall!$K$5:$T$36,6)</f>
        <v>11111111101000000000000000000010</v>
      </c>
      <c r="G261" s="8">
        <v>12</v>
      </c>
      <c r="H261" s="3" t="str">
        <f>VLOOKUP($G261,Overall!$K$5:$T$36,2)</f>
        <v>Overflow</v>
      </c>
      <c r="I261" s="3">
        <f ca="1">VLOOKUP($G261,Overall!$K$5:$T$36,10)</f>
        <v>-6.8056469327705772E+38</v>
      </c>
      <c r="J261" s="62" t="str">
        <f>VLOOKUP($G261,Overall!$K$5:$T$36,6)</f>
        <v>11111111111111111111111111111111</v>
      </c>
      <c r="K261" s="8">
        <f t="shared" ref="K261:K324" ca="1" si="36">E261*I261</f>
        <v>2.894802610528921E+77</v>
      </c>
      <c r="L261" s="62">
        <f>VLOOKUP($B261,Overall!$B$5:$I$13,8)</f>
        <v>0</v>
      </c>
      <c r="M261" s="58"/>
      <c r="N261" s="3" t="str">
        <f t="shared" ref="N261:N324" si="37">LEFT($M261,1)</f>
        <v/>
      </c>
      <c r="O261" s="3" t="str">
        <f t="shared" ref="O261:O324" si="38">MID($M261,2,8)</f>
        <v/>
      </c>
      <c r="P261" s="3" t="str">
        <f t="shared" ref="P261:P324" si="39">MID($M261,10,23)</f>
        <v/>
      </c>
      <c r="Q261" s="3">
        <f t="shared" ref="Q261:Q324" si="40">BIN2DEC($N261)</f>
        <v>0</v>
      </c>
      <c r="R261" s="3">
        <f t="shared" ref="R261:R324" si="41">BIN2DEC($O261)</f>
        <v>0</v>
      </c>
      <c r="S261" s="3" t="e" cm="1">
        <f t="array" aca="1" ref="S261" ca="1">SUMPRODUCT(MID($P261,ROW(INDIRECT("1:23")),1)*2^(-ROW(INDIRECT("1:23"))))</f>
        <v>#VALUE!</v>
      </c>
      <c r="T261" s="3" t="e">
        <f t="shared" ref="T261:T324" ca="1" si="42">IF($R261=0,
   (-1)^$Q261 * $S261 * 2^(-126),
   (-1)^$Q261 * (1 + $S261) * 2^($R261 - 127)
)</f>
        <v>#VALUE!</v>
      </c>
      <c r="U261" s="3" t="e">
        <f t="shared" ref="U261:U324" ca="1" si="43">$T261-$K261</f>
        <v>#VALUE!</v>
      </c>
      <c r="V261" s="73"/>
      <c r="W261" s="9" t="str">
        <f t="shared" ref="W261:W324" si="44">IF(L261=V261,"OK","NG")</f>
        <v>OK</v>
      </c>
    </row>
    <row r="262" spans="1:23" x14ac:dyDescent="0.3">
      <c r="A262" s="44">
        <v>259</v>
      </c>
      <c r="B262" s="14">
        <v>5</v>
      </c>
      <c r="C262" s="4">
        <v>12</v>
      </c>
      <c r="D262" s="3" t="str">
        <f>VLOOKUP($C262,Overall!$K$5:$T$36,2)</f>
        <v>Overflow</v>
      </c>
      <c r="E262" s="3">
        <f ca="1">VLOOKUP($C262,Overall!$K$5:$T$36,10)</f>
        <v>-6.8056469327705772E+38</v>
      </c>
      <c r="F262" s="9" t="str">
        <f>VLOOKUP($C262,Overall!$K$5:$T$36,6)</f>
        <v>11111111111111111111111111111111</v>
      </c>
      <c r="G262" s="8">
        <v>7</v>
      </c>
      <c r="H262" s="3" t="str">
        <f>VLOOKUP($G262,Overall!$K$5:$T$36,2)</f>
        <v>Overflow</v>
      </c>
      <c r="I262" s="3">
        <f ca="1">VLOOKUP($G262,Overall!$K$5:$T$36,10)</f>
        <v>3.4028240748575767E+38</v>
      </c>
      <c r="J262" s="62" t="str">
        <f>VLOOKUP($G262,Overall!$K$5:$T$36,6)</f>
        <v>01111111100000000000000000000001</v>
      </c>
      <c r="K262" s="8">
        <f t="shared" ca="1" si="36"/>
        <v>-2.3158419227812344E+77</v>
      </c>
      <c r="L262" s="62">
        <f>VLOOKUP($B262,Overall!$B$5:$I$13,8)</f>
        <v>0</v>
      </c>
      <c r="M262" s="58"/>
      <c r="N262" s="3" t="str">
        <f t="shared" si="37"/>
        <v/>
      </c>
      <c r="O262" s="3" t="str">
        <f t="shared" si="38"/>
        <v/>
      </c>
      <c r="P262" s="3" t="str">
        <f t="shared" si="39"/>
        <v/>
      </c>
      <c r="Q262" s="3">
        <f t="shared" si="40"/>
        <v>0</v>
      </c>
      <c r="R262" s="3">
        <f t="shared" si="41"/>
        <v>0</v>
      </c>
      <c r="S262" s="3" t="e" cm="1">
        <f t="array" aca="1" ref="S262" ca="1">SUMPRODUCT(MID($P262,ROW(INDIRECT("1:23")),1)*2^(-ROW(INDIRECT("1:23"))))</f>
        <v>#VALUE!</v>
      </c>
      <c r="T262" s="3" t="e">
        <f t="shared" ca="1" si="42"/>
        <v>#VALUE!</v>
      </c>
      <c r="U262" s="3" t="e">
        <f t="shared" ca="1" si="43"/>
        <v>#VALUE!</v>
      </c>
      <c r="V262" s="73"/>
      <c r="W262" s="9" t="str">
        <f t="shared" si="44"/>
        <v>OK</v>
      </c>
    </row>
    <row r="263" spans="1:23" x14ac:dyDescent="0.3">
      <c r="A263" s="44">
        <v>260</v>
      </c>
      <c r="B263" s="14">
        <v>5</v>
      </c>
      <c r="C263" s="4">
        <v>12</v>
      </c>
      <c r="D263" s="3" t="str">
        <f>VLOOKUP($C263,Overall!$K$5:$T$36,2)</f>
        <v>Overflow</v>
      </c>
      <c r="E263" s="3">
        <f ca="1">VLOOKUP($C263,Overall!$K$5:$T$36,10)</f>
        <v>-6.8056469327705772E+38</v>
      </c>
      <c r="F263" s="9" t="str">
        <f>VLOOKUP($C263,Overall!$K$5:$T$36,6)</f>
        <v>11111111111111111111111111111111</v>
      </c>
      <c r="G263" s="8">
        <v>8</v>
      </c>
      <c r="H263" s="3" t="str">
        <f>VLOOKUP($G263,Overall!$K$5:$T$36,2)</f>
        <v>Overflow</v>
      </c>
      <c r="I263" s="3">
        <f ca="1">VLOOKUP($G263,Overall!$K$5:$T$36,10)</f>
        <v>4.2535303978081149E+38</v>
      </c>
      <c r="J263" s="62" t="str">
        <f>VLOOKUP($G263,Overall!$K$5:$T$36,6)</f>
        <v>01111111101000000000000000000010</v>
      </c>
      <c r="K263" s="8">
        <f t="shared" ca="1" si="36"/>
        <v>-2.894802610528921E+77</v>
      </c>
      <c r="L263" s="62">
        <f>VLOOKUP($B263,Overall!$B$5:$I$13,8)</f>
        <v>0</v>
      </c>
      <c r="M263" s="58"/>
      <c r="N263" s="3" t="str">
        <f t="shared" si="37"/>
        <v/>
      </c>
      <c r="O263" s="3" t="str">
        <f t="shared" si="38"/>
        <v/>
      </c>
      <c r="P263" s="3" t="str">
        <f t="shared" si="39"/>
        <v/>
      </c>
      <c r="Q263" s="3">
        <f t="shared" si="40"/>
        <v>0</v>
      </c>
      <c r="R263" s="3">
        <f t="shared" si="41"/>
        <v>0</v>
      </c>
      <c r="S263" s="3" t="e" cm="1">
        <f t="array" aca="1" ref="S263" ca="1">SUMPRODUCT(MID($P263,ROW(INDIRECT("1:23")),1)*2^(-ROW(INDIRECT("1:23"))))</f>
        <v>#VALUE!</v>
      </c>
      <c r="T263" s="3" t="e">
        <f t="shared" ca="1" si="42"/>
        <v>#VALUE!</v>
      </c>
      <c r="U263" s="3" t="e">
        <f t="shared" ca="1" si="43"/>
        <v>#VALUE!</v>
      </c>
      <c r="V263" s="73"/>
      <c r="W263" s="9" t="str">
        <f t="shared" si="44"/>
        <v>OK</v>
      </c>
    </row>
    <row r="264" spans="1:23" x14ac:dyDescent="0.3">
      <c r="A264" s="44">
        <v>261</v>
      </c>
      <c r="B264" s="14">
        <v>5</v>
      </c>
      <c r="C264" s="4">
        <v>12</v>
      </c>
      <c r="D264" s="3" t="str">
        <f>VLOOKUP($C264,Overall!$K$5:$T$36,2)</f>
        <v>Overflow</v>
      </c>
      <c r="E264" s="3">
        <f ca="1">VLOOKUP($C264,Overall!$K$5:$T$36,10)</f>
        <v>-6.8056469327705772E+38</v>
      </c>
      <c r="F264" s="9" t="str">
        <f>VLOOKUP($C264,Overall!$K$5:$T$36,6)</f>
        <v>11111111111111111111111111111111</v>
      </c>
      <c r="G264" s="8">
        <v>9</v>
      </c>
      <c r="H264" s="3" t="str">
        <f>VLOOKUP($G264,Overall!$K$5:$T$36,2)</f>
        <v>Overflow</v>
      </c>
      <c r="I264" s="3">
        <f ca="1">VLOOKUP($G264,Overall!$K$5:$T$36,10)</f>
        <v>6.8056469327705772E+38</v>
      </c>
      <c r="J264" s="62" t="str">
        <f>VLOOKUP($G264,Overall!$K$5:$T$36,6)</f>
        <v>01111111111111111111111111111111</v>
      </c>
      <c r="K264" s="8">
        <f t="shared" ca="1" si="36"/>
        <v>-4.6316830173529565E+77</v>
      </c>
      <c r="L264" s="62">
        <f>VLOOKUP($B264,Overall!$B$5:$I$13,8)</f>
        <v>0</v>
      </c>
      <c r="M264" s="58"/>
      <c r="N264" s="3" t="str">
        <f t="shared" si="37"/>
        <v/>
      </c>
      <c r="O264" s="3" t="str">
        <f t="shared" si="38"/>
        <v/>
      </c>
      <c r="P264" s="3" t="str">
        <f t="shared" si="39"/>
        <v/>
      </c>
      <c r="Q264" s="3">
        <f t="shared" si="40"/>
        <v>0</v>
      </c>
      <c r="R264" s="3">
        <f t="shared" si="41"/>
        <v>0</v>
      </c>
      <c r="S264" s="3" t="e" cm="1">
        <f t="array" aca="1" ref="S264" ca="1">SUMPRODUCT(MID($P264,ROW(INDIRECT("1:23")),1)*2^(-ROW(INDIRECT("1:23"))))</f>
        <v>#VALUE!</v>
      </c>
      <c r="T264" s="3" t="e">
        <f t="shared" ca="1" si="42"/>
        <v>#VALUE!</v>
      </c>
      <c r="U264" s="3" t="e">
        <f t="shared" ca="1" si="43"/>
        <v>#VALUE!</v>
      </c>
      <c r="V264" s="73"/>
      <c r="W264" s="9" t="str">
        <f t="shared" si="44"/>
        <v>OK</v>
      </c>
    </row>
    <row r="265" spans="1:23" x14ac:dyDescent="0.3">
      <c r="A265" s="44">
        <v>262</v>
      </c>
      <c r="B265" s="14">
        <v>5</v>
      </c>
      <c r="C265" s="4">
        <v>12</v>
      </c>
      <c r="D265" s="3" t="str">
        <f>VLOOKUP($C265,Overall!$K$5:$T$36,2)</f>
        <v>Overflow</v>
      </c>
      <c r="E265" s="3">
        <f ca="1">VLOOKUP($C265,Overall!$K$5:$T$36,10)</f>
        <v>-6.8056469327705772E+38</v>
      </c>
      <c r="F265" s="9" t="str">
        <f>VLOOKUP($C265,Overall!$K$5:$T$36,6)</f>
        <v>11111111111111111111111111111111</v>
      </c>
      <c r="G265" s="8">
        <v>10</v>
      </c>
      <c r="H265" s="3" t="str">
        <f>VLOOKUP($G265,Overall!$K$5:$T$36,2)</f>
        <v>Overflow</v>
      </c>
      <c r="I265" s="3">
        <f ca="1">VLOOKUP($G265,Overall!$K$5:$T$36,10)</f>
        <v>-3.4028240748575767E+38</v>
      </c>
      <c r="J265" s="62" t="str">
        <f>VLOOKUP($G265,Overall!$K$5:$T$36,6)</f>
        <v>11111111100000000000000000000001</v>
      </c>
      <c r="K265" s="8">
        <f t="shared" ca="1" si="36"/>
        <v>2.3158419227812344E+77</v>
      </c>
      <c r="L265" s="62">
        <f>VLOOKUP($B265,Overall!$B$5:$I$13,8)</f>
        <v>0</v>
      </c>
      <c r="M265" s="58"/>
      <c r="N265" s="3" t="str">
        <f t="shared" si="37"/>
        <v/>
      </c>
      <c r="O265" s="3" t="str">
        <f t="shared" si="38"/>
        <v/>
      </c>
      <c r="P265" s="3" t="str">
        <f t="shared" si="39"/>
        <v/>
      </c>
      <c r="Q265" s="3">
        <f t="shared" si="40"/>
        <v>0</v>
      </c>
      <c r="R265" s="3">
        <f t="shared" si="41"/>
        <v>0</v>
      </c>
      <c r="S265" s="3" t="e" cm="1">
        <f t="array" aca="1" ref="S265" ca="1">SUMPRODUCT(MID($P265,ROW(INDIRECT("1:23")),1)*2^(-ROW(INDIRECT("1:23"))))</f>
        <v>#VALUE!</v>
      </c>
      <c r="T265" s="3" t="e">
        <f t="shared" ca="1" si="42"/>
        <v>#VALUE!</v>
      </c>
      <c r="U265" s="3" t="e">
        <f t="shared" ca="1" si="43"/>
        <v>#VALUE!</v>
      </c>
      <c r="V265" s="73"/>
      <c r="W265" s="9" t="str">
        <f t="shared" si="44"/>
        <v>OK</v>
      </c>
    </row>
    <row r="266" spans="1:23" x14ac:dyDescent="0.3">
      <c r="A266" s="44">
        <v>263</v>
      </c>
      <c r="B266" s="14">
        <v>5</v>
      </c>
      <c r="C266" s="4">
        <v>12</v>
      </c>
      <c r="D266" s="3" t="str">
        <f>VLOOKUP($C266,Overall!$K$5:$T$36,2)</f>
        <v>Overflow</v>
      </c>
      <c r="E266" s="3">
        <f ca="1">VLOOKUP($C266,Overall!$K$5:$T$36,10)</f>
        <v>-6.8056469327705772E+38</v>
      </c>
      <c r="F266" s="9" t="str">
        <f>VLOOKUP($C266,Overall!$K$5:$T$36,6)</f>
        <v>11111111111111111111111111111111</v>
      </c>
      <c r="G266" s="8">
        <v>11</v>
      </c>
      <c r="H266" s="3" t="str">
        <f>VLOOKUP($G266,Overall!$K$5:$T$36,2)</f>
        <v>Overflow</v>
      </c>
      <c r="I266" s="3">
        <f ca="1">VLOOKUP($G266,Overall!$K$5:$T$36,10)</f>
        <v>-4.2535303978081149E+38</v>
      </c>
      <c r="J266" s="62" t="str">
        <f>VLOOKUP($G266,Overall!$K$5:$T$36,6)</f>
        <v>11111111101000000000000000000010</v>
      </c>
      <c r="K266" s="8">
        <f t="shared" ca="1" si="36"/>
        <v>2.894802610528921E+77</v>
      </c>
      <c r="L266" s="62">
        <f>VLOOKUP($B266,Overall!$B$5:$I$13,8)</f>
        <v>0</v>
      </c>
      <c r="M266" s="58"/>
      <c r="N266" s="3" t="str">
        <f t="shared" si="37"/>
        <v/>
      </c>
      <c r="O266" s="3" t="str">
        <f t="shared" si="38"/>
        <v/>
      </c>
      <c r="P266" s="3" t="str">
        <f t="shared" si="39"/>
        <v/>
      </c>
      <c r="Q266" s="3">
        <f t="shared" si="40"/>
        <v>0</v>
      </c>
      <c r="R266" s="3">
        <f t="shared" si="41"/>
        <v>0</v>
      </c>
      <c r="S266" s="3" t="e" cm="1">
        <f t="array" aca="1" ref="S266" ca="1">SUMPRODUCT(MID($P266,ROW(INDIRECT("1:23")),1)*2^(-ROW(INDIRECT("1:23"))))</f>
        <v>#VALUE!</v>
      </c>
      <c r="T266" s="3" t="e">
        <f t="shared" ca="1" si="42"/>
        <v>#VALUE!</v>
      </c>
      <c r="U266" s="3" t="e">
        <f t="shared" ca="1" si="43"/>
        <v>#VALUE!</v>
      </c>
      <c r="V266" s="73"/>
      <c r="W266" s="9" t="str">
        <f t="shared" si="44"/>
        <v>OK</v>
      </c>
    </row>
    <row r="267" spans="1:23" x14ac:dyDescent="0.3">
      <c r="A267" s="44">
        <v>264</v>
      </c>
      <c r="B267" s="14">
        <v>5</v>
      </c>
      <c r="C267" s="4">
        <v>12</v>
      </c>
      <c r="D267" s="3" t="str">
        <f>VLOOKUP($C267,Overall!$K$5:$T$36,2)</f>
        <v>Overflow</v>
      </c>
      <c r="E267" s="3">
        <f ca="1">VLOOKUP($C267,Overall!$K$5:$T$36,10)</f>
        <v>-6.8056469327705772E+38</v>
      </c>
      <c r="F267" s="9" t="str">
        <f>VLOOKUP($C267,Overall!$K$5:$T$36,6)</f>
        <v>11111111111111111111111111111111</v>
      </c>
      <c r="G267" s="8">
        <v>12</v>
      </c>
      <c r="H267" s="3" t="str">
        <f>VLOOKUP($G267,Overall!$K$5:$T$36,2)</f>
        <v>Overflow</v>
      </c>
      <c r="I267" s="3">
        <f ca="1">VLOOKUP($G267,Overall!$K$5:$T$36,10)</f>
        <v>-6.8056469327705772E+38</v>
      </c>
      <c r="J267" s="62" t="str">
        <f>VLOOKUP($G267,Overall!$K$5:$T$36,6)</f>
        <v>11111111111111111111111111111111</v>
      </c>
      <c r="K267" s="8">
        <f t="shared" ca="1" si="36"/>
        <v>4.6316830173529565E+77</v>
      </c>
      <c r="L267" s="62">
        <f>VLOOKUP($B267,Overall!$B$5:$I$13,8)</f>
        <v>0</v>
      </c>
      <c r="M267" s="58"/>
      <c r="N267" s="3" t="str">
        <f t="shared" si="37"/>
        <v/>
      </c>
      <c r="O267" s="3" t="str">
        <f t="shared" si="38"/>
        <v/>
      </c>
      <c r="P267" s="3" t="str">
        <f t="shared" si="39"/>
        <v/>
      </c>
      <c r="Q267" s="3">
        <f t="shared" si="40"/>
        <v>0</v>
      </c>
      <c r="R267" s="3">
        <f t="shared" si="41"/>
        <v>0</v>
      </c>
      <c r="S267" s="3" t="e" cm="1">
        <f t="array" aca="1" ref="S267" ca="1">SUMPRODUCT(MID($P267,ROW(INDIRECT("1:23")),1)*2^(-ROW(INDIRECT("1:23"))))</f>
        <v>#VALUE!</v>
      </c>
      <c r="T267" s="3" t="e">
        <f t="shared" ca="1" si="42"/>
        <v>#VALUE!</v>
      </c>
      <c r="U267" s="3" t="e">
        <f t="shared" ca="1" si="43"/>
        <v>#VALUE!</v>
      </c>
      <c r="V267" s="73"/>
      <c r="W267" s="9" t="str">
        <f t="shared" si="44"/>
        <v>OK</v>
      </c>
    </row>
    <row r="268" spans="1:23" x14ac:dyDescent="0.3">
      <c r="A268" s="44">
        <v>265</v>
      </c>
      <c r="B268" s="14">
        <v>6</v>
      </c>
      <c r="C268" s="4">
        <v>7</v>
      </c>
      <c r="D268" s="3" t="str">
        <f>VLOOKUP($C268,Overall!$K$5:$T$36,2)</f>
        <v>Overflow</v>
      </c>
      <c r="E268" s="3">
        <f ca="1">VLOOKUP($C268,Overall!$K$5:$T$36,10)</f>
        <v>3.4028240748575767E+38</v>
      </c>
      <c r="F268" s="9" t="str">
        <f>VLOOKUP($C268,Overall!$K$5:$T$36,6)</f>
        <v>01111111100000000000000000000001</v>
      </c>
      <c r="G268" s="8">
        <v>13</v>
      </c>
      <c r="H268" s="3" t="str">
        <f>VLOOKUP($G268,Overall!$K$5:$T$36,2)</f>
        <v>Normal</v>
      </c>
      <c r="I268" s="3">
        <f ca="1">VLOOKUP($G268,Overall!$K$5:$T$36,10)</f>
        <v>0</v>
      </c>
      <c r="J268" s="62" t="str">
        <f>VLOOKUP($G268,Overall!$K$5:$T$36,6)</f>
        <v>00000000000000000000000000000000</v>
      </c>
      <c r="K268" s="8">
        <f t="shared" ca="1" si="36"/>
        <v>0</v>
      </c>
      <c r="L268" s="62">
        <f>VLOOKUP($B268,Overall!$B$5:$I$13,8)</f>
        <v>0</v>
      </c>
      <c r="M268" s="58"/>
      <c r="N268" s="3" t="str">
        <f t="shared" si="37"/>
        <v/>
      </c>
      <c r="O268" s="3" t="str">
        <f t="shared" si="38"/>
        <v/>
      </c>
      <c r="P268" s="3" t="str">
        <f t="shared" si="39"/>
        <v/>
      </c>
      <c r="Q268" s="3">
        <f t="shared" si="40"/>
        <v>0</v>
      </c>
      <c r="R268" s="3">
        <f t="shared" si="41"/>
        <v>0</v>
      </c>
      <c r="S268" s="3" t="e" cm="1">
        <f t="array" aca="1" ref="S268" ca="1">SUMPRODUCT(MID($P268,ROW(INDIRECT("1:23")),1)*2^(-ROW(INDIRECT("1:23"))))</f>
        <v>#VALUE!</v>
      </c>
      <c r="T268" s="3" t="e">
        <f t="shared" ca="1" si="42"/>
        <v>#VALUE!</v>
      </c>
      <c r="U268" s="3" t="e">
        <f t="shared" ca="1" si="43"/>
        <v>#VALUE!</v>
      </c>
      <c r="V268" s="73"/>
      <c r="W268" s="9" t="str">
        <f t="shared" si="44"/>
        <v>OK</v>
      </c>
    </row>
    <row r="269" spans="1:23" x14ac:dyDescent="0.3">
      <c r="A269" s="44">
        <v>266</v>
      </c>
      <c r="B269" s="14">
        <v>6</v>
      </c>
      <c r="C269" s="4">
        <v>7</v>
      </c>
      <c r="D269" s="3" t="str">
        <f>VLOOKUP($C269,Overall!$K$5:$T$36,2)</f>
        <v>Overflow</v>
      </c>
      <c r="E269" s="3">
        <f ca="1">VLOOKUP($C269,Overall!$K$5:$T$36,10)</f>
        <v>3.4028240748575767E+38</v>
      </c>
      <c r="F269" s="9" t="str">
        <f>VLOOKUP($C269,Overall!$K$5:$T$36,6)</f>
        <v>01111111100000000000000000000001</v>
      </c>
      <c r="G269" s="8">
        <v>14</v>
      </c>
      <c r="H269" s="3" t="str">
        <f>VLOOKUP($G269,Overall!$K$5:$T$36,2)</f>
        <v>Normal</v>
      </c>
      <c r="I269" s="3">
        <f ca="1">VLOOKUP($G269,Overall!$K$5:$T$36,10)</f>
        <v>0</v>
      </c>
      <c r="J269" s="62" t="str">
        <f>VLOOKUP($G269,Overall!$K$5:$T$36,6)</f>
        <v>10000000000000000000000000000000</v>
      </c>
      <c r="K269" s="8">
        <f t="shared" ca="1" si="36"/>
        <v>0</v>
      </c>
      <c r="L269" s="62">
        <f>VLOOKUP($B269,Overall!$B$5:$I$13,8)</f>
        <v>0</v>
      </c>
      <c r="M269" s="58"/>
      <c r="N269" s="3" t="str">
        <f t="shared" si="37"/>
        <v/>
      </c>
      <c r="O269" s="3" t="str">
        <f t="shared" si="38"/>
        <v/>
      </c>
      <c r="P269" s="3" t="str">
        <f t="shared" si="39"/>
        <v/>
      </c>
      <c r="Q269" s="3">
        <f t="shared" si="40"/>
        <v>0</v>
      </c>
      <c r="R269" s="3">
        <f t="shared" si="41"/>
        <v>0</v>
      </c>
      <c r="S269" s="3" t="e" cm="1">
        <f t="array" aca="1" ref="S269" ca="1">SUMPRODUCT(MID($P269,ROW(INDIRECT("1:23")),1)*2^(-ROW(INDIRECT("1:23"))))</f>
        <v>#VALUE!</v>
      </c>
      <c r="T269" s="3" t="e">
        <f t="shared" ca="1" si="42"/>
        <v>#VALUE!</v>
      </c>
      <c r="U269" s="3" t="e">
        <f t="shared" ca="1" si="43"/>
        <v>#VALUE!</v>
      </c>
      <c r="V269" s="73"/>
      <c r="W269" s="9" t="str">
        <f t="shared" si="44"/>
        <v>OK</v>
      </c>
    </row>
    <row r="270" spans="1:23" x14ac:dyDescent="0.3">
      <c r="A270" s="44">
        <v>267</v>
      </c>
      <c r="B270" s="14">
        <v>6</v>
      </c>
      <c r="C270" s="4">
        <v>7</v>
      </c>
      <c r="D270" s="3" t="str">
        <f>VLOOKUP($C270,Overall!$K$5:$T$36,2)</f>
        <v>Overflow</v>
      </c>
      <c r="E270" s="3">
        <f ca="1">VLOOKUP($C270,Overall!$K$5:$T$36,10)</f>
        <v>3.4028240748575767E+38</v>
      </c>
      <c r="F270" s="9" t="str">
        <f>VLOOKUP($C270,Overall!$K$5:$T$36,6)</f>
        <v>01111111100000000000000000000001</v>
      </c>
      <c r="G270" s="8">
        <v>15</v>
      </c>
      <c r="H270" s="3" t="str">
        <f>VLOOKUP($G270,Overall!$K$5:$T$36,2)</f>
        <v>Normal</v>
      </c>
      <c r="I270" s="3">
        <f ca="1">VLOOKUP($G270,Overall!$K$5:$T$36,10)</f>
        <v>1.1754943508222875E-38</v>
      </c>
      <c r="J270" s="62" t="str">
        <f>VLOOKUP($G270,Overall!$K$5:$T$36,6)</f>
        <v>00000000100000000000000000000000</v>
      </c>
      <c r="K270" s="8">
        <f t="shared" ca="1" si="36"/>
        <v>4.0000004768371582</v>
      </c>
      <c r="L270" s="62">
        <f>VLOOKUP($B270,Overall!$B$5:$I$13,8)</f>
        <v>0</v>
      </c>
      <c r="M270" s="58"/>
      <c r="N270" s="3" t="str">
        <f t="shared" si="37"/>
        <v/>
      </c>
      <c r="O270" s="3" t="str">
        <f t="shared" si="38"/>
        <v/>
      </c>
      <c r="P270" s="3" t="str">
        <f t="shared" si="39"/>
        <v/>
      </c>
      <c r="Q270" s="3">
        <f t="shared" si="40"/>
        <v>0</v>
      </c>
      <c r="R270" s="3">
        <f t="shared" si="41"/>
        <v>0</v>
      </c>
      <c r="S270" s="3" t="e" cm="1">
        <f t="array" aca="1" ref="S270" ca="1">SUMPRODUCT(MID($P270,ROW(INDIRECT("1:23")),1)*2^(-ROW(INDIRECT("1:23"))))</f>
        <v>#VALUE!</v>
      </c>
      <c r="T270" s="3" t="e">
        <f t="shared" ca="1" si="42"/>
        <v>#VALUE!</v>
      </c>
      <c r="U270" s="3" t="e">
        <f t="shared" ca="1" si="43"/>
        <v>#VALUE!</v>
      </c>
      <c r="V270" s="73"/>
      <c r="W270" s="9" t="str">
        <f t="shared" si="44"/>
        <v>OK</v>
      </c>
    </row>
    <row r="271" spans="1:23" x14ac:dyDescent="0.3">
      <c r="A271" s="44">
        <v>268</v>
      </c>
      <c r="B271" s="14">
        <v>6</v>
      </c>
      <c r="C271" s="4">
        <v>7</v>
      </c>
      <c r="D271" s="3" t="str">
        <f>VLOOKUP($C271,Overall!$K$5:$T$36,2)</f>
        <v>Overflow</v>
      </c>
      <c r="E271" s="3">
        <f ca="1">VLOOKUP($C271,Overall!$K$5:$T$36,10)</f>
        <v>3.4028240748575767E+38</v>
      </c>
      <c r="F271" s="9" t="str">
        <f>VLOOKUP($C271,Overall!$K$5:$T$36,6)</f>
        <v>01111111100000000000000000000001</v>
      </c>
      <c r="G271" s="8">
        <v>16</v>
      </c>
      <c r="H271" s="3" t="str">
        <f>VLOOKUP($G271,Overall!$K$5:$T$36,2)</f>
        <v>Normal</v>
      </c>
      <c r="I271" s="3">
        <f ca="1">VLOOKUP($G271,Overall!$K$5:$T$36,10)</f>
        <v>1.1754944909521339E-38</v>
      </c>
      <c r="J271" s="62" t="str">
        <f>VLOOKUP($G271,Overall!$K$5:$T$36,6)</f>
        <v>00000000100000000000000000000001</v>
      </c>
      <c r="K271" s="8">
        <f t="shared" ca="1" si="36"/>
        <v>4.0000009536743732</v>
      </c>
      <c r="L271" s="62">
        <f>VLOOKUP($B271,Overall!$B$5:$I$13,8)</f>
        <v>0</v>
      </c>
      <c r="M271" s="58"/>
      <c r="N271" s="3" t="str">
        <f t="shared" si="37"/>
        <v/>
      </c>
      <c r="O271" s="3" t="str">
        <f t="shared" si="38"/>
        <v/>
      </c>
      <c r="P271" s="3" t="str">
        <f t="shared" si="39"/>
        <v/>
      </c>
      <c r="Q271" s="3">
        <f t="shared" si="40"/>
        <v>0</v>
      </c>
      <c r="R271" s="3">
        <f t="shared" si="41"/>
        <v>0</v>
      </c>
      <c r="S271" s="3" t="e" cm="1">
        <f t="array" aca="1" ref="S271" ca="1">SUMPRODUCT(MID($P271,ROW(INDIRECT("1:23")),1)*2^(-ROW(INDIRECT("1:23"))))</f>
        <v>#VALUE!</v>
      </c>
      <c r="T271" s="3" t="e">
        <f t="shared" ca="1" si="42"/>
        <v>#VALUE!</v>
      </c>
      <c r="U271" s="3" t="e">
        <f t="shared" ca="1" si="43"/>
        <v>#VALUE!</v>
      </c>
      <c r="V271" s="73"/>
      <c r="W271" s="9" t="str">
        <f t="shared" si="44"/>
        <v>OK</v>
      </c>
    </row>
    <row r="272" spans="1:23" x14ac:dyDescent="0.3">
      <c r="A272" s="44">
        <v>269</v>
      </c>
      <c r="B272" s="14">
        <v>6</v>
      </c>
      <c r="C272" s="4">
        <v>7</v>
      </c>
      <c r="D272" s="3" t="str">
        <f>VLOOKUP($C272,Overall!$K$5:$T$36,2)</f>
        <v>Overflow</v>
      </c>
      <c r="E272" s="3">
        <f ca="1">VLOOKUP($C272,Overall!$K$5:$T$36,10)</f>
        <v>3.4028240748575767E+38</v>
      </c>
      <c r="F272" s="9" t="str">
        <f>VLOOKUP($C272,Overall!$K$5:$T$36,6)</f>
        <v>01111111100000000000000000000001</v>
      </c>
      <c r="G272" s="8">
        <v>17</v>
      </c>
      <c r="H272" s="3" t="str">
        <f>VLOOKUP($G272,Overall!$K$5:$T$36,2)</f>
        <v>Normal</v>
      </c>
      <c r="I272" s="3">
        <f ca="1">VLOOKUP($G272,Overall!$K$5:$T$36,10)</f>
        <v>0.5</v>
      </c>
      <c r="J272" s="62" t="str">
        <f>VLOOKUP($G272,Overall!$K$5:$T$36,6)</f>
        <v>00111111000000000000000000000000</v>
      </c>
      <c r="K272" s="8">
        <f t="shared" ca="1" si="36"/>
        <v>1.7014120374287884E+38</v>
      </c>
      <c r="L272" s="62">
        <f>VLOOKUP($B272,Overall!$B$5:$I$13,8)</f>
        <v>0</v>
      </c>
      <c r="M272" s="58"/>
      <c r="N272" s="3" t="str">
        <f t="shared" si="37"/>
        <v/>
      </c>
      <c r="O272" s="3" t="str">
        <f t="shared" si="38"/>
        <v/>
      </c>
      <c r="P272" s="3" t="str">
        <f t="shared" si="39"/>
        <v/>
      </c>
      <c r="Q272" s="3">
        <f t="shared" si="40"/>
        <v>0</v>
      </c>
      <c r="R272" s="3">
        <f t="shared" si="41"/>
        <v>0</v>
      </c>
      <c r="S272" s="3" t="e" cm="1">
        <f t="array" aca="1" ref="S272" ca="1">SUMPRODUCT(MID($P272,ROW(INDIRECT("1:23")),1)*2^(-ROW(INDIRECT("1:23"))))</f>
        <v>#VALUE!</v>
      </c>
      <c r="T272" s="3" t="e">
        <f t="shared" ca="1" si="42"/>
        <v>#VALUE!</v>
      </c>
      <c r="U272" s="3" t="e">
        <f t="shared" ca="1" si="43"/>
        <v>#VALUE!</v>
      </c>
      <c r="V272" s="73"/>
      <c r="W272" s="9" t="str">
        <f t="shared" si="44"/>
        <v>OK</v>
      </c>
    </row>
    <row r="273" spans="1:23" x14ac:dyDescent="0.3">
      <c r="A273" s="44">
        <v>270</v>
      </c>
      <c r="B273" s="14">
        <v>6</v>
      </c>
      <c r="C273" s="4">
        <v>7</v>
      </c>
      <c r="D273" s="3" t="str">
        <f>VLOOKUP($C273,Overall!$K$5:$T$36,2)</f>
        <v>Overflow</v>
      </c>
      <c r="E273" s="3">
        <f ca="1">VLOOKUP($C273,Overall!$K$5:$T$36,10)</f>
        <v>3.4028240748575767E+38</v>
      </c>
      <c r="F273" s="9" t="str">
        <f>VLOOKUP($C273,Overall!$K$5:$T$36,6)</f>
        <v>01111111100000000000000000000001</v>
      </c>
      <c r="G273" s="8">
        <v>18</v>
      </c>
      <c r="H273" s="3" t="str">
        <f>VLOOKUP($G273,Overall!$K$5:$T$36,2)</f>
        <v>Normal</v>
      </c>
      <c r="I273" s="3">
        <f ca="1">VLOOKUP($G273,Overall!$K$5:$T$36,10)</f>
        <v>1</v>
      </c>
      <c r="J273" s="62" t="str">
        <f>VLOOKUP($G273,Overall!$K$5:$T$36,6)</f>
        <v>00111111100000000000000000000000</v>
      </c>
      <c r="K273" s="8">
        <f t="shared" ca="1" si="36"/>
        <v>3.4028240748575767E+38</v>
      </c>
      <c r="L273" s="62">
        <f>VLOOKUP($B273,Overall!$B$5:$I$13,8)</f>
        <v>0</v>
      </c>
      <c r="M273" s="58"/>
      <c r="N273" s="3" t="str">
        <f t="shared" si="37"/>
        <v/>
      </c>
      <c r="O273" s="3" t="str">
        <f t="shared" si="38"/>
        <v/>
      </c>
      <c r="P273" s="3" t="str">
        <f t="shared" si="39"/>
        <v/>
      </c>
      <c r="Q273" s="3">
        <f t="shared" si="40"/>
        <v>0</v>
      </c>
      <c r="R273" s="3">
        <f t="shared" si="41"/>
        <v>0</v>
      </c>
      <c r="S273" s="3" t="e" cm="1">
        <f t="array" aca="1" ref="S273" ca="1">SUMPRODUCT(MID($P273,ROW(INDIRECT("1:23")),1)*2^(-ROW(INDIRECT("1:23"))))</f>
        <v>#VALUE!</v>
      </c>
      <c r="T273" s="3" t="e">
        <f t="shared" ca="1" si="42"/>
        <v>#VALUE!</v>
      </c>
      <c r="U273" s="3" t="e">
        <f t="shared" ca="1" si="43"/>
        <v>#VALUE!</v>
      </c>
      <c r="V273" s="73"/>
      <c r="W273" s="9" t="str">
        <f t="shared" si="44"/>
        <v>OK</v>
      </c>
    </row>
    <row r="274" spans="1:23" x14ac:dyDescent="0.3">
      <c r="A274" s="44">
        <v>271</v>
      </c>
      <c r="B274" s="14">
        <v>6</v>
      </c>
      <c r="C274" s="4">
        <v>7</v>
      </c>
      <c r="D274" s="3" t="str">
        <f>VLOOKUP($C274,Overall!$K$5:$T$36,2)</f>
        <v>Overflow</v>
      </c>
      <c r="E274" s="3">
        <f ca="1">VLOOKUP($C274,Overall!$K$5:$T$36,10)</f>
        <v>3.4028240748575767E+38</v>
      </c>
      <c r="F274" s="9" t="str">
        <f>VLOOKUP($C274,Overall!$K$5:$T$36,6)</f>
        <v>01111111100000000000000000000001</v>
      </c>
      <c r="G274" s="8">
        <v>19</v>
      </c>
      <c r="H274" s="3" t="str">
        <f>VLOOKUP($G274,Overall!$K$5:$T$36,2)</f>
        <v>Normal</v>
      </c>
      <c r="I274" s="3">
        <f ca="1">VLOOKUP($G274,Overall!$K$5:$T$36,10)</f>
        <v>1.5</v>
      </c>
      <c r="J274" s="62" t="str">
        <f>VLOOKUP($G274,Overall!$K$5:$T$36,6)</f>
        <v>00111111110000000000000000000000</v>
      </c>
      <c r="K274" s="8">
        <f t="shared" ca="1" si="36"/>
        <v>5.1042361122863651E+38</v>
      </c>
      <c r="L274" s="62">
        <f>VLOOKUP($B274,Overall!$B$5:$I$13,8)</f>
        <v>0</v>
      </c>
      <c r="M274" s="58"/>
      <c r="N274" s="3" t="str">
        <f t="shared" si="37"/>
        <v/>
      </c>
      <c r="O274" s="3" t="str">
        <f t="shared" si="38"/>
        <v/>
      </c>
      <c r="P274" s="3" t="str">
        <f t="shared" si="39"/>
        <v/>
      </c>
      <c r="Q274" s="3">
        <f t="shared" si="40"/>
        <v>0</v>
      </c>
      <c r="R274" s="3">
        <f t="shared" si="41"/>
        <v>0</v>
      </c>
      <c r="S274" s="3" t="e" cm="1">
        <f t="array" aca="1" ref="S274" ca="1">SUMPRODUCT(MID($P274,ROW(INDIRECT("1:23")),1)*2^(-ROW(INDIRECT("1:23"))))</f>
        <v>#VALUE!</v>
      </c>
      <c r="T274" s="3" t="e">
        <f t="shared" ca="1" si="42"/>
        <v>#VALUE!</v>
      </c>
      <c r="U274" s="3" t="e">
        <f t="shared" ca="1" si="43"/>
        <v>#VALUE!</v>
      </c>
      <c r="V274" s="73"/>
      <c r="W274" s="9" t="str">
        <f t="shared" si="44"/>
        <v>OK</v>
      </c>
    </row>
    <row r="275" spans="1:23" x14ac:dyDescent="0.3">
      <c r="A275" s="44">
        <v>272</v>
      </c>
      <c r="B275" s="14">
        <v>6</v>
      </c>
      <c r="C275" s="4">
        <v>7</v>
      </c>
      <c r="D275" s="3" t="str">
        <f>VLOOKUP($C275,Overall!$K$5:$T$36,2)</f>
        <v>Overflow</v>
      </c>
      <c r="E275" s="3">
        <f ca="1">VLOOKUP($C275,Overall!$K$5:$T$36,10)</f>
        <v>3.4028240748575767E+38</v>
      </c>
      <c r="F275" s="9" t="str">
        <f>VLOOKUP($C275,Overall!$K$5:$T$36,6)</f>
        <v>01111111100000000000000000000001</v>
      </c>
      <c r="G275" s="8">
        <v>20</v>
      </c>
      <c r="H275" s="3" t="str">
        <f>VLOOKUP($G275,Overall!$K$5:$T$36,2)</f>
        <v>Normal</v>
      </c>
      <c r="I275" s="3">
        <f ca="1">VLOOKUP($G275,Overall!$K$5:$T$36,10)</f>
        <v>12345.6787109375</v>
      </c>
      <c r="J275" s="62" t="str">
        <f>VLOOKUP($G275,Overall!$K$5:$T$36,6)</f>
        <v>001000110010000001110011010110111</v>
      </c>
      <c r="K275" s="8">
        <f t="shared" ca="1" si="36"/>
        <v>4.2010172738034779E+42</v>
      </c>
      <c r="L275" s="62">
        <f>VLOOKUP($B275,Overall!$B$5:$I$13,8)</f>
        <v>0</v>
      </c>
      <c r="M275" s="58"/>
      <c r="N275" s="3" t="str">
        <f t="shared" si="37"/>
        <v/>
      </c>
      <c r="O275" s="3" t="str">
        <f t="shared" si="38"/>
        <v/>
      </c>
      <c r="P275" s="3" t="str">
        <f t="shared" si="39"/>
        <v/>
      </c>
      <c r="Q275" s="3">
        <f t="shared" si="40"/>
        <v>0</v>
      </c>
      <c r="R275" s="3">
        <f t="shared" si="41"/>
        <v>0</v>
      </c>
      <c r="S275" s="3" t="e" cm="1">
        <f t="array" aca="1" ref="S275" ca="1">SUMPRODUCT(MID($P275,ROW(INDIRECT("1:23")),1)*2^(-ROW(INDIRECT("1:23"))))</f>
        <v>#VALUE!</v>
      </c>
      <c r="T275" s="3" t="e">
        <f t="shared" ca="1" si="42"/>
        <v>#VALUE!</v>
      </c>
      <c r="U275" s="3" t="e">
        <f t="shared" ca="1" si="43"/>
        <v>#VALUE!</v>
      </c>
      <c r="V275" s="73"/>
      <c r="W275" s="9" t="str">
        <f t="shared" si="44"/>
        <v>OK</v>
      </c>
    </row>
    <row r="276" spans="1:23" x14ac:dyDescent="0.3">
      <c r="A276" s="44">
        <v>273</v>
      </c>
      <c r="B276" s="14">
        <v>6</v>
      </c>
      <c r="C276" s="4">
        <v>7</v>
      </c>
      <c r="D276" s="3" t="str">
        <f>VLOOKUP($C276,Overall!$K$5:$T$36,2)</f>
        <v>Overflow</v>
      </c>
      <c r="E276" s="3">
        <f ca="1">VLOOKUP($C276,Overall!$K$5:$T$36,10)</f>
        <v>3.4028240748575767E+38</v>
      </c>
      <c r="F276" s="9" t="str">
        <f>VLOOKUP($C276,Overall!$K$5:$T$36,6)</f>
        <v>01111111100000000000000000000001</v>
      </c>
      <c r="G276" s="8">
        <v>21</v>
      </c>
      <c r="H276" s="3" t="str">
        <f>VLOOKUP($G276,Overall!$K$5:$T$36,2)</f>
        <v>Normal</v>
      </c>
      <c r="I276" s="3">
        <f ca="1">VLOOKUP($G276,Overall!$K$5:$T$36,10)</f>
        <v>2.345678924830959E+38</v>
      </c>
      <c r="J276" s="62" t="str">
        <f>VLOOKUP($G276,Overall!$K$5:$T$36,6)</f>
        <v>01111111001100000111100000100010</v>
      </c>
      <c r="K276" s="8">
        <f t="shared" ca="1" si="36"/>
        <v>7.9819327173008232E+76</v>
      </c>
      <c r="L276" s="62">
        <f>VLOOKUP($B276,Overall!$B$5:$I$13,8)</f>
        <v>0</v>
      </c>
      <c r="M276" s="58"/>
      <c r="N276" s="3" t="str">
        <f t="shared" si="37"/>
        <v/>
      </c>
      <c r="O276" s="3" t="str">
        <f t="shared" si="38"/>
        <v/>
      </c>
      <c r="P276" s="3" t="str">
        <f t="shared" si="39"/>
        <v/>
      </c>
      <c r="Q276" s="3">
        <f t="shared" si="40"/>
        <v>0</v>
      </c>
      <c r="R276" s="3">
        <f t="shared" si="41"/>
        <v>0</v>
      </c>
      <c r="S276" s="3" t="e" cm="1">
        <f t="array" aca="1" ref="S276" ca="1">SUMPRODUCT(MID($P276,ROW(INDIRECT("1:23")),1)*2^(-ROW(INDIRECT("1:23"))))</f>
        <v>#VALUE!</v>
      </c>
      <c r="T276" s="3" t="e">
        <f t="shared" ca="1" si="42"/>
        <v>#VALUE!</v>
      </c>
      <c r="U276" s="3" t="e">
        <f t="shared" ca="1" si="43"/>
        <v>#VALUE!</v>
      </c>
      <c r="V276" s="73"/>
      <c r="W276" s="9" t="str">
        <f t="shared" si="44"/>
        <v>OK</v>
      </c>
    </row>
    <row r="277" spans="1:23" x14ac:dyDescent="0.3">
      <c r="A277" s="44">
        <v>274</v>
      </c>
      <c r="B277" s="14">
        <v>6</v>
      </c>
      <c r="C277" s="4">
        <v>7</v>
      </c>
      <c r="D277" s="3" t="str">
        <f>VLOOKUP($C277,Overall!$K$5:$T$36,2)</f>
        <v>Overflow</v>
      </c>
      <c r="E277" s="3">
        <f ca="1">VLOOKUP($C277,Overall!$K$5:$T$36,10)</f>
        <v>3.4028240748575767E+38</v>
      </c>
      <c r="F277" s="9" t="str">
        <f>VLOOKUP($C277,Overall!$K$5:$T$36,6)</f>
        <v>01111111100000000000000000000001</v>
      </c>
      <c r="G277" s="8">
        <v>22</v>
      </c>
      <c r="H277" s="3" t="str">
        <f>VLOOKUP($G277,Overall!$K$5:$T$36,2)</f>
        <v>Normal</v>
      </c>
      <c r="I277" s="3">
        <f ca="1">VLOOKUP($G277,Overall!$K$5:$T$36,10)</f>
        <v>3.4028232635611926E+38</v>
      </c>
      <c r="J277" s="62" t="str">
        <f>VLOOKUP($G277,Overall!$K$5:$T$36,6)</f>
        <v>01111111011111111111111111111110</v>
      </c>
      <c r="K277" s="8">
        <f t="shared" ca="1" si="36"/>
        <v>1.1579208923731455E+77</v>
      </c>
      <c r="L277" s="62">
        <f>VLOOKUP($B277,Overall!$B$5:$I$13,8)</f>
        <v>0</v>
      </c>
      <c r="M277" s="58"/>
      <c r="N277" s="3" t="str">
        <f t="shared" si="37"/>
        <v/>
      </c>
      <c r="O277" s="3" t="str">
        <f t="shared" si="38"/>
        <v/>
      </c>
      <c r="P277" s="3" t="str">
        <f t="shared" si="39"/>
        <v/>
      </c>
      <c r="Q277" s="3">
        <f t="shared" si="40"/>
        <v>0</v>
      </c>
      <c r="R277" s="3">
        <f t="shared" si="41"/>
        <v>0</v>
      </c>
      <c r="S277" s="3" t="e" cm="1">
        <f t="array" aca="1" ref="S277" ca="1">SUMPRODUCT(MID($P277,ROW(INDIRECT("1:23")),1)*2^(-ROW(INDIRECT("1:23"))))</f>
        <v>#VALUE!</v>
      </c>
      <c r="T277" s="3" t="e">
        <f t="shared" ca="1" si="42"/>
        <v>#VALUE!</v>
      </c>
      <c r="U277" s="3" t="e">
        <f t="shared" ca="1" si="43"/>
        <v>#VALUE!</v>
      </c>
      <c r="V277" s="73"/>
      <c r="W277" s="9" t="str">
        <f t="shared" si="44"/>
        <v>OK</v>
      </c>
    </row>
    <row r="278" spans="1:23" x14ac:dyDescent="0.3">
      <c r="A278" s="44">
        <v>275</v>
      </c>
      <c r="B278" s="14">
        <v>6</v>
      </c>
      <c r="C278" s="4">
        <v>7</v>
      </c>
      <c r="D278" s="3" t="str">
        <f>VLOOKUP($C278,Overall!$K$5:$T$36,2)</f>
        <v>Overflow</v>
      </c>
      <c r="E278" s="3">
        <f ca="1">VLOOKUP($C278,Overall!$K$5:$T$36,10)</f>
        <v>3.4028240748575767E+38</v>
      </c>
      <c r="F278" s="9" t="str">
        <f>VLOOKUP($C278,Overall!$K$5:$T$36,6)</f>
        <v>01111111100000000000000000000001</v>
      </c>
      <c r="G278" s="8">
        <v>23</v>
      </c>
      <c r="H278" s="3" t="str">
        <f>VLOOKUP($G278,Overall!$K$5:$T$36,2)</f>
        <v>Normal</v>
      </c>
      <c r="I278" s="3">
        <f ca="1">VLOOKUP($G278,Overall!$K$5:$T$36,10)</f>
        <v>3.4028234663852886E+38</v>
      </c>
      <c r="J278" s="62" t="str">
        <f>VLOOKUP($G278,Overall!$K$5:$T$36,6)</f>
        <v>01111111011111111111111111111111</v>
      </c>
      <c r="K278" s="8">
        <f t="shared" ca="1" si="36"/>
        <v>1.1579209613906172E+77</v>
      </c>
      <c r="L278" s="62">
        <f>VLOOKUP($B278,Overall!$B$5:$I$13,8)</f>
        <v>0</v>
      </c>
      <c r="M278" s="58"/>
      <c r="N278" s="3" t="str">
        <f t="shared" si="37"/>
        <v/>
      </c>
      <c r="O278" s="3" t="str">
        <f t="shared" si="38"/>
        <v/>
      </c>
      <c r="P278" s="3" t="str">
        <f t="shared" si="39"/>
        <v/>
      </c>
      <c r="Q278" s="3">
        <f t="shared" si="40"/>
        <v>0</v>
      </c>
      <c r="R278" s="3">
        <f t="shared" si="41"/>
        <v>0</v>
      </c>
      <c r="S278" s="3" t="e" cm="1">
        <f t="array" aca="1" ref="S278" ca="1">SUMPRODUCT(MID($P278,ROW(INDIRECT("1:23")),1)*2^(-ROW(INDIRECT("1:23"))))</f>
        <v>#VALUE!</v>
      </c>
      <c r="T278" s="3" t="e">
        <f t="shared" ca="1" si="42"/>
        <v>#VALUE!</v>
      </c>
      <c r="U278" s="3" t="e">
        <f t="shared" ca="1" si="43"/>
        <v>#VALUE!</v>
      </c>
      <c r="V278" s="73"/>
      <c r="W278" s="9" t="str">
        <f t="shared" si="44"/>
        <v>OK</v>
      </c>
    </row>
    <row r="279" spans="1:23" x14ac:dyDescent="0.3">
      <c r="A279" s="44">
        <v>276</v>
      </c>
      <c r="B279" s="14">
        <v>6</v>
      </c>
      <c r="C279" s="4">
        <v>7</v>
      </c>
      <c r="D279" s="3" t="str">
        <f>VLOOKUP($C279,Overall!$K$5:$T$36,2)</f>
        <v>Overflow</v>
      </c>
      <c r="E279" s="3">
        <f ca="1">VLOOKUP($C279,Overall!$K$5:$T$36,10)</f>
        <v>3.4028240748575767E+38</v>
      </c>
      <c r="F279" s="9" t="str">
        <f>VLOOKUP($C279,Overall!$K$5:$T$36,6)</f>
        <v>01111111100000000000000000000001</v>
      </c>
      <c r="G279" s="8">
        <v>24</v>
      </c>
      <c r="H279" s="3" t="str">
        <f>VLOOKUP($G279,Overall!$K$5:$T$36,2)</f>
        <v>Normal</v>
      </c>
      <c r="I279" s="3">
        <f ca="1">VLOOKUP($G279,Overall!$K$5:$T$36,10)</f>
        <v>-1.1754943508222875E-38</v>
      </c>
      <c r="J279" s="62" t="str">
        <f>VLOOKUP($G279,Overall!$K$5:$T$36,6)</f>
        <v>10000000100000000000000000000000</v>
      </c>
      <c r="K279" s="8">
        <f t="shared" ca="1" si="36"/>
        <v>-4.0000004768371582</v>
      </c>
      <c r="L279" s="62">
        <f>VLOOKUP($B279,Overall!$B$5:$I$13,8)</f>
        <v>0</v>
      </c>
      <c r="M279" s="58"/>
      <c r="N279" s="3" t="str">
        <f t="shared" si="37"/>
        <v/>
      </c>
      <c r="O279" s="3" t="str">
        <f t="shared" si="38"/>
        <v/>
      </c>
      <c r="P279" s="3" t="str">
        <f t="shared" si="39"/>
        <v/>
      </c>
      <c r="Q279" s="3">
        <f t="shared" si="40"/>
        <v>0</v>
      </c>
      <c r="R279" s="3">
        <f t="shared" si="41"/>
        <v>0</v>
      </c>
      <c r="S279" s="3" t="e" cm="1">
        <f t="array" aca="1" ref="S279" ca="1">SUMPRODUCT(MID($P279,ROW(INDIRECT("1:23")),1)*2^(-ROW(INDIRECT("1:23"))))</f>
        <v>#VALUE!</v>
      </c>
      <c r="T279" s="3" t="e">
        <f t="shared" ca="1" si="42"/>
        <v>#VALUE!</v>
      </c>
      <c r="U279" s="3" t="e">
        <f t="shared" ca="1" si="43"/>
        <v>#VALUE!</v>
      </c>
      <c r="V279" s="73"/>
      <c r="W279" s="9" t="str">
        <f t="shared" si="44"/>
        <v>OK</v>
      </c>
    </row>
    <row r="280" spans="1:23" x14ac:dyDescent="0.3">
      <c r="A280" s="44">
        <v>277</v>
      </c>
      <c r="B280" s="14">
        <v>6</v>
      </c>
      <c r="C280" s="4">
        <v>7</v>
      </c>
      <c r="D280" s="3" t="str">
        <f>VLOOKUP($C280,Overall!$K$5:$T$36,2)</f>
        <v>Overflow</v>
      </c>
      <c r="E280" s="3">
        <f ca="1">VLOOKUP($C280,Overall!$K$5:$T$36,10)</f>
        <v>3.4028240748575767E+38</v>
      </c>
      <c r="F280" s="9" t="str">
        <f>VLOOKUP($C280,Overall!$K$5:$T$36,6)</f>
        <v>01111111100000000000000000000001</v>
      </c>
      <c r="G280" s="8">
        <v>25</v>
      </c>
      <c r="H280" s="3" t="str">
        <f>VLOOKUP($G280,Overall!$K$5:$T$36,2)</f>
        <v>Normal</v>
      </c>
      <c r="I280" s="3">
        <f ca="1">VLOOKUP($G280,Overall!$K$5:$T$36,10)</f>
        <v>-1.1754944909521339E-38</v>
      </c>
      <c r="J280" s="62" t="str">
        <f>VLOOKUP($G280,Overall!$K$5:$T$36,6)</f>
        <v>10000000100000000000000000000001</v>
      </c>
      <c r="K280" s="8">
        <f t="shared" ca="1" si="36"/>
        <v>-4.0000009536743732</v>
      </c>
      <c r="L280" s="62">
        <f>VLOOKUP($B280,Overall!$B$5:$I$13,8)</f>
        <v>0</v>
      </c>
      <c r="M280" s="58"/>
      <c r="N280" s="3" t="str">
        <f t="shared" si="37"/>
        <v/>
      </c>
      <c r="O280" s="3" t="str">
        <f t="shared" si="38"/>
        <v/>
      </c>
      <c r="P280" s="3" t="str">
        <f t="shared" si="39"/>
        <v/>
      </c>
      <c r="Q280" s="3">
        <f t="shared" si="40"/>
        <v>0</v>
      </c>
      <c r="R280" s="3">
        <f t="shared" si="41"/>
        <v>0</v>
      </c>
      <c r="S280" s="3" t="e" cm="1">
        <f t="array" aca="1" ref="S280" ca="1">SUMPRODUCT(MID($P280,ROW(INDIRECT("1:23")),1)*2^(-ROW(INDIRECT("1:23"))))</f>
        <v>#VALUE!</v>
      </c>
      <c r="T280" s="3" t="e">
        <f t="shared" ca="1" si="42"/>
        <v>#VALUE!</v>
      </c>
      <c r="U280" s="3" t="e">
        <f t="shared" ca="1" si="43"/>
        <v>#VALUE!</v>
      </c>
      <c r="V280" s="73"/>
      <c r="W280" s="9" t="str">
        <f t="shared" si="44"/>
        <v>OK</v>
      </c>
    </row>
    <row r="281" spans="1:23" x14ac:dyDescent="0.3">
      <c r="A281" s="44">
        <v>278</v>
      </c>
      <c r="B281" s="14">
        <v>6</v>
      </c>
      <c r="C281" s="4">
        <v>7</v>
      </c>
      <c r="D281" s="3" t="str">
        <f>VLOOKUP($C281,Overall!$K$5:$T$36,2)</f>
        <v>Overflow</v>
      </c>
      <c r="E281" s="3">
        <f ca="1">VLOOKUP($C281,Overall!$K$5:$T$36,10)</f>
        <v>3.4028240748575767E+38</v>
      </c>
      <c r="F281" s="9" t="str">
        <f>VLOOKUP($C281,Overall!$K$5:$T$36,6)</f>
        <v>01111111100000000000000000000001</v>
      </c>
      <c r="G281" s="8">
        <v>26</v>
      </c>
      <c r="H281" s="3" t="str">
        <f>VLOOKUP($G281,Overall!$K$5:$T$36,2)</f>
        <v>Normal</v>
      </c>
      <c r="I281" s="3">
        <f ca="1">VLOOKUP($G281,Overall!$K$5:$T$36,10)</f>
        <v>-0.5</v>
      </c>
      <c r="J281" s="62" t="str">
        <f>VLOOKUP($G281,Overall!$K$5:$T$36,6)</f>
        <v>10111111000000000000000000000000</v>
      </c>
      <c r="K281" s="8">
        <f t="shared" ca="1" si="36"/>
        <v>-1.7014120374287884E+38</v>
      </c>
      <c r="L281" s="62">
        <f>VLOOKUP($B281,Overall!$B$5:$I$13,8)</f>
        <v>0</v>
      </c>
      <c r="M281" s="58"/>
      <c r="N281" s="3" t="str">
        <f t="shared" si="37"/>
        <v/>
      </c>
      <c r="O281" s="3" t="str">
        <f t="shared" si="38"/>
        <v/>
      </c>
      <c r="P281" s="3" t="str">
        <f t="shared" si="39"/>
        <v/>
      </c>
      <c r="Q281" s="3">
        <f t="shared" si="40"/>
        <v>0</v>
      </c>
      <c r="R281" s="3">
        <f t="shared" si="41"/>
        <v>0</v>
      </c>
      <c r="S281" s="3" t="e" cm="1">
        <f t="array" aca="1" ref="S281" ca="1">SUMPRODUCT(MID($P281,ROW(INDIRECT("1:23")),1)*2^(-ROW(INDIRECT("1:23"))))</f>
        <v>#VALUE!</v>
      </c>
      <c r="T281" s="3" t="e">
        <f t="shared" ca="1" si="42"/>
        <v>#VALUE!</v>
      </c>
      <c r="U281" s="3" t="e">
        <f t="shared" ca="1" si="43"/>
        <v>#VALUE!</v>
      </c>
      <c r="V281" s="73"/>
      <c r="W281" s="9" t="str">
        <f t="shared" si="44"/>
        <v>OK</v>
      </c>
    </row>
    <row r="282" spans="1:23" x14ac:dyDescent="0.3">
      <c r="A282" s="44">
        <v>279</v>
      </c>
      <c r="B282" s="14">
        <v>6</v>
      </c>
      <c r="C282" s="4">
        <v>7</v>
      </c>
      <c r="D282" s="3" t="str">
        <f>VLOOKUP($C282,Overall!$K$5:$T$36,2)</f>
        <v>Overflow</v>
      </c>
      <c r="E282" s="3">
        <f ca="1">VLOOKUP($C282,Overall!$K$5:$T$36,10)</f>
        <v>3.4028240748575767E+38</v>
      </c>
      <c r="F282" s="9" t="str">
        <f>VLOOKUP($C282,Overall!$K$5:$T$36,6)</f>
        <v>01111111100000000000000000000001</v>
      </c>
      <c r="G282" s="8">
        <v>27</v>
      </c>
      <c r="H282" s="3" t="str">
        <f>VLOOKUP($G282,Overall!$K$5:$T$36,2)</f>
        <v>Normal</v>
      </c>
      <c r="I282" s="3">
        <f ca="1">VLOOKUP($G282,Overall!$K$5:$T$36,10)</f>
        <v>-1</v>
      </c>
      <c r="J282" s="62" t="str">
        <f>VLOOKUP($G282,Overall!$K$5:$T$36,6)</f>
        <v>10111111100000000000000000000000</v>
      </c>
      <c r="K282" s="8">
        <f t="shared" ca="1" si="36"/>
        <v>-3.4028240748575767E+38</v>
      </c>
      <c r="L282" s="62">
        <f>VLOOKUP($B282,Overall!$B$5:$I$13,8)</f>
        <v>0</v>
      </c>
      <c r="M282" s="58"/>
      <c r="N282" s="3" t="str">
        <f t="shared" si="37"/>
        <v/>
      </c>
      <c r="O282" s="3" t="str">
        <f t="shared" si="38"/>
        <v/>
      </c>
      <c r="P282" s="3" t="str">
        <f t="shared" si="39"/>
        <v/>
      </c>
      <c r="Q282" s="3">
        <f t="shared" si="40"/>
        <v>0</v>
      </c>
      <c r="R282" s="3">
        <f t="shared" si="41"/>
        <v>0</v>
      </c>
      <c r="S282" s="3" t="e" cm="1">
        <f t="array" aca="1" ref="S282" ca="1">SUMPRODUCT(MID($P282,ROW(INDIRECT("1:23")),1)*2^(-ROW(INDIRECT("1:23"))))</f>
        <v>#VALUE!</v>
      </c>
      <c r="T282" s="3" t="e">
        <f t="shared" ca="1" si="42"/>
        <v>#VALUE!</v>
      </c>
      <c r="U282" s="3" t="e">
        <f t="shared" ca="1" si="43"/>
        <v>#VALUE!</v>
      </c>
      <c r="V282" s="73"/>
      <c r="W282" s="9" t="str">
        <f t="shared" si="44"/>
        <v>OK</v>
      </c>
    </row>
    <row r="283" spans="1:23" x14ac:dyDescent="0.3">
      <c r="A283" s="44">
        <v>280</v>
      </c>
      <c r="B283" s="14">
        <v>6</v>
      </c>
      <c r="C283" s="4">
        <v>7</v>
      </c>
      <c r="D283" s="3" t="str">
        <f>VLOOKUP($C283,Overall!$K$5:$T$36,2)</f>
        <v>Overflow</v>
      </c>
      <c r="E283" s="3">
        <f ca="1">VLOOKUP($C283,Overall!$K$5:$T$36,10)</f>
        <v>3.4028240748575767E+38</v>
      </c>
      <c r="F283" s="9" t="str">
        <f>VLOOKUP($C283,Overall!$K$5:$T$36,6)</f>
        <v>01111111100000000000000000000001</v>
      </c>
      <c r="G283" s="8">
        <v>28</v>
      </c>
      <c r="H283" s="3" t="str">
        <f>VLOOKUP($G283,Overall!$K$5:$T$36,2)</f>
        <v>Normal</v>
      </c>
      <c r="I283" s="3">
        <f ca="1">VLOOKUP($G283,Overall!$K$5:$T$36,10)</f>
        <v>-1.5</v>
      </c>
      <c r="J283" s="62" t="str">
        <f>VLOOKUP($G283,Overall!$K$5:$T$36,6)</f>
        <v>10111111110000000000000000000000</v>
      </c>
      <c r="K283" s="8">
        <f t="shared" ca="1" si="36"/>
        <v>-5.1042361122863651E+38</v>
      </c>
      <c r="L283" s="62">
        <f>VLOOKUP($B283,Overall!$B$5:$I$13,8)</f>
        <v>0</v>
      </c>
      <c r="M283" s="58"/>
      <c r="N283" s="3" t="str">
        <f t="shared" si="37"/>
        <v/>
      </c>
      <c r="O283" s="3" t="str">
        <f t="shared" si="38"/>
        <v/>
      </c>
      <c r="P283" s="3" t="str">
        <f t="shared" si="39"/>
        <v/>
      </c>
      <c r="Q283" s="3">
        <f t="shared" si="40"/>
        <v>0</v>
      </c>
      <c r="R283" s="3">
        <f t="shared" si="41"/>
        <v>0</v>
      </c>
      <c r="S283" s="3" t="e" cm="1">
        <f t="array" aca="1" ref="S283" ca="1">SUMPRODUCT(MID($P283,ROW(INDIRECT("1:23")),1)*2^(-ROW(INDIRECT("1:23"))))</f>
        <v>#VALUE!</v>
      </c>
      <c r="T283" s="3" t="e">
        <f t="shared" ca="1" si="42"/>
        <v>#VALUE!</v>
      </c>
      <c r="U283" s="3" t="e">
        <f t="shared" ca="1" si="43"/>
        <v>#VALUE!</v>
      </c>
      <c r="V283" s="73"/>
      <c r="W283" s="9" t="str">
        <f t="shared" si="44"/>
        <v>OK</v>
      </c>
    </row>
    <row r="284" spans="1:23" x14ac:dyDescent="0.3">
      <c r="A284" s="44">
        <v>281</v>
      </c>
      <c r="B284" s="14">
        <v>6</v>
      </c>
      <c r="C284" s="4">
        <v>7</v>
      </c>
      <c r="D284" s="3" t="str">
        <f>VLOOKUP($C284,Overall!$K$5:$T$36,2)</f>
        <v>Overflow</v>
      </c>
      <c r="E284" s="3">
        <f ca="1">VLOOKUP($C284,Overall!$K$5:$T$36,10)</f>
        <v>3.4028240748575767E+38</v>
      </c>
      <c r="F284" s="9" t="str">
        <f>VLOOKUP($C284,Overall!$K$5:$T$36,6)</f>
        <v>01111111100000000000000000000001</v>
      </c>
      <c r="G284" s="8">
        <v>29</v>
      </c>
      <c r="H284" s="3" t="str">
        <f>VLOOKUP($G284,Overall!$K$5:$T$36,2)</f>
        <v>Normal</v>
      </c>
      <c r="I284" s="3">
        <f ca="1">VLOOKUP($G284,Overall!$K$5:$T$36,10)</f>
        <v>-12345.6787109375</v>
      </c>
      <c r="J284" s="62" t="str">
        <f>VLOOKUP($G284,Overall!$K$5:$T$36,6)</f>
        <v>101000110010000001110011010110111</v>
      </c>
      <c r="K284" s="8">
        <f t="shared" ca="1" si="36"/>
        <v>-4.2010172738034779E+42</v>
      </c>
      <c r="L284" s="62">
        <f>VLOOKUP($B284,Overall!$B$5:$I$13,8)</f>
        <v>0</v>
      </c>
      <c r="M284" s="58"/>
      <c r="N284" s="3" t="str">
        <f t="shared" si="37"/>
        <v/>
      </c>
      <c r="O284" s="3" t="str">
        <f t="shared" si="38"/>
        <v/>
      </c>
      <c r="P284" s="3" t="str">
        <f t="shared" si="39"/>
        <v/>
      </c>
      <c r="Q284" s="3">
        <f t="shared" si="40"/>
        <v>0</v>
      </c>
      <c r="R284" s="3">
        <f t="shared" si="41"/>
        <v>0</v>
      </c>
      <c r="S284" s="3" t="e" cm="1">
        <f t="array" aca="1" ref="S284" ca="1">SUMPRODUCT(MID($P284,ROW(INDIRECT("1:23")),1)*2^(-ROW(INDIRECT("1:23"))))</f>
        <v>#VALUE!</v>
      </c>
      <c r="T284" s="3" t="e">
        <f t="shared" ca="1" si="42"/>
        <v>#VALUE!</v>
      </c>
      <c r="U284" s="3" t="e">
        <f t="shared" ca="1" si="43"/>
        <v>#VALUE!</v>
      </c>
      <c r="V284" s="73"/>
      <c r="W284" s="9" t="str">
        <f t="shared" si="44"/>
        <v>OK</v>
      </c>
    </row>
    <row r="285" spans="1:23" x14ac:dyDescent="0.3">
      <c r="A285" s="44">
        <v>282</v>
      </c>
      <c r="B285" s="14">
        <v>6</v>
      </c>
      <c r="C285" s="4">
        <v>7</v>
      </c>
      <c r="D285" s="3" t="str">
        <f>VLOOKUP($C285,Overall!$K$5:$T$36,2)</f>
        <v>Overflow</v>
      </c>
      <c r="E285" s="3">
        <f ca="1">VLOOKUP($C285,Overall!$K$5:$T$36,10)</f>
        <v>3.4028240748575767E+38</v>
      </c>
      <c r="F285" s="9" t="str">
        <f>VLOOKUP($C285,Overall!$K$5:$T$36,6)</f>
        <v>01111111100000000000000000000001</v>
      </c>
      <c r="G285" s="8">
        <v>30</v>
      </c>
      <c r="H285" s="3" t="str">
        <f>VLOOKUP($G285,Overall!$K$5:$T$36,2)</f>
        <v>Normal</v>
      </c>
      <c r="I285" s="3">
        <f ca="1">VLOOKUP($G285,Overall!$K$5:$T$36,10)</f>
        <v>-2.345678924830959E+38</v>
      </c>
      <c r="J285" s="62" t="str">
        <f>VLOOKUP($G285,Overall!$K$5:$T$36,6)</f>
        <v>11111111001100000111100000100010</v>
      </c>
      <c r="K285" s="8">
        <f t="shared" ca="1" si="36"/>
        <v>-7.9819327173008232E+76</v>
      </c>
      <c r="L285" s="62">
        <f>VLOOKUP($B285,Overall!$B$5:$I$13,8)</f>
        <v>0</v>
      </c>
      <c r="M285" s="58"/>
      <c r="N285" s="3" t="str">
        <f t="shared" si="37"/>
        <v/>
      </c>
      <c r="O285" s="3" t="str">
        <f t="shared" si="38"/>
        <v/>
      </c>
      <c r="P285" s="3" t="str">
        <f t="shared" si="39"/>
        <v/>
      </c>
      <c r="Q285" s="3">
        <f t="shared" si="40"/>
        <v>0</v>
      </c>
      <c r="R285" s="3">
        <f t="shared" si="41"/>
        <v>0</v>
      </c>
      <c r="S285" s="3" t="e" cm="1">
        <f t="array" aca="1" ref="S285" ca="1">SUMPRODUCT(MID($P285,ROW(INDIRECT("1:23")),1)*2^(-ROW(INDIRECT("1:23"))))</f>
        <v>#VALUE!</v>
      </c>
      <c r="T285" s="3" t="e">
        <f t="shared" ca="1" si="42"/>
        <v>#VALUE!</v>
      </c>
      <c r="U285" s="3" t="e">
        <f t="shared" ca="1" si="43"/>
        <v>#VALUE!</v>
      </c>
      <c r="V285" s="73"/>
      <c r="W285" s="9" t="str">
        <f t="shared" si="44"/>
        <v>OK</v>
      </c>
    </row>
    <row r="286" spans="1:23" x14ac:dyDescent="0.3">
      <c r="A286" s="44">
        <v>283</v>
      </c>
      <c r="B286" s="14">
        <v>6</v>
      </c>
      <c r="C286" s="4">
        <v>7</v>
      </c>
      <c r="D286" s="3" t="str">
        <f>VLOOKUP($C286,Overall!$K$5:$T$36,2)</f>
        <v>Overflow</v>
      </c>
      <c r="E286" s="3">
        <f ca="1">VLOOKUP($C286,Overall!$K$5:$T$36,10)</f>
        <v>3.4028240748575767E+38</v>
      </c>
      <c r="F286" s="9" t="str">
        <f>VLOOKUP($C286,Overall!$K$5:$T$36,6)</f>
        <v>01111111100000000000000000000001</v>
      </c>
      <c r="G286" s="8">
        <v>31</v>
      </c>
      <c r="H286" s="3" t="str">
        <f>VLOOKUP($G286,Overall!$K$5:$T$36,2)</f>
        <v>Normal</v>
      </c>
      <c r="I286" s="3">
        <f ca="1">VLOOKUP($G286,Overall!$K$5:$T$36,10)</f>
        <v>-3.4028232635611926E+38</v>
      </c>
      <c r="J286" s="62" t="str">
        <f>VLOOKUP($G286,Overall!$K$5:$T$36,6)</f>
        <v>11111111011111111111111111111110</v>
      </c>
      <c r="K286" s="8">
        <f t="shared" ca="1" si="36"/>
        <v>-1.1579208923731455E+77</v>
      </c>
      <c r="L286" s="62">
        <f>VLOOKUP($B286,Overall!$B$5:$I$13,8)</f>
        <v>0</v>
      </c>
      <c r="M286" s="58"/>
      <c r="N286" s="3" t="str">
        <f t="shared" si="37"/>
        <v/>
      </c>
      <c r="O286" s="3" t="str">
        <f t="shared" si="38"/>
        <v/>
      </c>
      <c r="P286" s="3" t="str">
        <f t="shared" si="39"/>
        <v/>
      </c>
      <c r="Q286" s="3">
        <f t="shared" si="40"/>
        <v>0</v>
      </c>
      <c r="R286" s="3">
        <f t="shared" si="41"/>
        <v>0</v>
      </c>
      <c r="S286" s="3" t="e" cm="1">
        <f t="array" aca="1" ref="S286" ca="1">SUMPRODUCT(MID($P286,ROW(INDIRECT("1:23")),1)*2^(-ROW(INDIRECT("1:23"))))</f>
        <v>#VALUE!</v>
      </c>
      <c r="T286" s="3" t="e">
        <f t="shared" ca="1" si="42"/>
        <v>#VALUE!</v>
      </c>
      <c r="U286" s="3" t="e">
        <f t="shared" ca="1" si="43"/>
        <v>#VALUE!</v>
      </c>
      <c r="V286" s="73"/>
      <c r="W286" s="9" t="str">
        <f t="shared" si="44"/>
        <v>OK</v>
      </c>
    </row>
    <row r="287" spans="1:23" x14ac:dyDescent="0.3">
      <c r="A287" s="44">
        <v>284</v>
      </c>
      <c r="B287" s="14">
        <v>6</v>
      </c>
      <c r="C287" s="4">
        <v>7</v>
      </c>
      <c r="D287" s="3" t="str">
        <f>VLOOKUP($C287,Overall!$K$5:$T$36,2)</f>
        <v>Overflow</v>
      </c>
      <c r="E287" s="3">
        <f ca="1">VLOOKUP($C287,Overall!$K$5:$T$36,10)</f>
        <v>3.4028240748575767E+38</v>
      </c>
      <c r="F287" s="9" t="str">
        <f>VLOOKUP($C287,Overall!$K$5:$T$36,6)</f>
        <v>01111111100000000000000000000001</v>
      </c>
      <c r="G287" s="8">
        <v>32</v>
      </c>
      <c r="H287" s="3" t="str">
        <f>VLOOKUP($G287,Overall!$K$5:$T$36,2)</f>
        <v>Normal</v>
      </c>
      <c r="I287" s="3">
        <f ca="1">VLOOKUP($G287,Overall!$K$5:$T$36,10)</f>
        <v>-3.4028234663852886E+38</v>
      </c>
      <c r="J287" s="62" t="str">
        <f>VLOOKUP($G287,Overall!$K$5:$T$36,6)</f>
        <v>11111111011111111111111111111111</v>
      </c>
      <c r="K287" s="8">
        <f t="shared" ca="1" si="36"/>
        <v>-1.1579209613906172E+77</v>
      </c>
      <c r="L287" s="62">
        <f>VLOOKUP($B287,Overall!$B$5:$I$13,8)</f>
        <v>0</v>
      </c>
      <c r="M287" s="58"/>
      <c r="N287" s="3" t="str">
        <f t="shared" si="37"/>
        <v/>
      </c>
      <c r="O287" s="3" t="str">
        <f t="shared" si="38"/>
        <v/>
      </c>
      <c r="P287" s="3" t="str">
        <f t="shared" si="39"/>
        <v/>
      </c>
      <c r="Q287" s="3">
        <f t="shared" si="40"/>
        <v>0</v>
      </c>
      <c r="R287" s="3">
        <f t="shared" si="41"/>
        <v>0</v>
      </c>
      <c r="S287" s="3" t="e" cm="1">
        <f t="array" aca="1" ref="S287" ca="1">SUMPRODUCT(MID($P287,ROW(INDIRECT("1:23")),1)*2^(-ROW(INDIRECT("1:23"))))</f>
        <v>#VALUE!</v>
      </c>
      <c r="T287" s="3" t="e">
        <f t="shared" ca="1" si="42"/>
        <v>#VALUE!</v>
      </c>
      <c r="U287" s="3" t="e">
        <f t="shared" ca="1" si="43"/>
        <v>#VALUE!</v>
      </c>
      <c r="V287" s="73"/>
      <c r="W287" s="9" t="str">
        <f t="shared" si="44"/>
        <v>OK</v>
      </c>
    </row>
    <row r="288" spans="1:23" x14ac:dyDescent="0.3">
      <c r="A288" s="44">
        <v>285</v>
      </c>
      <c r="B288" s="14">
        <v>6</v>
      </c>
      <c r="C288" s="4">
        <v>8</v>
      </c>
      <c r="D288" s="3" t="str">
        <f>VLOOKUP($C288,Overall!$K$5:$T$36,2)</f>
        <v>Overflow</v>
      </c>
      <c r="E288" s="3">
        <f ca="1">VLOOKUP($C288,Overall!$K$5:$T$36,10)</f>
        <v>4.2535303978081149E+38</v>
      </c>
      <c r="F288" s="9" t="str">
        <f>VLOOKUP($C288,Overall!$K$5:$T$36,6)</f>
        <v>01111111101000000000000000000010</v>
      </c>
      <c r="G288" s="8">
        <v>13</v>
      </c>
      <c r="H288" s="3" t="str">
        <f>VLOOKUP($G288,Overall!$K$5:$T$36,2)</f>
        <v>Normal</v>
      </c>
      <c r="I288" s="3">
        <f ca="1">VLOOKUP($G288,Overall!$K$5:$T$36,10)</f>
        <v>0</v>
      </c>
      <c r="J288" s="62" t="str">
        <f>VLOOKUP($G288,Overall!$K$5:$T$36,6)</f>
        <v>00000000000000000000000000000000</v>
      </c>
      <c r="K288" s="8">
        <f t="shared" ca="1" si="36"/>
        <v>0</v>
      </c>
      <c r="L288" s="62">
        <f>VLOOKUP($B288,Overall!$B$5:$I$13,8)</f>
        <v>0</v>
      </c>
      <c r="M288" s="58"/>
      <c r="N288" s="3" t="str">
        <f t="shared" si="37"/>
        <v/>
      </c>
      <c r="O288" s="3" t="str">
        <f t="shared" si="38"/>
        <v/>
      </c>
      <c r="P288" s="3" t="str">
        <f t="shared" si="39"/>
        <v/>
      </c>
      <c r="Q288" s="3">
        <f t="shared" si="40"/>
        <v>0</v>
      </c>
      <c r="R288" s="3">
        <f t="shared" si="41"/>
        <v>0</v>
      </c>
      <c r="S288" s="3" t="e" cm="1">
        <f t="array" aca="1" ref="S288" ca="1">SUMPRODUCT(MID($P288,ROW(INDIRECT("1:23")),1)*2^(-ROW(INDIRECT("1:23"))))</f>
        <v>#VALUE!</v>
      </c>
      <c r="T288" s="3" t="e">
        <f t="shared" ca="1" si="42"/>
        <v>#VALUE!</v>
      </c>
      <c r="U288" s="3" t="e">
        <f t="shared" ca="1" si="43"/>
        <v>#VALUE!</v>
      </c>
      <c r="V288" s="73"/>
      <c r="W288" s="9" t="str">
        <f t="shared" si="44"/>
        <v>OK</v>
      </c>
    </row>
    <row r="289" spans="1:23" x14ac:dyDescent="0.3">
      <c r="A289" s="44">
        <v>286</v>
      </c>
      <c r="B289" s="14">
        <v>6</v>
      </c>
      <c r="C289" s="4">
        <v>8</v>
      </c>
      <c r="D289" s="3" t="str">
        <f>VLOOKUP($C289,Overall!$K$5:$T$36,2)</f>
        <v>Overflow</v>
      </c>
      <c r="E289" s="3">
        <f ca="1">VLOOKUP($C289,Overall!$K$5:$T$36,10)</f>
        <v>4.2535303978081149E+38</v>
      </c>
      <c r="F289" s="9" t="str">
        <f>VLOOKUP($C289,Overall!$K$5:$T$36,6)</f>
        <v>01111111101000000000000000000010</v>
      </c>
      <c r="G289" s="8">
        <v>14</v>
      </c>
      <c r="H289" s="3" t="str">
        <f>VLOOKUP($G289,Overall!$K$5:$T$36,2)</f>
        <v>Normal</v>
      </c>
      <c r="I289" s="3">
        <f ca="1">VLOOKUP($G289,Overall!$K$5:$T$36,10)</f>
        <v>0</v>
      </c>
      <c r="J289" s="62" t="str">
        <f>VLOOKUP($G289,Overall!$K$5:$T$36,6)</f>
        <v>10000000000000000000000000000000</v>
      </c>
      <c r="K289" s="8">
        <f t="shared" ca="1" si="36"/>
        <v>0</v>
      </c>
      <c r="L289" s="62">
        <f>VLOOKUP($B289,Overall!$B$5:$I$13,8)</f>
        <v>0</v>
      </c>
      <c r="M289" s="58"/>
      <c r="N289" s="3" t="str">
        <f t="shared" si="37"/>
        <v/>
      </c>
      <c r="O289" s="3" t="str">
        <f t="shared" si="38"/>
        <v/>
      </c>
      <c r="P289" s="3" t="str">
        <f t="shared" si="39"/>
        <v/>
      </c>
      <c r="Q289" s="3">
        <f t="shared" si="40"/>
        <v>0</v>
      </c>
      <c r="R289" s="3">
        <f t="shared" si="41"/>
        <v>0</v>
      </c>
      <c r="S289" s="3" t="e" cm="1">
        <f t="array" aca="1" ref="S289" ca="1">SUMPRODUCT(MID($P289,ROW(INDIRECT("1:23")),1)*2^(-ROW(INDIRECT("1:23"))))</f>
        <v>#VALUE!</v>
      </c>
      <c r="T289" s="3" t="e">
        <f t="shared" ca="1" si="42"/>
        <v>#VALUE!</v>
      </c>
      <c r="U289" s="3" t="e">
        <f t="shared" ca="1" si="43"/>
        <v>#VALUE!</v>
      </c>
      <c r="V289" s="73"/>
      <c r="W289" s="9" t="str">
        <f t="shared" si="44"/>
        <v>OK</v>
      </c>
    </row>
    <row r="290" spans="1:23" x14ac:dyDescent="0.3">
      <c r="A290" s="44">
        <v>287</v>
      </c>
      <c r="B290" s="14">
        <v>6</v>
      </c>
      <c r="C290" s="4">
        <v>8</v>
      </c>
      <c r="D290" s="3" t="str">
        <f>VLOOKUP($C290,Overall!$K$5:$T$36,2)</f>
        <v>Overflow</v>
      </c>
      <c r="E290" s="3">
        <f ca="1">VLOOKUP($C290,Overall!$K$5:$T$36,10)</f>
        <v>4.2535303978081149E+38</v>
      </c>
      <c r="F290" s="9" t="str">
        <f>VLOOKUP($C290,Overall!$K$5:$T$36,6)</f>
        <v>01111111101000000000000000000010</v>
      </c>
      <c r="G290" s="8">
        <v>15</v>
      </c>
      <c r="H290" s="3" t="str">
        <f>VLOOKUP($G290,Overall!$K$5:$T$36,2)</f>
        <v>Normal</v>
      </c>
      <c r="I290" s="3">
        <f ca="1">VLOOKUP($G290,Overall!$K$5:$T$36,10)</f>
        <v>1.1754943508222875E-38</v>
      </c>
      <c r="J290" s="62" t="str">
        <f>VLOOKUP($G290,Overall!$K$5:$T$36,6)</f>
        <v>00000000100000000000000000000000</v>
      </c>
      <c r="K290" s="8">
        <f t="shared" ca="1" si="36"/>
        <v>5.0000009536743164</v>
      </c>
      <c r="L290" s="62">
        <f>VLOOKUP($B290,Overall!$B$5:$I$13,8)</f>
        <v>0</v>
      </c>
      <c r="M290" s="58"/>
      <c r="N290" s="3" t="str">
        <f t="shared" si="37"/>
        <v/>
      </c>
      <c r="O290" s="3" t="str">
        <f t="shared" si="38"/>
        <v/>
      </c>
      <c r="P290" s="3" t="str">
        <f t="shared" si="39"/>
        <v/>
      </c>
      <c r="Q290" s="3">
        <f t="shared" si="40"/>
        <v>0</v>
      </c>
      <c r="R290" s="3">
        <f t="shared" si="41"/>
        <v>0</v>
      </c>
      <c r="S290" s="3" t="e" cm="1">
        <f t="array" aca="1" ref="S290" ca="1">SUMPRODUCT(MID($P290,ROW(INDIRECT("1:23")),1)*2^(-ROW(INDIRECT("1:23"))))</f>
        <v>#VALUE!</v>
      </c>
      <c r="T290" s="3" t="e">
        <f t="shared" ca="1" si="42"/>
        <v>#VALUE!</v>
      </c>
      <c r="U290" s="3" t="e">
        <f t="shared" ca="1" si="43"/>
        <v>#VALUE!</v>
      </c>
      <c r="V290" s="73"/>
      <c r="W290" s="9" t="str">
        <f t="shared" si="44"/>
        <v>OK</v>
      </c>
    </row>
    <row r="291" spans="1:23" x14ac:dyDescent="0.3">
      <c r="A291" s="44">
        <v>288</v>
      </c>
      <c r="B291" s="14">
        <v>6</v>
      </c>
      <c r="C291" s="4">
        <v>8</v>
      </c>
      <c r="D291" s="3" t="str">
        <f>VLOOKUP($C291,Overall!$K$5:$T$36,2)</f>
        <v>Overflow</v>
      </c>
      <c r="E291" s="3">
        <f ca="1">VLOOKUP($C291,Overall!$K$5:$T$36,10)</f>
        <v>4.2535303978081149E+38</v>
      </c>
      <c r="F291" s="9" t="str">
        <f>VLOOKUP($C291,Overall!$K$5:$T$36,6)</f>
        <v>01111111101000000000000000000010</v>
      </c>
      <c r="G291" s="8">
        <v>16</v>
      </c>
      <c r="H291" s="3" t="str">
        <f>VLOOKUP($G291,Overall!$K$5:$T$36,2)</f>
        <v>Normal</v>
      </c>
      <c r="I291" s="3">
        <f ca="1">VLOOKUP($G291,Overall!$K$5:$T$36,10)</f>
        <v>1.1754944909521339E-38</v>
      </c>
      <c r="J291" s="62" t="str">
        <f>VLOOKUP($G291,Overall!$K$5:$T$36,6)</f>
        <v>00000000100000000000000000000001</v>
      </c>
      <c r="K291" s="8">
        <f t="shared" ca="1" si="36"/>
        <v>5.0000015497208778</v>
      </c>
      <c r="L291" s="62">
        <f>VLOOKUP($B291,Overall!$B$5:$I$13,8)</f>
        <v>0</v>
      </c>
      <c r="M291" s="58"/>
      <c r="N291" s="3" t="str">
        <f t="shared" si="37"/>
        <v/>
      </c>
      <c r="O291" s="3" t="str">
        <f t="shared" si="38"/>
        <v/>
      </c>
      <c r="P291" s="3" t="str">
        <f t="shared" si="39"/>
        <v/>
      </c>
      <c r="Q291" s="3">
        <f t="shared" si="40"/>
        <v>0</v>
      </c>
      <c r="R291" s="3">
        <f t="shared" si="41"/>
        <v>0</v>
      </c>
      <c r="S291" s="3" t="e" cm="1">
        <f t="array" aca="1" ref="S291" ca="1">SUMPRODUCT(MID($P291,ROW(INDIRECT("1:23")),1)*2^(-ROW(INDIRECT("1:23"))))</f>
        <v>#VALUE!</v>
      </c>
      <c r="T291" s="3" t="e">
        <f t="shared" ca="1" si="42"/>
        <v>#VALUE!</v>
      </c>
      <c r="U291" s="3" t="e">
        <f t="shared" ca="1" si="43"/>
        <v>#VALUE!</v>
      </c>
      <c r="V291" s="73"/>
      <c r="W291" s="9" t="str">
        <f t="shared" si="44"/>
        <v>OK</v>
      </c>
    </row>
    <row r="292" spans="1:23" x14ac:dyDescent="0.3">
      <c r="A292" s="44">
        <v>289</v>
      </c>
      <c r="B292" s="14">
        <v>6</v>
      </c>
      <c r="C292" s="4">
        <v>8</v>
      </c>
      <c r="D292" s="3" t="str">
        <f>VLOOKUP($C292,Overall!$K$5:$T$36,2)</f>
        <v>Overflow</v>
      </c>
      <c r="E292" s="3">
        <f ca="1">VLOOKUP($C292,Overall!$K$5:$T$36,10)</f>
        <v>4.2535303978081149E+38</v>
      </c>
      <c r="F292" s="9" t="str">
        <f>VLOOKUP($C292,Overall!$K$5:$T$36,6)</f>
        <v>01111111101000000000000000000010</v>
      </c>
      <c r="G292" s="8">
        <v>17</v>
      </c>
      <c r="H292" s="3" t="str">
        <f>VLOOKUP($G292,Overall!$K$5:$T$36,2)</f>
        <v>Normal</v>
      </c>
      <c r="I292" s="3">
        <f ca="1">VLOOKUP($G292,Overall!$K$5:$T$36,10)</f>
        <v>0.5</v>
      </c>
      <c r="J292" s="62" t="str">
        <f>VLOOKUP($G292,Overall!$K$5:$T$36,6)</f>
        <v>00111111000000000000000000000000</v>
      </c>
      <c r="K292" s="8">
        <f t="shared" ca="1" si="36"/>
        <v>2.1267651989040575E+38</v>
      </c>
      <c r="L292" s="62">
        <f>VLOOKUP($B292,Overall!$B$5:$I$13,8)</f>
        <v>0</v>
      </c>
      <c r="M292" s="58"/>
      <c r="N292" s="3" t="str">
        <f t="shared" si="37"/>
        <v/>
      </c>
      <c r="O292" s="3" t="str">
        <f t="shared" si="38"/>
        <v/>
      </c>
      <c r="P292" s="3" t="str">
        <f t="shared" si="39"/>
        <v/>
      </c>
      <c r="Q292" s="3">
        <f t="shared" si="40"/>
        <v>0</v>
      </c>
      <c r="R292" s="3">
        <f t="shared" si="41"/>
        <v>0</v>
      </c>
      <c r="S292" s="3" t="e" cm="1">
        <f t="array" aca="1" ref="S292" ca="1">SUMPRODUCT(MID($P292,ROW(INDIRECT("1:23")),1)*2^(-ROW(INDIRECT("1:23"))))</f>
        <v>#VALUE!</v>
      </c>
      <c r="T292" s="3" t="e">
        <f t="shared" ca="1" si="42"/>
        <v>#VALUE!</v>
      </c>
      <c r="U292" s="3" t="e">
        <f t="shared" ca="1" si="43"/>
        <v>#VALUE!</v>
      </c>
      <c r="V292" s="73"/>
      <c r="W292" s="9" t="str">
        <f t="shared" si="44"/>
        <v>OK</v>
      </c>
    </row>
    <row r="293" spans="1:23" x14ac:dyDescent="0.3">
      <c r="A293" s="44">
        <v>290</v>
      </c>
      <c r="B293" s="14">
        <v>6</v>
      </c>
      <c r="C293" s="4">
        <v>8</v>
      </c>
      <c r="D293" s="3" t="str">
        <f>VLOOKUP($C293,Overall!$K$5:$T$36,2)</f>
        <v>Overflow</v>
      </c>
      <c r="E293" s="3">
        <f ca="1">VLOOKUP($C293,Overall!$K$5:$T$36,10)</f>
        <v>4.2535303978081149E+38</v>
      </c>
      <c r="F293" s="9" t="str">
        <f>VLOOKUP($C293,Overall!$K$5:$T$36,6)</f>
        <v>01111111101000000000000000000010</v>
      </c>
      <c r="G293" s="8">
        <v>18</v>
      </c>
      <c r="H293" s="3" t="str">
        <f>VLOOKUP($G293,Overall!$K$5:$T$36,2)</f>
        <v>Normal</v>
      </c>
      <c r="I293" s="3">
        <f ca="1">VLOOKUP($G293,Overall!$K$5:$T$36,10)</f>
        <v>1</v>
      </c>
      <c r="J293" s="62" t="str">
        <f>VLOOKUP($G293,Overall!$K$5:$T$36,6)</f>
        <v>00111111100000000000000000000000</v>
      </c>
      <c r="K293" s="8">
        <f t="shared" ca="1" si="36"/>
        <v>4.2535303978081149E+38</v>
      </c>
      <c r="L293" s="62">
        <f>VLOOKUP($B293,Overall!$B$5:$I$13,8)</f>
        <v>0</v>
      </c>
      <c r="M293" s="58"/>
      <c r="N293" s="3" t="str">
        <f t="shared" si="37"/>
        <v/>
      </c>
      <c r="O293" s="3" t="str">
        <f t="shared" si="38"/>
        <v/>
      </c>
      <c r="P293" s="3" t="str">
        <f t="shared" si="39"/>
        <v/>
      </c>
      <c r="Q293" s="3">
        <f t="shared" si="40"/>
        <v>0</v>
      </c>
      <c r="R293" s="3">
        <f t="shared" si="41"/>
        <v>0</v>
      </c>
      <c r="S293" s="3" t="e" cm="1">
        <f t="array" aca="1" ref="S293" ca="1">SUMPRODUCT(MID($P293,ROW(INDIRECT("1:23")),1)*2^(-ROW(INDIRECT("1:23"))))</f>
        <v>#VALUE!</v>
      </c>
      <c r="T293" s="3" t="e">
        <f t="shared" ca="1" si="42"/>
        <v>#VALUE!</v>
      </c>
      <c r="U293" s="3" t="e">
        <f t="shared" ca="1" si="43"/>
        <v>#VALUE!</v>
      </c>
      <c r="V293" s="73"/>
      <c r="W293" s="9" t="str">
        <f t="shared" si="44"/>
        <v>OK</v>
      </c>
    </row>
    <row r="294" spans="1:23" x14ac:dyDescent="0.3">
      <c r="A294" s="44">
        <v>291</v>
      </c>
      <c r="B294" s="14">
        <v>6</v>
      </c>
      <c r="C294" s="4">
        <v>8</v>
      </c>
      <c r="D294" s="3" t="str">
        <f>VLOOKUP($C294,Overall!$K$5:$T$36,2)</f>
        <v>Overflow</v>
      </c>
      <c r="E294" s="3">
        <f ca="1">VLOOKUP($C294,Overall!$K$5:$T$36,10)</f>
        <v>4.2535303978081149E+38</v>
      </c>
      <c r="F294" s="9" t="str">
        <f>VLOOKUP($C294,Overall!$K$5:$T$36,6)</f>
        <v>01111111101000000000000000000010</v>
      </c>
      <c r="G294" s="8">
        <v>19</v>
      </c>
      <c r="H294" s="3" t="str">
        <f>VLOOKUP($G294,Overall!$K$5:$T$36,2)</f>
        <v>Normal</v>
      </c>
      <c r="I294" s="3">
        <f ca="1">VLOOKUP($G294,Overall!$K$5:$T$36,10)</f>
        <v>1.5</v>
      </c>
      <c r="J294" s="62" t="str">
        <f>VLOOKUP($G294,Overall!$K$5:$T$36,6)</f>
        <v>00111111110000000000000000000000</v>
      </c>
      <c r="K294" s="8">
        <f t="shared" ca="1" si="36"/>
        <v>6.3802955967121724E+38</v>
      </c>
      <c r="L294" s="62">
        <f>VLOOKUP($B294,Overall!$B$5:$I$13,8)</f>
        <v>0</v>
      </c>
      <c r="M294" s="58"/>
      <c r="N294" s="3" t="str">
        <f t="shared" si="37"/>
        <v/>
      </c>
      <c r="O294" s="3" t="str">
        <f t="shared" si="38"/>
        <v/>
      </c>
      <c r="P294" s="3" t="str">
        <f t="shared" si="39"/>
        <v/>
      </c>
      <c r="Q294" s="3">
        <f t="shared" si="40"/>
        <v>0</v>
      </c>
      <c r="R294" s="3">
        <f t="shared" si="41"/>
        <v>0</v>
      </c>
      <c r="S294" s="3" t="e" cm="1">
        <f t="array" aca="1" ref="S294" ca="1">SUMPRODUCT(MID($P294,ROW(INDIRECT("1:23")),1)*2^(-ROW(INDIRECT("1:23"))))</f>
        <v>#VALUE!</v>
      </c>
      <c r="T294" s="3" t="e">
        <f t="shared" ca="1" si="42"/>
        <v>#VALUE!</v>
      </c>
      <c r="U294" s="3" t="e">
        <f t="shared" ca="1" si="43"/>
        <v>#VALUE!</v>
      </c>
      <c r="V294" s="73"/>
      <c r="W294" s="9" t="str">
        <f t="shared" si="44"/>
        <v>OK</v>
      </c>
    </row>
    <row r="295" spans="1:23" x14ac:dyDescent="0.3">
      <c r="A295" s="44">
        <v>292</v>
      </c>
      <c r="B295" s="14">
        <v>6</v>
      </c>
      <c r="C295" s="4">
        <v>8</v>
      </c>
      <c r="D295" s="3" t="str">
        <f>VLOOKUP($C295,Overall!$K$5:$T$36,2)</f>
        <v>Overflow</v>
      </c>
      <c r="E295" s="3">
        <f ca="1">VLOOKUP($C295,Overall!$K$5:$T$36,10)</f>
        <v>4.2535303978081149E+38</v>
      </c>
      <c r="F295" s="9" t="str">
        <f>VLOOKUP($C295,Overall!$K$5:$T$36,6)</f>
        <v>01111111101000000000000000000010</v>
      </c>
      <c r="G295" s="8">
        <v>20</v>
      </c>
      <c r="H295" s="3" t="str">
        <f>VLOOKUP($G295,Overall!$K$5:$T$36,2)</f>
        <v>Normal</v>
      </c>
      <c r="I295" s="3">
        <f ca="1">VLOOKUP($G295,Overall!$K$5:$T$36,10)</f>
        <v>12345.6787109375</v>
      </c>
      <c r="J295" s="62" t="str">
        <f>VLOOKUP($G295,Overall!$K$5:$T$36,6)</f>
        <v>001000110010000001110011010110111</v>
      </c>
      <c r="K295" s="8">
        <f t="shared" ca="1" si="36"/>
        <v>5.251271967854516E+42</v>
      </c>
      <c r="L295" s="62">
        <f>VLOOKUP($B295,Overall!$B$5:$I$13,8)</f>
        <v>0</v>
      </c>
      <c r="M295" s="58"/>
      <c r="N295" s="3" t="str">
        <f t="shared" si="37"/>
        <v/>
      </c>
      <c r="O295" s="3" t="str">
        <f t="shared" si="38"/>
        <v/>
      </c>
      <c r="P295" s="3" t="str">
        <f t="shared" si="39"/>
        <v/>
      </c>
      <c r="Q295" s="3">
        <f t="shared" si="40"/>
        <v>0</v>
      </c>
      <c r="R295" s="3">
        <f t="shared" si="41"/>
        <v>0</v>
      </c>
      <c r="S295" s="3" t="e" cm="1">
        <f t="array" aca="1" ref="S295" ca="1">SUMPRODUCT(MID($P295,ROW(INDIRECT("1:23")),1)*2^(-ROW(INDIRECT("1:23"))))</f>
        <v>#VALUE!</v>
      </c>
      <c r="T295" s="3" t="e">
        <f t="shared" ca="1" si="42"/>
        <v>#VALUE!</v>
      </c>
      <c r="U295" s="3" t="e">
        <f t="shared" ca="1" si="43"/>
        <v>#VALUE!</v>
      </c>
      <c r="V295" s="73"/>
      <c r="W295" s="9" t="str">
        <f t="shared" si="44"/>
        <v>OK</v>
      </c>
    </row>
    <row r="296" spans="1:23" x14ac:dyDescent="0.3">
      <c r="A296" s="44">
        <v>293</v>
      </c>
      <c r="B296" s="14">
        <v>6</v>
      </c>
      <c r="C296" s="4">
        <v>8</v>
      </c>
      <c r="D296" s="3" t="str">
        <f>VLOOKUP($C296,Overall!$K$5:$T$36,2)</f>
        <v>Overflow</v>
      </c>
      <c r="E296" s="3">
        <f ca="1">VLOOKUP($C296,Overall!$K$5:$T$36,10)</f>
        <v>4.2535303978081149E+38</v>
      </c>
      <c r="F296" s="9" t="str">
        <f>VLOOKUP($C296,Overall!$K$5:$T$36,6)</f>
        <v>01111111101000000000000000000010</v>
      </c>
      <c r="G296" s="8">
        <v>21</v>
      </c>
      <c r="H296" s="3" t="str">
        <f>VLOOKUP($G296,Overall!$K$5:$T$36,2)</f>
        <v>Normal</v>
      </c>
      <c r="I296" s="3">
        <f ca="1">VLOOKUP($G296,Overall!$K$5:$T$36,10)</f>
        <v>2.345678924830959E+38</v>
      </c>
      <c r="J296" s="62" t="str">
        <f>VLOOKUP($G296,Overall!$K$5:$T$36,6)</f>
        <v>01111111001100000111100000100010</v>
      </c>
      <c r="K296" s="8">
        <f t="shared" ca="1" si="36"/>
        <v>9.9774166102663403E+76</v>
      </c>
      <c r="L296" s="62">
        <f>VLOOKUP($B296,Overall!$B$5:$I$13,8)</f>
        <v>0</v>
      </c>
      <c r="M296" s="58"/>
      <c r="N296" s="3" t="str">
        <f t="shared" si="37"/>
        <v/>
      </c>
      <c r="O296" s="3" t="str">
        <f t="shared" si="38"/>
        <v/>
      </c>
      <c r="P296" s="3" t="str">
        <f t="shared" si="39"/>
        <v/>
      </c>
      <c r="Q296" s="3">
        <f t="shared" si="40"/>
        <v>0</v>
      </c>
      <c r="R296" s="3">
        <f t="shared" si="41"/>
        <v>0</v>
      </c>
      <c r="S296" s="3" t="e" cm="1">
        <f t="array" aca="1" ref="S296" ca="1">SUMPRODUCT(MID($P296,ROW(INDIRECT("1:23")),1)*2^(-ROW(INDIRECT("1:23"))))</f>
        <v>#VALUE!</v>
      </c>
      <c r="T296" s="3" t="e">
        <f t="shared" ca="1" si="42"/>
        <v>#VALUE!</v>
      </c>
      <c r="U296" s="3" t="e">
        <f t="shared" ca="1" si="43"/>
        <v>#VALUE!</v>
      </c>
      <c r="V296" s="73"/>
      <c r="W296" s="9" t="str">
        <f t="shared" si="44"/>
        <v>OK</v>
      </c>
    </row>
    <row r="297" spans="1:23" x14ac:dyDescent="0.3">
      <c r="A297" s="44">
        <v>294</v>
      </c>
      <c r="B297" s="14">
        <v>6</v>
      </c>
      <c r="C297" s="4">
        <v>8</v>
      </c>
      <c r="D297" s="3" t="str">
        <f>VLOOKUP($C297,Overall!$K$5:$T$36,2)</f>
        <v>Overflow</v>
      </c>
      <c r="E297" s="3">
        <f ca="1">VLOOKUP($C297,Overall!$K$5:$T$36,10)</f>
        <v>4.2535303978081149E+38</v>
      </c>
      <c r="F297" s="9" t="str">
        <f>VLOOKUP($C297,Overall!$K$5:$T$36,6)</f>
        <v>01111111101000000000000000000010</v>
      </c>
      <c r="G297" s="8">
        <v>22</v>
      </c>
      <c r="H297" s="3" t="str">
        <f>VLOOKUP($G297,Overall!$K$5:$T$36,2)</f>
        <v>Normal</v>
      </c>
      <c r="I297" s="3">
        <f ca="1">VLOOKUP($G297,Overall!$K$5:$T$36,10)</f>
        <v>3.4028232635611926E+38</v>
      </c>
      <c r="J297" s="62" t="str">
        <f>VLOOKUP($G297,Overall!$K$5:$T$36,6)</f>
        <v>01111111011111111111111111111110</v>
      </c>
      <c r="K297" s="8">
        <f t="shared" ca="1" si="36"/>
        <v>1.4474012189926147E+77</v>
      </c>
      <c r="L297" s="62">
        <f>VLOOKUP($B297,Overall!$B$5:$I$13,8)</f>
        <v>0</v>
      </c>
      <c r="M297" s="58"/>
      <c r="N297" s="3" t="str">
        <f t="shared" si="37"/>
        <v/>
      </c>
      <c r="O297" s="3" t="str">
        <f t="shared" si="38"/>
        <v/>
      </c>
      <c r="P297" s="3" t="str">
        <f t="shared" si="39"/>
        <v/>
      </c>
      <c r="Q297" s="3">
        <f t="shared" si="40"/>
        <v>0</v>
      </c>
      <c r="R297" s="3">
        <f t="shared" si="41"/>
        <v>0</v>
      </c>
      <c r="S297" s="3" t="e" cm="1">
        <f t="array" aca="1" ref="S297" ca="1">SUMPRODUCT(MID($P297,ROW(INDIRECT("1:23")),1)*2^(-ROW(INDIRECT("1:23"))))</f>
        <v>#VALUE!</v>
      </c>
      <c r="T297" s="3" t="e">
        <f t="shared" ca="1" si="42"/>
        <v>#VALUE!</v>
      </c>
      <c r="U297" s="3" t="e">
        <f t="shared" ca="1" si="43"/>
        <v>#VALUE!</v>
      </c>
      <c r="V297" s="73"/>
      <c r="W297" s="9" t="str">
        <f t="shared" si="44"/>
        <v>OK</v>
      </c>
    </row>
    <row r="298" spans="1:23" x14ac:dyDescent="0.3">
      <c r="A298" s="44">
        <v>295</v>
      </c>
      <c r="B298" s="14">
        <v>6</v>
      </c>
      <c r="C298" s="4">
        <v>8</v>
      </c>
      <c r="D298" s="3" t="str">
        <f>VLOOKUP($C298,Overall!$K$5:$T$36,2)</f>
        <v>Overflow</v>
      </c>
      <c r="E298" s="3">
        <f ca="1">VLOOKUP($C298,Overall!$K$5:$T$36,10)</f>
        <v>4.2535303978081149E+38</v>
      </c>
      <c r="F298" s="9" t="str">
        <f>VLOOKUP($C298,Overall!$K$5:$T$36,6)</f>
        <v>01111111101000000000000000000010</v>
      </c>
      <c r="G298" s="8">
        <v>23</v>
      </c>
      <c r="H298" s="3" t="str">
        <f>VLOOKUP($G298,Overall!$K$5:$T$36,2)</f>
        <v>Normal</v>
      </c>
      <c r="I298" s="3">
        <f ca="1">VLOOKUP($G298,Overall!$K$5:$T$36,10)</f>
        <v>3.4028234663852886E+38</v>
      </c>
      <c r="J298" s="62" t="str">
        <f>VLOOKUP($G298,Overall!$K$5:$T$36,6)</f>
        <v>01111111011111111111111111111111</v>
      </c>
      <c r="K298" s="8">
        <f t="shared" ca="1" si="36"/>
        <v>1.4474013052644605E+77</v>
      </c>
      <c r="L298" s="62">
        <f>VLOOKUP($B298,Overall!$B$5:$I$13,8)</f>
        <v>0</v>
      </c>
      <c r="M298" s="58"/>
      <c r="N298" s="3" t="str">
        <f t="shared" si="37"/>
        <v/>
      </c>
      <c r="O298" s="3" t="str">
        <f t="shared" si="38"/>
        <v/>
      </c>
      <c r="P298" s="3" t="str">
        <f t="shared" si="39"/>
        <v/>
      </c>
      <c r="Q298" s="3">
        <f t="shared" si="40"/>
        <v>0</v>
      </c>
      <c r="R298" s="3">
        <f t="shared" si="41"/>
        <v>0</v>
      </c>
      <c r="S298" s="3" t="e" cm="1">
        <f t="array" aca="1" ref="S298" ca="1">SUMPRODUCT(MID($P298,ROW(INDIRECT("1:23")),1)*2^(-ROW(INDIRECT("1:23"))))</f>
        <v>#VALUE!</v>
      </c>
      <c r="T298" s="3" t="e">
        <f t="shared" ca="1" si="42"/>
        <v>#VALUE!</v>
      </c>
      <c r="U298" s="3" t="e">
        <f t="shared" ca="1" si="43"/>
        <v>#VALUE!</v>
      </c>
      <c r="V298" s="73"/>
      <c r="W298" s="9" t="str">
        <f t="shared" si="44"/>
        <v>OK</v>
      </c>
    </row>
    <row r="299" spans="1:23" x14ac:dyDescent="0.3">
      <c r="A299" s="44">
        <v>296</v>
      </c>
      <c r="B299" s="14">
        <v>6</v>
      </c>
      <c r="C299" s="4">
        <v>8</v>
      </c>
      <c r="D299" s="3" t="str">
        <f>VLOOKUP($C299,Overall!$K$5:$T$36,2)</f>
        <v>Overflow</v>
      </c>
      <c r="E299" s="3">
        <f ca="1">VLOOKUP($C299,Overall!$K$5:$T$36,10)</f>
        <v>4.2535303978081149E+38</v>
      </c>
      <c r="F299" s="9" t="str">
        <f>VLOOKUP($C299,Overall!$K$5:$T$36,6)</f>
        <v>01111111101000000000000000000010</v>
      </c>
      <c r="G299" s="8">
        <v>24</v>
      </c>
      <c r="H299" s="3" t="str">
        <f>VLOOKUP($G299,Overall!$K$5:$T$36,2)</f>
        <v>Normal</v>
      </c>
      <c r="I299" s="3">
        <f ca="1">VLOOKUP($G299,Overall!$K$5:$T$36,10)</f>
        <v>-1.1754943508222875E-38</v>
      </c>
      <c r="J299" s="62" t="str">
        <f>VLOOKUP($G299,Overall!$K$5:$T$36,6)</f>
        <v>10000000100000000000000000000000</v>
      </c>
      <c r="K299" s="8">
        <f t="shared" ca="1" si="36"/>
        <v>-5.0000009536743164</v>
      </c>
      <c r="L299" s="62">
        <f>VLOOKUP($B299,Overall!$B$5:$I$13,8)</f>
        <v>0</v>
      </c>
      <c r="M299" s="58"/>
      <c r="N299" s="3" t="str">
        <f t="shared" si="37"/>
        <v/>
      </c>
      <c r="O299" s="3" t="str">
        <f t="shared" si="38"/>
        <v/>
      </c>
      <c r="P299" s="3" t="str">
        <f t="shared" si="39"/>
        <v/>
      </c>
      <c r="Q299" s="3">
        <f t="shared" si="40"/>
        <v>0</v>
      </c>
      <c r="R299" s="3">
        <f t="shared" si="41"/>
        <v>0</v>
      </c>
      <c r="S299" s="3" t="e" cm="1">
        <f t="array" aca="1" ref="S299" ca="1">SUMPRODUCT(MID($P299,ROW(INDIRECT("1:23")),1)*2^(-ROW(INDIRECT("1:23"))))</f>
        <v>#VALUE!</v>
      </c>
      <c r="T299" s="3" t="e">
        <f t="shared" ca="1" si="42"/>
        <v>#VALUE!</v>
      </c>
      <c r="U299" s="3" t="e">
        <f t="shared" ca="1" si="43"/>
        <v>#VALUE!</v>
      </c>
      <c r="V299" s="73"/>
      <c r="W299" s="9" t="str">
        <f t="shared" si="44"/>
        <v>OK</v>
      </c>
    </row>
    <row r="300" spans="1:23" x14ac:dyDescent="0.3">
      <c r="A300" s="44">
        <v>297</v>
      </c>
      <c r="B300" s="14">
        <v>6</v>
      </c>
      <c r="C300" s="4">
        <v>8</v>
      </c>
      <c r="D300" s="3" t="str">
        <f>VLOOKUP($C300,Overall!$K$5:$T$36,2)</f>
        <v>Overflow</v>
      </c>
      <c r="E300" s="3">
        <f ca="1">VLOOKUP($C300,Overall!$K$5:$T$36,10)</f>
        <v>4.2535303978081149E+38</v>
      </c>
      <c r="F300" s="9" t="str">
        <f>VLOOKUP($C300,Overall!$K$5:$T$36,6)</f>
        <v>01111111101000000000000000000010</v>
      </c>
      <c r="G300" s="8">
        <v>25</v>
      </c>
      <c r="H300" s="3" t="str">
        <f>VLOOKUP($G300,Overall!$K$5:$T$36,2)</f>
        <v>Normal</v>
      </c>
      <c r="I300" s="3">
        <f ca="1">VLOOKUP($G300,Overall!$K$5:$T$36,10)</f>
        <v>-1.1754944909521339E-38</v>
      </c>
      <c r="J300" s="62" t="str">
        <f>VLOOKUP($G300,Overall!$K$5:$T$36,6)</f>
        <v>10000000100000000000000000000001</v>
      </c>
      <c r="K300" s="8">
        <f t="shared" ca="1" si="36"/>
        <v>-5.0000015497208778</v>
      </c>
      <c r="L300" s="62">
        <f>VLOOKUP($B300,Overall!$B$5:$I$13,8)</f>
        <v>0</v>
      </c>
      <c r="M300" s="58"/>
      <c r="N300" s="3" t="str">
        <f t="shared" si="37"/>
        <v/>
      </c>
      <c r="O300" s="3" t="str">
        <f t="shared" si="38"/>
        <v/>
      </c>
      <c r="P300" s="3" t="str">
        <f t="shared" si="39"/>
        <v/>
      </c>
      <c r="Q300" s="3">
        <f t="shared" si="40"/>
        <v>0</v>
      </c>
      <c r="R300" s="3">
        <f t="shared" si="41"/>
        <v>0</v>
      </c>
      <c r="S300" s="3" t="e" cm="1">
        <f t="array" aca="1" ref="S300" ca="1">SUMPRODUCT(MID($P300,ROW(INDIRECT("1:23")),1)*2^(-ROW(INDIRECT("1:23"))))</f>
        <v>#VALUE!</v>
      </c>
      <c r="T300" s="3" t="e">
        <f t="shared" ca="1" si="42"/>
        <v>#VALUE!</v>
      </c>
      <c r="U300" s="3" t="e">
        <f t="shared" ca="1" si="43"/>
        <v>#VALUE!</v>
      </c>
      <c r="V300" s="73"/>
      <c r="W300" s="9" t="str">
        <f t="shared" si="44"/>
        <v>OK</v>
      </c>
    </row>
    <row r="301" spans="1:23" x14ac:dyDescent="0.3">
      <c r="A301" s="44">
        <v>298</v>
      </c>
      <c r="B301" s="14">
        <v>6</v>
      </c>
      <c r="C301" s="4">
        <v>8</v>
      </c>
      <c r="D301" s="3" t="str">
        <f>VLOOKUP($C301,Overall!$K$5:$T$36,2)</f>
        <v>Overflow</v>
      </c>
      <c r="E301" s="3">
        <f ca="1">VLOOKUP($C301,Overall!$K$5:$T$36,10)</f>
        <v>4.2535303978081149E+38</v>
      </c>
      <c r="F301" s="9" t="str">
        <f>VLOOKUP($C301,Overall!$K$5:$T$36,6)</f>
        <v>01111111101000000000000000000010</v>
      </c>
      <c r="G301" s="8">
        <v>26</v>
      </c>
      <c r="H301" s="3" t="str">
        <f>VLOOKUP($G301,Overall!$K$5:$T$36,2)</f>
        <v>Normal</v>
      </c>
      <c r="I301" s="3">
        <f ca="1">VLOOKUP($G301,Overall!$K$5:$T$36,10)</f>
        <v>-0.5</v>
      </c>
      <c r="J301" s="62" t="str">
        <f>VLOOKUP($G301,Overall!$K$5:$T$36,6)</f>
        <v>10111111000000000000000000000000</v>
      </c>
      <c r="K301" s="8">
        <f t="shared" ca="1" si="36"/>
        <v>-2.1267651989040575E+38</v>
      </c>
      <c r="L301" s="62">
        <f>VLOOKUP($B301,Overall!$B$5:$I$13,8)</f>
        <v>0</v>
      </c>
      <c r="M301" s="58"/>
      <c r="N301" s="3" t="str">
        <f t="shared" si="37"/>
        <v/>
      </c>
      <c r="O301" s="3" t="str">
        <f t="shared" si="38"/>
        <v/>
      </c>
      <c r="P301" s="3" t="str">
        <f t="shared" si="39"/>
        <v/>
      </c>
      <c r="Q301" s="3">
        <f t="shared" si="40"/>
        <v>0</v>
      </c>
      <c r="R301" s="3">
        <f t="shared" si="41"/>
        <v>0</v>
      </c>
      <c r="S301" s="3" t="e" cm="1">
        <f t="array" aca="1" ref="S301" ca="1">SUMPRODUCT(MID($P301,ROW(INDIRECT("1:23")),1)*2^(-ROW(INDIRECT("1:23"))))</f>
        <v>#VALUE!</v>
      </c>
      <c r="T301" s="3" t="e">
        <f t="shared" ca="1" si="42"/>
        <v>#VALUE!</v>
      </c>
      <c r="U301" s="3" t="e">
        <f t="shared" ca="1" si="43"/>
        <v>#VALUE!</v>
      </c>
      <c r="V301" s="73"/>
      <c r="W301" s="9" t="str">
        <f t="shared" si="44"/>
        <v>OK</v>
      </c>
    </row>
    <row r="302" spans="1:23" x14ac:dyDescent="0.3">
      <c r="A302" s="44">
        <v>299</v>
      </c>
      <c r="B302" s="14">
        <v>6</v>
      </c>
      <c r="C302" s="4">
        <v>8</v>
      </c>
      <c r="D302" s="3" t="str">
        <f>VLOOKUP($C302,Overall!$K$5:$T$36,2)</f>
        <v>Overflow</v>
      </c>
      <c r="E302" s="3">
        <f ca="1">VLOOKUP($C302,Overall!$K$5:$T$36,10)</f>
        <v>4.2535303978081149E+38</v>
      </c>
      <c r="F302" s="9" t="str">
        <f>VLOOKUP($C302,Overall!$K$5:$T$36,6)</f>
        <v>01111111101000000000000000000010</v>
      </c>
      <c r="G302" s="8">
        <v>27</v>
      </c>
      <c r="H302" s="3" t="str">
        <f>VLOOKUP($G302,Overall!$K$5:$T$36,2)</f>
        <v>Normal</v>
      </c>
      <c r="I302" s="3">
        <f ca="1">VLOOKUP($G302,Overall!$K$5:$T$36,10)</f>
        <v>-1</v>
      </c>
      <c r="J302" s="62" t="str">
        <f>VLOOKUP($G302,Overall!$K$5:$T$36,6)</f>
        <v>10111111100000000000000000000000</v>
      </c>
      <c r="K302" s="8">
        <f t="shared" ca="1" si="36"/>
        <v>-4.2535303978081149E+38</v>
      </c>
      <c r="L302" s="62">
        <f>VLOOKUP($B302,Overall!$B$5:$I$13,8)</f>
        <v>0</v>
      </c>
      <c r="M302" s="58"/>
      <c r="N302" s="3" t="str">
        <f t="shared" si="37"/>
        <v/>
      </c>
      <c r="O302" s="3" t="str">
        <f t="shared" si="38"/>
        <v/>
      </c>
      <c r="P302" s="3" t="str">
        <f t="shared" si="39"/>
        <v/>
      </c>
      <c r="Q302" s="3">
        <f t="shared" si="40"/>
        <v>0</v>
      </c>
      <c r="R302" s="3">
        <f t="shared" si="41"/>
        <v>0</v>
      </c>
      <c r="S302" s="3" t="e" cm="1">
        <f t="array" aca="1" ref="S302" ca="1">SUMPRODUCT(MID($P302,ROW(INDIRECT("1:23")),1)*2^(-ROW(INDIRECT("1:23"))))</f>
        <v>#VALUE!</v>
      </c>
      <c r="T302" s="3" t="e">
        <f t="shared" ca="1" si="42"/>
        <v>#VALUE!</v>
      </c>
      <c r="U302" s="3" t="e">
        <f t="shared" ca="1" si="43"/>
        <v>#VALUE!</v>
      </c>
      <c r="V302" s="73"/>
      <c r="W302" s="9" t="str">
        <f t="shared" si="44"/>
        <v>OK</v>
      </c>
    </row>
    <row r="303" spans="1:23" x14ac:dyDescent="0.3">
      <c r="A303" s="44">
        <v>300</v>
      </c>
      <c r="B303" s="14">
        <v>6</v>
      </c>
      <c r="C303" s="4">
        <v>8</v>
      </c>
      <c r="D303" s="3" t="str">
        <f>VLOOKUP($C303,Overall!$K$5:$T$36,2)</f>
        <v>Overflow</v>
      </c>
      <c r="E303" s="3">
        <f ca="1">VLOOKUP($C303,Overall!$K$5:$T$36,10)</f>
        <v>4.2535303978081149E+38</v>
      </c>
      <c r="F303" s="9" t="str">
        <f>VLOOKUP($C303,Overall!$K$5:$T$36,6)</f>
        <v>01111111101000000000000000000010</v>
      </c>
      <c r="G303" s="8">
        <v>28</v>
      </c>
      <c r="H303" s="3" t="str">
        <f>VLOOKUP($G303,Overall!$K$5:$T$36,2)</f>
        <v>Normal</v>
      </c>
      <c r="I303" s="3">
        <f ca="1">VLOOKUP($G303,Overall!$K$5:$T$36,10)</f>
        <v>-1.5</v>
      </c>
      <c r="J303" s="62" t="str">
        <f>VLOOKUP($G303,Overall!$K$5:$T$36,6)</f>
        <v>10111111110000000000000000000000</v>
      </c>
      <c r="K303" s="8">
        <f t="shared" ca="1" si="36"/>
        <v>-6.3802955967121724E+38</v>
      </c>
      <c r="L303" s="62">
        <f>VLOOKUP($B303,Overall!$B$5:$I$13,8)</f>
        <v>0</v>
      </c>
      <c r="M303" s="58"/>
      <c r="N303" s="3" t="str">
        <f t="shared" si="37"/>
        <v/>
      </c>
      <c r="O303" s="3" t="str">
        <f t="shared" si="38"/>
        <v/>
      </c>
      <c r="P303" s="3" t="str">
        <f t="shared" si="39"/>
        <v/>
      </c>
      <c r="Q303" s="3">
        <f t="shared" si="40"/>
        <v>0</v>
      </c>
      <c r="R303" s="3">
        <f t="shared" si="41"/>
        <v>0</v>
      </c>
      <c r="S303" s="3" t="e" cm="1">
        <f t="array" aca="1" ref="S303" ca="1">SUMPRODUCT(MID($P303,ROW(INDIRECT("1:23")),1)*2^(-ROW(INDIRECT("1:23"))))</f>
        <v>#VALUE!</v>
      </c>
      <c r="T303" s="3" t="e">
        <f t="shared" ca="1" si="42"/>
        <v>#VALUE!</v>
      </c>
      <c r="U303" s="3" t="e">
        <f t="shared" ca="1" si="43"/>
        <v>#VALUE!</v>
      </c>
      <c r="V303" s="73"/>
      <c r="W303" s="9" t="str">
        <f t="shared" si="44"/>
        <v>OK</v>
      </c>
    </row>
    <row r="304" spans="1:23" x14ac:dyDescent="0.3">
      <c r="A304" s="44">
        <v>301</v>
      </c>
      <c r="B304" s="14">
        <v>6</v>
      </c>
      <c r="C304" s="4">
        <v>8</v>
      </c>
      <c r="D304" s="3" t="str">
        <f>VLOOKUP($C304,Overall!$K$5:$T$36,2)</f>
        <v>Overflow</v>
      </c>
      <c r="E304" s="3">
        <f ca="1">VLOOKUP($C304,Overall!$K$5:$T$36,10)</f>
        <v>4.2535303978081149E+38</v>
      </c>
      <c r="F304" s="9" t="str">
        <f>VLOOKUP($C304,Overall!$K$5:$T$36,6)</f>
        <v>01111111101000000000000000000010</v>
      </c>
      <c r="G304" s="8">
        <v>29</v>
      </c>
      <c r="H304" s="3" t="str">
        <f>VLOOKUP($G304,Overall!$K$5:$T$36,2)</f>
        <v>Normal</v>
      </c>
      <c r="I304" s="3">
        <f ca="1">VLOOKUP($G304,Overall!$K$5:$T$36,10)</f>
        <v>-12345.6787109375</v>
      </c>
      <c r="J304" s="62" t="str">
        <f>VLOOKUP($G304,Overall!$K$5:$T$36,6)</f>
        <v>101000110010000001110011010110111</v>
      </c>
      <c r="K304" s="8">
        <f t="shared" ca="1" si="36"/>
        <v>-5.251271967854516E+42</v>
      </c>
      <c r="L304" s="62">
        <f>VLOOKUP($B304,Overall!$B$5:$I$13,8)</f>
        <v>0</v>
      </c>
      <c r="M304" s="58"/>
      <c r="N304" s="3" t="str">
        <f t="shared" si="37"/>
        <v/>
      </c>
      <c r="O304" s="3" t="str">
        <f t="shared" si="38"/>
        <v/>
      </c>
      <c r="P304" s="3" t="str">
        <f t="shared" si="39"/>
        <v/>
      </c>
      <c r="Q304" s="3">
        <f t="shared" si="40"/>
        <v>0</v>
      </c>
      <c r="R304" s="3">
        <f t="shared" si="41"/>
        <v>0</v>
      </c>
      <c r="S304" s="3" t="e" cm="1">
        <f t="array" aca="1" ref="S304" ca="1">SUMPRODUCT(MID($P304,ROW(INDIRECT("1:23")),1)*2^(-ROW(INDIRECT("1:23"))))</f>
        <v>#VALUE!</v>
      </c>
      <c r="T304" s="3" t="e">
        <f t="shared" ca="1" si="42"/>
        <v>#VALUE!</v>
      </c>
      <c r="U304" s="3" t="e">
        <f t="shared" ca="1" si="43"/>
        <v>#VALUE!</v>
      </c>
      <c r="V304" s="73"/>
      <c r="W304" s="9" t="str">
        <f t="shared" si="44"/>
        <v>OK</v>
      </c>
    </row>
    <row r="305" spans="1:23" x14ac:dyDescent="0.3">
      <c r="A305" s="44">
        <v>302</v>
      </c>
      <c r="B305" s="14">
        <v>6</v>
      </c>
      <c r="C305" s="4">
        <v>8</v>
      </c>
      <c r="D305" s="3" t="str">
        <f>VLOOKUP($C305,Overall!$K$5:$T$36,2)</f>
        <v>Overflow</v>
      </c>
      <c r="E305" s="3">
        <f ca="1">VLOOKUP($C305,Overall!$K$5:$T$36,10)</f>
        <v>4.2535303978081149E+38</v>
      </c>
      <c r="F305" s="9" t="str">
        <f>VLOOKUP($C305,Overall!$K$5:$T$36,6)</f>
        <v>01111111101000000000000000000010</v>
      </c>
      <c r="G305" s="8">
        <v>30</v>
      </c>
      <c r="H305" s="3" t="str">
        <f>VLOOKUP($G305,Overall!$K$5:$T$36,2)</f>
        <v>Normal</v>
      </c>
      <c r="I305" s="3">
        <f ca="1">VLOOKUP($G305,Overall!$K$5:$T$36,10)</f>
        <v>-2.345678924830959E+38</v>
      </c>
      <c r="J305" s="62" t="str">
        <f>VLOOKUP($G305,Overall!$K$5:$T$36,6)</f>
        <v>11111111001100000111100000100010</v>
      </c>
      <c r="K305" s="8">
        <f t="shared" ca="1" si="36"/>
        <v>-9.9774166102663403E+76</v>
      </c>
      <c r="L305" s="62">
        <f>VLOOKUP($B305,Overall!$B$5:$I$13,8)</f>
        <v>0</v>
      </c>
      <c r="M305" s="58"/>
      <c r="N305" s="3" t="str">
        <f t="shared" si="37"/>
        <v/>
      </c>
      <c r="O305" s="3" t="str">
        <f t="shared" si="38"/>
        <v/>
      </c>
      <c r="P305" s="3" t="str">
        <f t="shared" si="39"/>
        <v/>
      </c>
      <c r="Q305" s="3">
        <f t="shared" si="40"/>
        <v>0</v>
      </c>
      <c r="R305" s="3">
        <f t="shared" si="41"/>
        <v>0</v>
      </c>
      <c r="S305" s="3" t="e" cm="1">
        <f t="array" aca="1" ref="S305" ca="1">SUMPRODUCT(MID($P305,ROW(INDIRECT("1:23")),1)*2^(-ROW(INDIRECT("1:23"))))</f>
        <v>#VALUE!</v>
      </c>
      <c r="T305" s="3" t="e">
        <f t="shared" ca="1" si="42"/>
        <v>#VALUE!</v>
      </c>
      <c r="U305" s="3" t="e">
        <f t="shared" ca="1" si="43"/>
        <v>#VALUE!</v>
      </c>
      <c r="V305" s="73"/>
      <c r="W305" s="9" t="str">
        <f t="shared" si="44"/>
        <v>OK</v>
      </c>
    </row>
    <row r="306" spans="1:23" x14ac:dyDescent="0.3">
      <c r="A306" s="44">
        <v>303</v>
      </c>
      <c r="B306" s="14">
        <v>6</v>
      </c>
      <c r="C306" s="4">
        <v>8</v>
      </c>
      <c r="D306" s="3" t="str">
        <f>VLOOKUP($C306,Overall!$K$5:$T$36,2)</f>
        <v>Overflow</v>
      </c>
      <c r="E306" s="3">
        <f ca="1">VLOOKUP($C306,Overall!$K$5:$T$36,10)</f>
        <v>4.2535303978081149E+38</v>
      </c>
      <c r="F306" s="9" t="str">
        <f>VLOOKUP($C306,Overall!$K$5:$T$36,6)</f>
        <v>01111111101000000000000000000010</v>
      </c>
      <c r="G306" s="8">
        <v>31</v>
      </c>
      <c r="H306" s="3" t="str">
        <f>VLOOKUP($G306,Overall!$K$5:$T$36,2)</f>
        <v>Normal</v>
      </c>
      <c r="I306" s="3">
        <f ca="1">VLOOKUP($G306,Overall!$K$5:$T$36,10)</f>
        <v>-3.4028232635611926E+38</v>
      </c>
      <c r="J306" s="62" t="str">
        <f>VLOOKUP($G306,Overall!$K$5:$T$36,6)</f>
        <v>11111111011111111111111111111110</v>
      </c>
      <c r="K306" s="8">
        <f t="shared" ca="1" si="36"/>
        <v>-1.4474012189926147E+77</v>
      </c>
      <c r="L306" s="62">
        <f>VLOOKUP($B306,Overall!$B$5:$I$13,8)</f>
        <v>0</v>
      </c>
      <c r="M306" s="58"/>
      <c r="N306" s="3" t="str">
        <f t="shared" si="37"/>
        <v/>
      </c>
      <c r="O306" s="3" t="str">
        <f t="shared" si="38"/>
        <v/>
      </c>
      <c r="P306" s="3" t="str">
        <f t="shared" si="39"/>
        <v/>
      </c>
      <c r="Q306" s="3">
        <f t="shared" si="40"/>
        <v>0</v>
      </c>
      <c r="R306" s="3">
        <f t="shared" si="41"/>
        <v>0</v>
      </c>
      <c r="S306" s="3" t="e" cm="1">
        <f t="array" aca="1" ref="S306" ca="1">SUMPRODUCT(MID($P306,ROW(INDIRECT("1:23")),1)*2^(-ROW(INDIRECT("1:23"))))</f>
        <v>#VALUE!</v>
      </c>
      <c r="T306" s="3" t="e">
        <f t="shared" ca="1" si="42"/>
        <v>#VALUE!</v>
      </c>
      <c r="U306" s="3" t="e">
        <f t="shared" ca="1" si="43"/>
        <v>#VALUE!</v>
      </c>
      <c r="V306" s="73"/>
      <c r="W306" s="9" t="str">
        <f t="shared" si="44"/>
        <v>OK</v>
      </c>
    </row>
    <row r="307" spans="1:23" x14ac:dyDescent="0.3">
      <c r="A307" s="44">
        <v>304</v>
      </c>
      <c r="B307" s="14">
        <v>6</v>
      </c>
      <c r="C307" s="4">
        <v>8</v>
      </c>
      <c r="D307" s="3" t="str">
        <f>VLOOKUP($C307,Overall!$K$5:$T$36,2)</f>
        <v>Overflow</v>
      </c>
      <c r="E307" s="3">
        <f ca="1">VLOOKUP($C307,Overall!$K$5:$T$36,10)</f>
        <v>4.2535303978081149E+38</v>
      </c>
      <c r="F307" s="9" t="str">
        <f>VLOOKUP($C307,Overall!$K$5:$T$36,6)</f>
        <v>01111111101000000000000000000010</v>
      </c>
      <c r="G307" s="8">
        <v>32</v>
      </c>
      <c r="H307" s="3" t="str">
        <f>VLOOKUP($G307,Overall!$K$5:$T$36,2)</f>
        <v>Normal</v>
      </c>
      <c r="I307" s="3">
        <f ca="1">VLOOKUP($G307,Overall!$K$5:$T$36,10)</f>
        <v>-3.4028234663852886E+38</v>
      </c>
      <c r="J307" s="62" t="str">
        <f>VLOOKUP($G307,Overall!$K$5:$T$36,6)</f>
        <v>11111111011111111111111111111111</v>
      </c>
      <c r="K307" s="8">
        <f t="shared" ca="1" si="36"/>
        <v>-1.4474013052644605E+77</v>
      </c>
      <c r="L307" s="62">
        <f>VLOOKUP($B307,Overall!$B$5:$I$13,8)</f>
        <v>0</v>
      </c>
      <c r="M307" s="58"/>
      <c r="N307" s="3" t="str">
        <f t="shared" si="37"/>
        <v/>
      </c>
      <c r="O307" s="3" t="str">
        <f t="shared" si="38"/>
        <v/>
      </c>
      <c r="P307" s="3" t="str">
        <f t="shared" si="39"/>
        <v/>
      </c>
      <c r="Q307" s="3">
        <f t="shared" si="40"/>
        <v>0</v>
      </c>
      <c r="R307" s="3">
        <f t="shared" si="41"/>
        <v>0</v>
      </c>
      <c r="S307" s="3" t="e" cm="1">
        <f t="array" aca="1" ref="S307" ca="1">SUMPRODUCT(MID($P307,ROW(INDIRECT("1:23")),1)*2^(-ROW(INDIRECT("1:23"))))</f>
        <v>#VALUE!</v>
      </c>
      <c r="T307" s="3" t="e">
        <f t="shared" ca="1" si="42"/>
        <v>#VALUE!</v>
      </c>
      <c r="U307" s="3" t="e">
        <f t="shared" ca="1" si="43"/>
        <v>#VALUE!</v>
      </c>
      <c r="V307" s="73"/>
      <c r="W307" s="9" t="str">
        <f t="shared" si="44"/>
        <v>OK</v>
      </c>
    </row>
    <row r="308" spans="1:23" x14ac:dyDescent="0.3">
      <c r="A308" s="44">
        <v>305</v>
      </c>
      <c r="B308" s="14">
        <v>6</v>
      </c>
      <c r="C308" s="4">
        <v>9</v>
      </c>
      <c r="D308" s="3" t="str">
        <f>VLOOKUP($C308,Overall!$K$5:$T$36,2)</f>
        <v>Overflow</v>
      </c>
      <c r="E308" s="3">
        <f ca="1">VLOOKUP($C308,Overall!$K$5:$T$36,10)</f>
        <v>6.8056469327705772E+38</v>
      </c>
      <c r="F308" s="9" t="str">
        <f>VLOOKUP($C308,Overall!$K$5:$T$36,6)</f>
        <v>01111111111111111111111111111111</v>
      </c>
      <c r="G308" s="8">
        <v>13</v>
      </c>
      <c r="H308" s="3" t="str">
        <f>VLOOKUP($G308,Overall!$K$5:$T$36,2)</f>
        <v>Normal</v>
      </c>
      <c r="I308" s="3">
        <f ca="1">VLOOKUP($G308,Overall!$K$5:$T$36,10)</f>
        <v>0</v>
      </c>
      <c r="J308" s="62" t="str">
        <f>VLOOKUP($G308,Overall!$K$5:$T$36,6)</f>
        <v>00000000000000000000000000000000</v>
      </c>
      <c r="K308" s="8">
        <f t="shared" ca="1" si="36"/>
        <v>0</v>
      </c>
      <c r="L308" s="62">
        <f>VLOOKUP($B308,Overall!$B$5:$I$13,8)</f>
        <v>0</v>
      </c>
      <c r="M308" s="58"/>
      <c r="N308" s="3" t="str">
        <f t="shared" si="37"/>
        <v/>
      </c>
      <c r="O308" s="3" t="str">
        <f t="shared" si="38"/>
        <v/>
      </c>
      <c r="P308" s="3" t="str">
        <f t="shared" si="39"/>
        <v/>
      </c>
      <c r="Q308" s="3">
        <f t="shared" si="40"/>
        <v>0</v>
      </c>
      <c r="R308" s="3">
        <f t="shared" si="41"/>
        <v>0</v>
      </c>
      <c r="S308" s="3" t="e" cm="1">
        <f t="array" aca="1" ref="S308" ca="1">SUMPRODUCT(MID($P308,ROW(INDIRECT("1:23")),1)*2^(-ROW(INDIRECT("1:23"))))</f>
        <v>#VALUE!</v>
      </c>
      <c r="T308" s="3" t="e">
        <f t="shared" ca="1" si="42"/>
        <v>#VALUE!</v>
      </c>
      <c r="U308" s="3" t="e">
        <f t="shared" ca="1" si="43"/>
        <v>#VALUE!</v>
      </c>
      <c r="V308" s="73"/>
      <c r="W308" s="9" t="str">
        <f t="shared" si="44"/>
        <v>OK</v>
      </c>
    </row>
    <row r="309" spans="1:23" x14ac:dyDescent="0.3">
      <c r="A309" s="44">
        <v>306</v>
      </c>
      <c r="B309" s="14">
        <v>6</v>
      </c>
      <c r="C309" s="4">
        <v>9</v>
      </c>
      <c r="D309" s="3" t="str">
        <f>VLOOKUP($C309,Overall!$K$5:$T$36,2)</f>
        <v>Overflow</v>
      </c>
      <c r="E309" s="3">
        <f ca="1">VLOOKUP($C309,Overall!$K$5:$T$36,10)</f>
        <v>6.8056469327705772E+38</v>
      </c>
      <c r="F309" s="9" t="str">
        <f>VLOOKUP($C309,Overall!$K$5:$T$36,6)</f>
        <v>01111111111111111111111111111111</v>
      </c>
      <c r="G309" s="8">
        <v>14</v>
      </c>
      <c r="H309" s="3" t="str">
        <f>VLOOKUP($G309,Overall!$K$5:$T$36,2)</f>
        <v>Normal</v>
      </c>
      <c r="I309" s="3">
        <f ca="1">VLOOKUP($G309,Overall!$K$5:$T$36,10)</f>
        <v>0</v>
      </c>
      <c r="J309" s="62" t="str">
        <f>VLOOKUP($G309,Overall!$K$5:$T$36,6)</f>
        <v>10000000000000000000000000000000</v>
      </c>
      <c r="K309" s="8">
        <f t="shared" ca="1" si="36"/>
        <v>0</v>
      </c>
      <c r="L309" s="62">
        <f>VLOOKUP($B309,Overall!$B$5:$I$13,8)</f>
        <v>0</v>
      </c>
      <c r="M309" s="58"/>
      <c r="N309" s="3" t="str">
        <f t="shared" si="37"/>
        <v/>
      </c>
      <c r="O309" s="3" t="str">
        <f t="shared" si="38"/>
        <v/>
      </c>
      <c r="P309" s="3" t="str">
        <f t="shared" si="39"/>
        <v/>
      </c>
      <c r="Q309" s="3">
        <f t="shared" si="40"/>
        <v>0</v>
      </c>
      <c r="R309" s="3">
        <f t="shared" si="41"/>
        <v>0</v>
      </c>
      <c r="S309" s="3" t="e" cm="1">
        <f t="array" aca="1" ref="S309" ca="1">SUMPRODUCT(MID($P309,ROW(INDIRECT("1:23")),1)*2^(-ROW(INDIRECT("1:23"))))</f>
        <v>#VALUE!</v>
      </c>
      <c r="T309" s="3" t="e">
        <f t="shared" ca="1" si="42"/>
        <v>#VALUE!</v>
      </c>
      <c r="U309" s="3" t="e">
        <f t="shared" ca="1" si="43"/>
        <v>#VALUE!</v>
      </c>
      <c r="V309" s="73"/>
      <c r="W309" s="9" t="str">
        <f t="shared" si="44"/>
        <v>OK</v>
      </c>
    </row>
    <row r="310" spans="1:23" x14ac:dyDescent="0.3">
      <c r="A310" s="44">
        <v>307</v>
      </c>
      <c r="B310" s="14">
        <v>6</v>
      </c>
      <c r="C310" s="4">
        <v>9</v>
      </c>
      <c r="D310" s="3" t="str">
        <f>VLOOKUP($C310,Overall!$K$5:$T$36,2)</f>
        <v>Overflow</v>
      </c>
      <c r="E310" s="3">
        <f ca="1">VLOOKUP($C310,Overall!$K$5:$T$36,10)</f>
        <v>6.8056469327705772E+38</v>
      </c>
      <c r="F310" s="9" t="str">
        <f>VLOOKUP($C310,Overall!$K$5:$T$36,6)</f>
        <v>01111111111111111111111111111111</v>
      </c>
      <c r="G310" s="8">
        <v>15</v>
      </c>
      <c r="H310" s="3" t="str">
        <f>VLOOKUP($G310,Overall!$K$5:$T$36,2)</f>
        <v>Normal</v>
      </c>
      <c r="I310" s="3">
        <f ca="1">VLOOKUP($G310,Overall!$K$5:$T$36,10)</f>
        <v>1.1754943508222875E-38</v>
      </c>
      <c r="J310" s="62" t="str">
        <f>VLOOKUP($G310,Overall!$K$5:$T$36,6)</f>
        <v>00000000100000000000000000000000</v>
      </c>
      <c r="K310" s="8">
        <f t="shared" ca="1" si="36"/>
        <v>7.9999995231628418</v>
      </c>
      <c r="L310" s="62">
        <f>VLOOKUP($B310,Overall!$B$5:$I$13,8)</f>
        <v>0</v>
      </c>
      <c r="M310" s="58"/>
      <c r="N310" s="3" t="str">
        <f t="shared" si="37"/>
        <v/>
      </c>
      <c r="O310" s="3" t="str">
        <f t="shared" si="38"/>
        <v/>
      </c>
      <c r="P310" s="3" t="str">
        <f t="shared" si="39"/>
        <v/>
      </c>
      <c r="Q310" s="3">
        <f t="shared" si="40"/>
        <v>0</v>
      </c>
      <c r="R310" s="3">
        <f t="shared" si="41"/>
        <v>0</v>
      </c>
      <c r="S310" s="3" t="e" cm="1">
        <f t="array" aca="1" ref="S310" ca="1">SUMPRODUCT(MID($P310,ROW(INDIRECT("1:23")),1)*2^(-ROW(INDIRECT("1:23"))))</f>
        <v>#VALUE!</v>
      </c>
      <c r="T310" s="3" t="e">
        <f t="shared" ca="1" si="42"/>
        <v>#VALUE!</v>
      </c>
      <c r="U310" s="3" t="e">
        <f t="shared" ca="1" si="43"/>
        <v>#VALUE!</v>
      </c>
      <c r="V310" s="73"/>
      <c r="W310" s="9" t="str">
        <f t="shared" si="44"/>
        <v>OK</v>
      </c>
    </row>
    <row r="311" spans="1:23" x14ac:dyDescent="0.3">
      <c r="A311" s="44">
        <v>308</v>
      </c>
      <c r="B311" s="14">
        <v>6</v>
      </c>
      <c r="C311" s="4">
        <v>9</v>
      </c>
      <c r="D311" s="3" t="str">
        <f>VLOOKUP($C311,Overall!$K$5:$T$36,2)</f>
        <v>Overflow</v>
      </c>
      <c r="E311" s="3">
        <f ca="1">VLOOKUP($C311,Overall!$K$5:$T$36,10)</f>
        <v>6.8056469327705772E+38</v>
      </c>
      <c r="F311" s="9" t="str">
        <f>VLOOKUP($C311,Overall!$K$5:$T$36,6)</f>
        <v>01111111111111111111111111111111</v>
      </c>
      <c r="G311" s="8">
        <v>16</v>
      </c>
      <c r="H311" s="3" t="str">
        <f>VLOOKUP($G311,Overall!$K$5:$T$36,2)</f>
        <v>Normal</v>
      </c>
      <c r="I311" s="3">
        <f ca="1">VLOOKUP($G311,Overall!$K$5:$T$36,10)</f>
        <v>1.1754944909521339E-38</v>
      </c>
      <c r="J311" s="62" t="str">
        <f>VLOOKUP($G311,Overall!$K$5:$T$36,6)</f>
        <v>00000000100000000000000000000001</v>
      </c>
      <c r="K311" s="8">
        <f t="shared" ca="1" si="36"/>
        <v>8.0000004768371014</v>
      </c>
      <c r="L311" s="62">
        <f>VLOOKUP($B311,Overall!$B$5:$I$13,8)</f>
        <v>0</v>
      </c>
      <c r="M311" s="58"/>
      <c r="N311" s="3" t="str">
        <f t="shared" si="37"/>
        <v/>
      </c>
      <c r="O311" s="3" t="str">
        <f t="shared" si="38"/>
        <v/>
      </c>
      <c r="P311" s="3" t="str">
        <f t="shared" si="39"/>
        <v/>
      </c>
      <c r="Q311" s="3">
        <f t="shared" si="40"/>
        <v>0</v>
      </c>
      <c r="R311" s="3">
        <f t="shared" si="41"/>
        <v>0</v>
      </c>
      <c r="S311" s="3" t="e" cm="1">
        <f t="array" aca="1" ref="S311" ca="1">SUMPRODUCT(MID($P311,ROW(INDIRECT("1:23")),1)*2^(-ROW(INDIRECT("1:23"))))</f>
        <v>#VALUE!</v>
      </c>
      <c r="T311" s="3" t="e">
        <f t="shared" ca="1" si="42"/>
        <v>#VALUE!</v>
      </c>
      <c r="U311" s="3" t="e">
        <f t="shared" ca="1" si="43"/>
        <v>#VALUE!</v>
      </c>
      <c r="V311" s="73"/>
      <c r="W311" s="9" t="str">
        <f t="shared" si="44"/>
        <v>OK</v>
      </c>
    </row>
    <row r="312" spans="1:23" x14ac:dyDescent="0.3">
      <c r="A312" s="44">
        <v>309</v>
      </c>
      <c r="B312" s="14">
        <v>6</v>
      </c>
      <c r="C312" s="4">
        <v>9</v>
      </c>
      <c r="D312" s="3" t="str">
        <f>VLOOKUP($C312,Overall!$K$5:$T$36,2)</f>
        <v>Overflow</v>
      </c>
      <c r="E312" s="3">
        <f ca="1">VLOOKUP($C312,Overall!$K$5:$T$36,10)</f>
        <v>6.8056469327705772E+38</v>
      </c>
      <c r="F312" s="9" t="str">
        <f>VLOOKUP($C312,Overall!$K$5:$T$36,6)</f>
        <v>01111111111111111111111111111111</v>
      </c>
      <c r="G312" s="8">
        <v>17</v>
      </c>
      <c r="H312" s="3" t="str">
        <f>VLOOKUP($G312,Overall!$K$5:$T$36,2)</f>
        <v>Normal</v>
      </c>
      <c r="I312" s="3">
        <f ca="1">VLOOKUP($G312,Overall!$K$5:$T$36,10)</f>
        <v>0.5</v>
      </c>
      <c r="J312" s="62" t="str">
        <f>VLOOKUP($G312,Overall!$K$5:$T$36,6)</f>
        <v>00111111000000000000000000000000</v>
      </c>
      <c r="K312" s="8">
        <f t="shared" ca="1" si="36"/>
        <v>3.4028234663852886E+38</v>
      </c>
      <c r="L312" s="62">
        <f>VLOOKUP($B312,Overall!$B$5:$I$13,8)</f>
        <v>0</v>
      </c>
      <c r="M312" s="58"/>
      <c r="N312" s="3" t="str">
        <f t="shared" si="37"/>
        <v/>
      </c>
      <c r="O312" s="3" t="str">
        <f t="shared" si="38"/>
        <v/>
      </c>
      <c r="P312" s="3" t="str">
        <f t="shared" si="39"/>
        <v/>
      </c>
      <c r="Q312" s="3">
        <f t="shared" si="40"/>
        <v>0</v>
      </c>
      <c r="R312" s="3">
        <f t="shared" si="41"/>
        <v>0</v>
      </c>
      <c r="S312" s="3" t="e" cm="1">
        <f t="array" aca="1" ref="S312" ca="1">SUMPRODUCT(MID($P312,ROW(INDIRECT("1:23")),1)*2^(-ROW(INDIRECT("1:23"))))</f>
        <v>#VALUE!</v>
      </c>
      <c r="T312" s="3" t="e">
        <f t="shared" ca="1" si="42"/>
        <v>#VALUE!</v>
      </c>
      <c r="U312" s="3" t="e">
        <f t="shared" ca="1" si="43"/>
        <v>#VALUE!</v>
      </c>
      <c r="V312" s="73"/>
      <c r="W312" s="9" t="str">
        <f t="shared" si="44"/>
        <v>OK</v>
      </c>
    </row>
    <row r="313" spans="1:23" x14ac:dyDescent="0.3">
      <c r="A313" s="44">
        <v>310</v>
      </c>
      <c r="B313" s="14">
        <v>6</v>
      </c>
      <c r="C313" s="4">
        <v>9</v>
      </c>
      <c r="D313" s="3" t="str">
        <f>VLOOKUP($C313,Overall!$K$5:$T$36,2)</f>
        <v>Overflow</v>
      </c>
      <c r="E313" s="3">
        <f ca="1">VLOOKUP($C313,Overall!$K$5:$T$36,10)</f>
        <v>6.8056469327705772E+38</v>
      </c>
      <c r="F313" s="9" t="str">
        <f>VLOOKUP($C313,Overall!$K$5:$T$36,6)</f>
        <v>01111111111111111111111111111111</v>
      </c>
      <c r="G313" s="8">
        <v>18</v>
      </c>
      <c r="H313" s="3" t="str">
        <f>VLOOKUP($G313,Overall!$K$5:$T$36,2)</f>
        <v>Normal</v>
      </c>
      <c r="I313" s="3">
        <f ca="1">VLOOKUP($G313,Overall!$K$5:$T$36,10)</f>
        <v>1</v>
      </c>
      <c r="J313" s="62" t="str">
        <f>VLOOKUP($G313,Overall!$K$5:$T$36,6)</f>
        <v>00111111100000000000000000000000</v>
      </c>
      <c r="K313" s="8">
        <f t="shared" ca="1" si="36"/>
        <v>6.8056469327705772E+38</v>
      </c>
      <c r="L313" s="62">
        <f>VLOOKUP($B313,Overall!$B$5:$I$13,8)</f>
        <v>0</v>
      </c>
      <c r="M313" s="58"/>
      <c r="N313" s="3" t="str">
        <f t="shared" si="37"/>
        <v/>
      </c>
      <c r="O313" s="3" t="str">
        <f t="shared" si="38"/>
        <v/>
      </c>
      <c r="P313" s="3" t="str">
        <f t="shared" si="39"/>
        <v/>
      </c>
      <c r="Q313" s="3">
        <f t="shared" si="40"/>
        <v>0</v>
      </c>
      <c r="R313" s="3">
        <f t="shared" si="41"/>
        <v>0</v>
      </c>
      <c r="S313" s="3" t="e" cm="1">
        <f t="array" aca="1" ref="S313" ca="1">SUMPRODUCT(MID($P313,ROW(INDIRECT("1:23")),1)*2^(-ROW(INDIRECT("1:23"))))</f>
        <v>#VALUE!</v>
      </c>
      <c r="T313" s="3" t="e">
        <f t="shared" ca="1" si="42"/>
        <v>#VALUE!</v>
      </c>
      <c r="U313" s="3" t="e">
        <f t="shared" ca="1" si="43"/>
        <v>#VALUE!</v>
      </c>
      <c r="V313" s="73"/>
      <c r="W313" s="9" t="str">
        <f t="shared" si="44"/>
        <v>OK</v>
      </c>
    </row>
    <row r="314" spans="1:23" x14ac:dyDescent="0.3">
      <c r="A314" s="44">
        <v>311</v>
      </c>
      <c r="B314" s="14">
        <v>6</v>
      </c>
      <c r="C314" s="4">
        <v>9</v>
      </c>
      <c r="D314" s="3" t="str">
        <f>VLOOKUP($C314,Overall!$K$5:$T$36,2)</f>
        <v>Overflow</v>
      </c>
      <c r="E314" s="3">
        <f ca="1">VLOOKUP($C314,Overall!$K$5:$T$36,10)</f>
        <v>6.8056469327705772E+38</v>
      </c>
      <c r="F314" s="9" t="str">
        <f>VLOOKUP($C314,Overall!$K$5:$T$36,6)</f>
        <v>01111111111111111111111111111111</v>
      </c>
      <c r="G314" s="8">
        <v>19</v>
      </c>
      <c r="H314" s="3" t="str">
        <f>VLOOKUP($G314,Overall!$K$5:$T$36,2)</f>
        <v>Normal</v>
      </c>
      <c r="I314" s="3">
        <f ca="1">VLOOKUP($G314,Overall!$K$5:$T$36,10)</f>
        <v>1.5</v>
      </c>
      <c r="J314" s="62" t="str">
        <f>VLOOKUP($G314,Overall!$K$5:$T$36,6)</f>
        <v>00111111110000000000000000000000</v>
      </c>
      <c r="K314" s="8">
        <f t="shared" ca="1" si="36"/>
        <v>1.0208470399155866E+39</v>
      </c>
      <c r="L314" s="62">
        <f>VLOOKUP($B314,Overall!$B$5:$I$13,8)</f>
        <v>0</v>
      </c>
      <c r="M314" s="58"/>
      <c r="N314" s="3" t="str">
        <f t="shared" si="37"/>
        <v/>
      </c>
      <c r="O314" s="3" t="str">
        <f t="shared" si="38"/>
        <v/>
      </c>
      <c r="P314" s="3" t="str">
        <f t="shared" si="39"/>
        <v/>
      </c>
      <c r="Q314" s="3">
        <f t="shared" si="40"/>
        <v>0</v>
      </c>
      <c r="R314" s="3">
        <f t="shared" si="41"/>
        <v>0</v>
      </c>
      <c r="S314" s="3" t="e" cm="1">
        <f t="array" aca="1" ref="S314" ca="1">SUMPRODUCT(MID($P314,ROW(INDIRECT("1:23")),1)*2^(-ROW(INDIRECT("1:23"))))</f>
        <v>#VALUE!</v>
      </c>
      <c r="T314" s="3" t="e">
        <f t="shared" ca="1" si="42"/>
        <v>#VALUE!</v>
      </c>
      <c r="U314" s="3" t="e">
        <f t="shared" ca="1" si="43"/>
        <v>#VALUE!</v>
      </c>
      <c r="V314" s="73"/>
      <c r="W314" s="9" t="str">
        <f t="shared" si="44"/>
        <v>OK</v>
      </c>
    </row>
    <row r="315" spans="1:23" x14ac:dyDescent="0.3">
      <c r="A315" s="44">
        <v>312</v>
      </c>
      <c r="B315" s="14">
        <v>6</v>
      </c>
      <c r="C315" s="4">
        <v>9</v>
      </c>
      <c r="D315" s="3" t="str">
        <f>VLOOKUP($C315,Overall!$K$5:$T$36,2)</f>
        <v>Overflow</v>
      </c>
      <c r="E315" s="3">
        <f ca="1">VLOOKUP($C315,Overall!$K$5:$T$36,10)</f>
        <v>6.8056469327705772E+38</v>
      </c>
      <c r="F315" s="9" t="str">
        <f>VLOOKUP($C315,Overall!$K$5:$T$36,6)</f>
        <v>01111111111111111111111111111111</v>
      </c>
      <c r="G315" s="8">
        <v>20</v>
      </c>
      <c r="H315" s="3" t="str">
        <f>VLOOKUP($G315,Overall!$K$5:$T$36,2)</f>
        <v>Normal</v>
      </c>
      <c r="I315" s="3">
        <f ca="1">VLOOKUP($G315,Overall!$K$5:$T$36,10)</f>
        <v>12345.6787109375</v>
      </c>
      <c r="J315" s="62" t="str">
        <f>VLOOKUP($G315,Overall!$K$5:$T$36,6)</f>
        <v>001000110010000001110011010110111</v>
      </c>
      <c r="K315" s="8">
        <f t="shared" ca="1" si="36"/>
        <v>8.402033045206281E+42</v>
      </c>
      <c r="L315" s="62">
        <f>VLOOKUP($B315,Overall!$B$5:$I$13,8)</f>
        <v>0</v>
      </c>
      <c r="M315" s="58"/>
      <c r="N315" s="3" t="str">
        <f t="shared" si="37"/>
        <v/>
      </c>
      <c r="O315" s="3" t="str">
        <f t="shared" si="38"/>
        <v/>
      </c>
      <c r="P315" s="3" t="str">
        <f t="shared" si="39"/>
        <v/>
      </c>
      <c r="Q315" s="3">
        <f t="shared" si="40"/>
        <v>0</v>
      </c>
      <c r="R315" s="3">
        <f t="shared" si="41"/>
        <v>0</v>
      </c>
      <c r="S315" s="3" t="e" cm="1">
        <f t="array" aca="1" ref="S315" ca="1">SUMPRODUCT(MID($P315,ROW(INDIRECT("1:23")),1)*2^(-ROW(INDIRECT("1:23"))))</f>
        <v>#VALUE!</v>
      </c>
      <c r="T315" s="3" t="e">
        <f t="shared" ca="1" si="42"/>
        <v>#VALUE!</v>
      </c>
      <c r="U315" s="3" t="e">
        <f t="shared" ca="1" si="43"/>
        <v>#VALUE!</v>
      </c>
      <c r="V315" s="73"/>
      <c r="W315" s="9" t="str">
        <f t="shared" si="44"/>
        <v>OK</v>
      </c>
    </row>
    <row r="316" spans="1:23" x14ac:dyDescent="0.3">
      <c r="A316" s="44">
        <v>313</v>
      </c>
      <c r="B316" s="14">
        <v>6</v>
      </c>
      <c r="C316" s="4">
        <v>9</v>
      </c>
      <c r="D316" s="3" t="str">
        <f>VLOOKUP($C316,Overall!$K$5:$T$36,2)</f>
        <v>Overflow</v>
      </c>
      <c r="E316" s="3">
        <f ca="1">VLOOKUP($C316,Overall!$K$5:$T$36,10)</f>
        <v>6.8056469327705772E+38</v>
      </c>
      <c r="F316" s="9" t="str">
        <f>VLOOKUP($C316,Overall!$K$5:$T$36,6)</f>
        <v>01111111111111111111111111111111</v>
      </c>
      <c r="G316" s="8">
        <v>21</v>
      </c>
      <c r="H316" s="3" t="str">
        <f>VLOOKUP($G316,Overall!$K$5:$T$36,2)</f>
        <v>Normal</v>
      </c>
      <c r="I316" s="3">
        <f ca="1">VLOOKUP($G316,Overall!$K$5:$T$36,10)</f>
        <v>2.345678924830959E+38</v>
      </c>
      <c r="J316" s="62" t="str">
        <f>VLOOKUP($G316,Overall!$K$5:$T$36,6)</f>
        <v>01111111001100000111100000100010</v>
      </c>
      <c r="K316" s="8">
        <f t="shared" ca="1" si="36"/>
        <v>1.5963862580040401E+77</v>
      </c>
      <c r="L316" s="62">
        <f>VLOOKUP($B316,Overall!$B$5:$I$13,8)</f>
        <v>0</v>
      </c>
      <c r="M316" s="58"/>
      <c r="N316" s="3" t="str">
        <f t="shared" si="37"/>
        <v/>
      </c>
      <c r="O316" s="3" t="str">
        <f t="shared" si="38"/>
        <v/>
      </c>
      <c r="P316" s="3" t="str">
        <f t="shared" si="39"/>
        <v/>
      </c>
      <c r="Q316" s="3">
        <f t="shared" si="40"/>
        <v>0</v>
      </c>
      <c r="R316" s="3">
        <f t="shared" si="41"/>
        <v>0</v>
      </c>
      <c r="S316" s="3" t="e" cm="1">
        <f t="array" aca="1" ref="S316" ca="1">SUMPRODUCT(MID($P316,ROW(INDIRECT("1:23")),1)*2^(-ROW(INDIRECT("1:23"))))</f>
        <v>#VALUE!</v>
      </c>
      <c r="T316" s="3" t="e">
        <f t="shared" ca="1" si="42"/>
        <v>#VALUE!</v>
      </c>
      <c r="U316" s="3" t="e">
        <f t="shared" ca="1" si="43"/>
        <v>#VALUE!</v>
      </c>
      <c r="V316" s="73"/>
      <c r="W316" s="9" t="str">
        <f t="shared" si="44"/>
        <v>OK</v>
      </c>
    </row>
    <row r="317" spans="1:23" x14ac:dyDescent="0.3">
      <c r="A317" s="44">
        <v>314</v>
      </c>
      <c r="B317" s="14">
        <v>6</v>
      </c>
      <c r="C317" s="4">
        <v>9</v>
      </c>
      <c r="D317" s="3" t="str">
        <f>VLOOKUP($C317,Overall!$K$5:$T$36,2)</f>
        <v>Overflow</v>
      </c>
      <c r="E317" s="3">
        <f ca="1">VLOOKUP($C317,Overall!$K$5:$T$36,10)</f>
        <v>6.8056469327705772E+38</v>
      </c>
      <c r="F317" s="9" t="str">
        <f>VLOOKUP($C317,Overall!$K$5:$T$36,6)</f>
        <v>01111111111111111111111111111111</v>
      </c>
      <c r="G317" s="8">
        <v>22</v>
      </c>
      <c r="H317" s="3" t="str">
        <f>VLOOKUP($G317,Overall!$K$5:$T$36,2)</f>
        <v>Normal</v>
      </c>
      <c r="I317" s="3">
        <f ca="1">VLOOKUP($G317,Overall!$K$5:$T$36,10)</f>
        <v>3.4028232635611926E+38</v>
      </c>
      <c r="J317" s="62" t="str">
        <f>VLOOKUP($G317,Overall!$K$5:$T$36,6)</f>
        <v>01111111011111111111111111111110</v>
      </c>
      <c r="K317" s="8">
        <f t="shared" ca="1" si="36"/>
        <v>2.3158413706415596E+77</v>
      </c>
      <c r="L317" s="62">
        <f>VLOOKUP($B317,Overall!$B$5:$I$13,8)</f>
        <v>0</v>
      </c>
      <c r="M317" s="58"/>
      <c r="N317" s="3" t="str">
        <f t="shared" si="37"/>
        <v/>
      </c>
      <c r="O317" s="3" t="str">
        <f t="shared" si="38"/>
        <v/>
      </c>
      <c r="P317" s="3" t="str">
        <f t="shared" si="39"/>
        <v/>
      </c>
      <c r="Q317" s="3">
        <f t="shared" si="40"/>
        <v>0</v>
      </c>
      <c r="R317" s="3">
        <f t="shared" si="41"/>
        <v>0</v>
      </c>
      <c r="S317" s="3" t="e" cm="1">
        <f t="array" aca="1" ref="S317" ca="1">SUMPRODUCT(MID($P317,ROW(INDIRECT("1:23")),1)*2^(-ROW(INDIRECT("1:23"))))</f>
        <v>#VALUE!</v>
      </c>
      <c r="T317" s="3" t="e">
        <f t="shared" ca="1" si="42"/>
        <v>#VALUE!</v>
      </c>
      <c r="U317" s="3" t="e">
        <f t="shared" ca="1" si="43"/>
        <v>#VALUE!</v>
      </c>
      <c r="V317" s="73"/>
      <c r="W317" s="9" t="str">
        <f t="shared" si="44"/>
        <v>OK</v>
      </c>
    </row>
    <row r="318" spans="1:23" x14ac:dyDescent="0.3">
      <c r="A318" s="44">
        <v>315</v>
      </c>
      <c r="B318" s="14">
        <v>6</v>
      </c>
      <c r="C318" s="4">
        <v>9</v>
      </c>
      <c r="D318" s="3" t="str">
        <f>VLOOKUP($C318,Overall!$K$5:$T$36,2)</f>
        <v>Overflow</v>
      </c>
      <c r="E318" s="3">
        <f ca="1">VLOOKUP($C318,Overall!$K$5:$T$36,10)</f>
        <v>6.8056469327705772E+38</v>
      </c>
      <c r="F318" s="9" t="str">
        <f>VLOOKUP($C318,Overall!$K$5:$T$36,6)</f>
        <v>01111111111111111111111111111111</v>
      </c>
      <c r="G318" s="8">
        <v>23</v>
      </c>
      <c r="H318" s="3" t="str">
        <f>VLOOKUP($G318,Overall!$K$5:$T$36,2)</f>
        <v>Normal</v>
      </c>
      <c r="I318" s="3">
        <f ca="1">VLOOKUP($G318,Overall!$K$5:$T$36,10)</f>
        <v>3.4028234663852886E+38</v>
      </c>
      <c r="J318" s="62" t="str">
        <f>VLOOKUP($G318,Overall!$K$5:$T$36,6)</f>
        <v>01111111011111111111111111111111</v>
      </c>
      <c r="K318" s="8">
        <f t="shared" ca="1" si="36"/>
        <v>2.3158415086764783E+77</v>
      </c>
      <c r="L318" s="62">
        <f>VLOOKUP($B318,Overall!$B$5:$I$13,8)</f>
        <v>0</v>
      </c>
      <c r="M318" s="58"/>
      <c r="N318" s="3" t="str">
        <f t="shared" si="37"/>
        <v/>
      </c>
      <c r="O318" s="3" t="str">
        <f t="shared" si="38"/>
        <v/>
      </c>
      <c r="P318" s="3" t="str">
        <f t="shared" si="39"/>
        <v/>
      </c>
      <c r="Q318" s="3">
        <f t="shared" si="40"/>
        <v>0</v>
      </c>
      <c r="R318" s="3">
        <f t="shared" si="41"/>
        <v>0</v>
      </c>
      <c r="S318" s="3" t="e" cm="1">
        <f t="array" aca="1" ref="S318" ca="1">SUMPRODUCT(MID($P318,ROW(INDIRECT("1:23")),1)*2^(-ROW(INDIRECT("1:23"))))</f>
        <v>#VALUE!</v>
      </c>
      <c r="T318" s="3" t="e">
        <f t="shared" ca="1" si="42"/>
        <v>#VALUE!</v>
      </c>
      <c r="U318" s="3" t="e">
        <f t="shared" ca="1" si="43"/>
        <v>#VALUE!</v>
      </c>
      <c r="V318" s="73"/>
      <c r="W318" s="9" t="str">
        <f t="shared" si="44"/>
        <v>OK</v>
      </c>
    </row>
    <row r="319" spans="1:23" x14ac:dyDescent="0.3">
      <c r="A319" s="44">
        <v>316</v>
      </c>
      <c r="B319" s="14">
        <v>6</v>
      </c>
      <c r="C319" s="4">
        <v>9</v>
      </c>
      <c r="D319" s="3" t="str">
        <f>VLOOKUP($C319,Overall!$K$5:$T$36,2)</f>
        <v>Overflow</v>
      </c>
      <c r="E319" s="3">
        <f ca="1">VLOOKUP($C319,Overall!$K$5:$T$36,10)</f>
        <v>6.8056469327705772E+38</v>
      </c>
      <c r="F319" s="9" t="str">
        <f>VLOOKUP($C319,Overall!$K$5:$T$36,6)</f>
        <v>01111111111111111111111111111111</v>
      </c>
      <c r="G319" s="8">
        <v>24</v>
      </c>
      <c r="H319" s="3" t="str">
        <f>VLOOKUP($G319,Overall!$K$5:$T$36,2)</f>
        <v>Normal</v>
      </c>
      <c r="I319" s="3">
        <f ca="1">VLOOKUP($G319,Overall!$K$5:$T$36,10)</f>
        <v>-1.1754943508222875E-38</v>
      </c>
      <c r="J319" s="62" t="str">
        <f>VLOOKUP($G319,Overall!$K$5:$T$36,6)</f>
        <v>10000000100000000000000000000000</v>
      </c>
      <c r="K319" s="8">
        <f t="shared" ca="1" si="36"/>
        <v>-7.9999995231628418</v>
      </c>
      <c r="L319" s="62">
        <f>VLOOKUP($B319,Overall!$B$5:$I$13,8)</f>
        <v>0</v>
      </c>
      <c r="M319" s="58"/>
      <c r="N319" s="3" t="str">
        <f t="shared" si="37"/>
        <v/>
      </c>
      <c r="O319" s="3" t="str">
        <f t="shared" si="38"/>
        <v/>
      </c>
      <c r="P319" s="3" t="str">
        <f t="shared" si="39"/>
        <v/>
      </c>
      <c r="Q319" s="3">
        <f t="shared" si="40"/>
        <v>0</v>
      </c>
      <c r="R319" s="3">
        <f t="shared" si="41"/>
        <v>0</v>
      </c>
      <c r="S319" s="3" t="e" cm="1">
        <f t="array" aca="1" ref="S319" ca="1">SUMPRODUCT(MID($P319,ROW(INDIRECT("1:23")),1)*2^(-ROW(INDIRECT("1:23"))))</f>
        <v>#VALUE!</v>
      </c>
      <c r="T319" s="3" t="e">
        <f t="shared" ca="1" si="42"/>
        <v>#VALUE!</v>
      </c>
      <c r="U319" s="3" t="e">
        <f t="shared" ca="1" si="43"/>
        <v>#VALUE!</v>
      </c>
      <c r="V319" s="73"/>
      <c r="W319" s="9" t="str">
        <f t="shared" si="44"/>
        <v>OK</v>
      </c>
    </row>
    <row r="320" spans="1:23" x14ac:dyDescent="0.3">
      <c r="A320" s="44">
        <v>317</v>
      </c>
      <c r="B320" s="14">
        <v>6</v>
      </c>
      <c r="C320" s="4">
        <v>9</v>
      </c>
      <c r="D320" s="3" t="str">
        <f>VLOOKUP($C320,Overall!$K$5:$T$36,2)</f>
        <v>Overflow</v>
      </c>
      <c r="E320" s="3">
        <f ca="1">VLOOKUP($C320,Overall!$K$5:$T$36,10)</f>
        <v>6.8056469327705772E+38</v>
      </c>
      <c r="F320" s="9" t="str">
        <f>VLOOKUP($C320,Overall!$K$5:$T$36,6)</f>
        <v>01111111111111111111111111111111</v>
      </c>
      <c r="G320" s="8">
        <v>25</v>
      </c>
      <c r="H320" s="3" t="str">
        <f>VLOOKUP($G320,Overall!$K$5:$T$36,2)</f>
        <v>Normal</v>
      </c>
      <c r="I320" s="3">
        <f ca="1">VLOOKUP($G320,Overall!$K$5:$T$36,10)</f>
        <v>-1.1754944909521339E-38</v>
      </c>
      <c r="J320" s="62" t="str">
        <f>VLOOKUP($G320,Overall!$K$5:$T$36,6)</f>
        <v>10000000100000000000000000000001</v>
      </c>
      <c r="K320" s="8">
        <f t="shared" ca="1" si="36"/>
        <v>-8.0000004768371014</v>
      </c>
      <c r="L320" s="62">
        <f>VLOOKUP($B320,Overall!$B$5:$I$13,8)</f>
        <v>0</v>
      </c>
      <c r="M320" s="58"/>
      <c r="N320" s="3" t="str">
        <f t="shared" si="37"/>
        <v/>
      </c>
      <c r="O320" s="3" t="str">
        <f t="shared" si="38"/>
        <v/>
      </c>
      <c r="P320" s="3" t="str">
        <f t="shared" si="39"/>
        <v/>
      </c>
      <c r="Q320" s="3">
        <f t="shared" si="40"/>
        <v>0</v>
      </c>
      <c r="R320" s="3">
        <f t="shared" si="41"/>
        <v>0</v>
      </c>
      <c r="S320" s="3" t="e" cm="1">
        <f t="array" aca="1" ref="S320" ca="1">SUMPRODUCT(MID($P320,ROW(INDIRECT("1:23")),1)*2^(-ROW(INDIRECT("1:23"))))</f>
        <v>#VALUE!</v>
      </c>
      <c r="T320" s="3" t="e">
        <f t="shared" ca="1" si="42"/>
        <v>#VALUE!</v>
      </c>
      <c r="U320" s="3" t="e">
        <f t="shared" ca="1" si="43"/>
        <v>#VALUE!</v>
      </c>
      <c r="V320" s="73"/>
      <c r="W320" s="9" t="str">
        <f t="shared" si="44"/>
        <v>OK</v>
      </c>
    </row>
    <row r="321" spans="1:23" x14ac:dyDescent="0.3">
      <c r="A321" s="44">
        <v>318</v>
      </c>
      <c r="B321" s="14">
        <v>6</v>
      </c>
      <c r="C321" s="4">
        <v>9</v>
      </c>
      <c r="D321" s="3" t="str">
        <f>VLOOKUP($C321,Overall!$K$5:$T$36,2)</f>
        <v>Overflow</v>
      </c>
      <c r="E321" s="3">
        <f ca="1">VLOOKUP($C321,Overall!$K$5:$T$36,10)</f>
        <v>6.8056469327705772E+38</v>
      </c>
      <c r="F321" s="9" t="str">
        <f>VLOOKUP($C321,Overall!$K$5:$T$36,6)</f>
        <v>01111111111111111111111111111111</v>
      </c>
      <c r="G321" s="8">
        <v>26</v>
      </c>
      <c r="H321" s="3" t="str">
        <f>VLOOKUP($G321,Overall!$K$5:$T$36,2)</f>
        <v>Normal</v>
      </c>
      <c r="I321" s="3">
        <f ca="1">VLOOKUP($G321,Overall!$K$5:$T$36,10)</f>
        <v>-0.5</v>
      </c>
      <c r="J321" s="62" t="str">
        <f>VLOOKUP($G321,Overall!$K$5:$T$36,6)</f>
        <v>10111111000000000000000000000000</v>
      </c>
      <c r="K321" s="8">
        <f t="shared" ca="1" si="36"/>
        <v>-3.4028234663852886E+38</v>
      </c>
      <c r="L321" s="62">
        <f>VLOOKUP($B321,Overall!$B$5:$I$13,8)</f>
        <v>0</v>
      </c>
      <c r="M321" s="58"/>
      <c r="N321" s="3" t="str">
        <f t="shared" si="37"/>
        <v/>
      </c>
      <c r="O321" s="3" t="str">
        <f t="shared" si="38"/>
        <v/>
      </c>
      <c r="P321" s="3" t="str">
        <f t="shared" si="39"/>
        <v/>
      </c>
      <c r="Q321" s="3">
        <f t="shared" si="40"/>
        <v>0</v>
      </c>
      <c r="R321" s="3">
        <f t="shared" si="41"/>
        <v>0</v>
      </c>
      <c r="S321" s="3" t="e" cm="1">
        <f t="array" aca="1" ref="S321" ca="1">SUMPRODUCT(MID($P321,ROW(INDIRECT("1:23")),1)*2^(-ROW(INDIRECT("1:23"))))</f>
        <v>#VALUE!</v>
      </c>
      <c r="T321" s="3" t="e">
        <f t="shared" ca="1" si="42"/>
        <v>#VALUE!</v>
      </c>
      <c r="U321" s="3" t="e">
        <f t="shared" ca="1" si="43"/>
        <v>#VALUE!</v>
      </c>
      <c r="V321" s="73"/>
      <c r="W321" s="9" t="str">
        <f t="shared" si="44"/>
        <v>OK</v>
      </c>
    </row>
    <row r="322" spans="1:23" x14ac:dyDescent="0.3">
      <c r="A322" s="44">
        <v>319</v>
      </c>
      <c r="B322" s="14">
        <v>6</v>
      </c>
      <c r="C322" s="4">
        <v>9</v>
      </c>
      <c r="D322" s="3" t="str">
        <f>VLOOKUP($C322,Overall!$K$5:$T$36,2)</f>
        <v>Overflow</v>
      </c>
      <c r="E322" s="3">
        <f ca="1">VLOOKUP($C322,Overall!$K$5:$T$36,10)</f>
        <v>6.8056469327705772E+38</v>
      </c>
      <c r="F322" s="9" t="str">
        <f>VLOOKUP($C322,Overall!$K$5:$T$36,6)</f>
        <v>01111111111111111111111111111111</v>
      </c>
      <c r="G322" s="8">
        <v>27</v>
      </c>
      <c r="H322" s="3" t="str">
        <f>VLOOKUP($G322,Overall!$K$5:$T$36,2)</f>
        <v>Normal</v>
      </c>
      <c r="I322" s="3">
        <f ca="1">VLOOKUP($G322,Overall!$K$5:$T$36,10)</f>
        <v>-1</v>
      </c>
      <c r="J322" s="62" t="str">
        <f>VLOOKUP($G322,Overall!$K$5:$T$36,6)</f>
        <v>10111111100000000000000000000000</v>
      </c>
      <c r="K322" s="8">
        <f t="shared" ca="1" si="36"/>
        <v>-6.8056469327705772E+38</v>
      </c>
      <c r="L322" s="62">
        <f>VLOOKUP($B322,Overall!$B$5:$I$13,8)</f>
        <v>0</v>
      </c>
      <c r="M322" s="58"/>
      <c r="N322" s="3" t="str">
        <f t="shared" si="37"/>
        <v/>
      </c>
      <c r="O322" s="3" t="str">
        <f t="shared" si="38"/>
        <v/>
      </c>
      <c r="P322" s="3" t="str">
        <f t="shared" si="39"/>
        <v/>
      </c>
      <c r="Q322" s="3">
        <f t="shared" si="40"/>
        <v>0</v>
      </c>
      <c r="R322" s="3">
        <f t="shared" si="41"/>
        <v>0</v>
      </c>
      <c r="S322" s="3" t="e" cm="1">
        <f t="array" aca="1" ref="S322" ca="1">SUMPRODUCT(MID($P322,ROW(INDIRECT("1:23")),1)*2^(-ROW(INDIRECT("1:23"))))</f>
        <v>#VALUE!</v>
      </c>
      <c r="T322" s="3" t="e">
        <f t="shared" ca="1" si="42"/>
        <v>#VALUE!</v>
      </c>
      <c r="U322" s="3" t="e">
        <f t="shared" ca="1" si="43"/>
        <v>#VALUE!</v>
      </c>
      <c r="V322" s="73"/>
      <c r="W322" s="9" t="str">
        <f t="shared" si="44"/>
        <v>OK</v>
      </c>
    </row>
    <row r="323" spans="1:23" x14ac:dyDescent="0.3">
      <c r="A323" s="44">
        <v>320</v>
      </c>
      <c r="B323" s="14">
        <v>6</v>
      </c>
      <c r="C323" s="4">
        <v>9</v>
      </c>
      <c r="D323" s="3" t="str">
        <f>VLOOKUP($C323,Overall!$K$5:$T$36,2)</f>
        <v>Overflow</v>
      </c>
      <c r="E323" s="3">
        <f ca="1">VLOOKUP($C323,Overall!$K$5:$T$36,10)</f>
        <v>6.8056469327705772E+38</v>
      </c>
      <c r="F323" s="9" t="str">
        <f>VLOOKUP($C323,Overall!$K$5:$T$36,6)</f>
        <v>01111111111111111111111111111111</v>
      </c>
      <c r="G323" s="8">
        <v>28</v>
      </c>
      <c r="H323" s="3" t="str">
        <f>VLOOKUP($G323,Overall!$K$5:$T$36,2)</f>
        <v>Normal</v>
      </c>
      <c r="I323" s="3">
        <f ca="1">VLOOKUP($G323,Overall!$K$5:$T$36,10)</f>
        <v>-1.5</v>
      </c>
      <c r="J323" s="62" t="str">
        <f>VLOOKUP($G323,Overall!$K$5:$T$36,6)</f>
        <v>10111111110000000000000000000000</v>
      </c>
      <c r="K323" s="8">
        <f t="shared" ca="1" si="36"/>
        <v>-1.0208470399155866E+39</v>
      </c>
      <c r="L323" s="62">
        <f>VLOOKUP($B323,Overall!$B$5:$I$13,8)</f>
        <v>0</v>
      </c>
      <c r="M323" s="58"/>
      <c r="N323" s="3" t="str">
        <f t="shared" si="37"/>
        <v/>
      </c>
      <c r="O323" s="3" t="str">
        <f t="shared" si="38"/>
        <v/>
      </c>
      <c r="P323" s="3" t="str">
        <f t="shared" si="39"/>
        <v/>
      </c>
      <c r="Q323" s="3">
        <f t="shared" si="40"/>
        <v>0</v>
      </c>
      <c r="R323" s="3">
        <f t="shared" si="41"/>
        <v>0</v>
      </c>
      <c r="S323" s="3" t="e" cm="1">
        <f t="array" aca="1" ref="S323" ca="1">SUMPRODUCT(MID($P323,ROW(INDIRECT("1:23")),1)*2^(-ROW(INDIRECT("1:23"))))</f>
        <v>#VALUE!</v>
      </c>
      <c r="T323" s="3" t="e">
        <f t="shared" ca="1" si="42"/>
        <v>#VALUE!</v>
      </c>
      <c r="U323" s="3" t="e">
        <f t="shared" ca="1" si="43"/>
        <v>#VALUE!</v>
      </c>
      <c r="V323" s="73"/>
      <c r="W323" s="9" t="str">
        <f t="shared" si="44"/>
        <v>OK</v>
      </c>
    </row>
    <row r="324" spans="1:23" x14ac:dyDescent="0.3">
      <c r="A324" s="44">
        <v>321</v>
      </c>
      <c r="B324" s="14">
        <v>6</v>
      </c>
      <c r="C324" s="4">
        <v>9</v>
      </c>
      <c r="D324" s="3" t="str">
        <f>VLOOKUP($C324,Overall!$K$5:$T$36,2)</f>
        <v>Overflow</v>
      </c>
      <c r="E324" s="3">
        <f ca="1">VLOOKUP($C324,Overall!$K$5:$T$36,10)</f>
        <v>6.8056469327705772E+38</v>
      </c>
      <c r="F324" s="9" t="str">
        <f>VLOOKUP($C324,Overall!$K$5:$T$36,6)</f>
        <v>01111111111111111111111111111111</v>
      </c>
      <c r="G324" s="8">
        <v>29</v>
      </c>
      <c r="H324" s="3" t="str">
        <f>VLOOKUP($G324,Overall!$K$5:$T$36,2)</f>
        <v>Normal</v>
      </c>
      <c r="I324" s="3">
        <f ca="1">VLOOKUP($G324,Overall!$K$5:$T$36,10)</f>
        <v>-12345.6787109375</v>
      </c>
      <c r="J324" s="62" t="str">
        <f>VLOOKUP($G324,Overall!$K$5:$T$36,6)</f>
        <v>101000110010000001110011010110111</v>
      </c>
      <c r="K324" s="8">
        <f t="shared" ca="1" si="36"/>
        <v>-8.402033045206281E+42</v>
      </c>
      <c r="L324" s="62">
        <f>VLOOKUP($B324,Overall!$B$5:$I$13,8)</f>
        <v>0</v>
      </c>
      <c r="M324" s="58"/>
      <c r="N324" s="3" t="str">
        <f t="shared" si="37"/>
        <v/>
      </c>
      <c r="O324" s="3" t="str">
        <f t="shared" si="38"/>
        <v/>
      </c>
      <c r="P324" s="3" t="str">
        <f t="shared" si="39"/>
        <v/>
      </c>
      <c r="Q324" s="3">
        <f t="shared" si="40"/>
        <v>0</v>
      </c>
      <c r="R324" s="3">
        <f t="shared" si="41"/>
        <v>0</v>
      </c>
      <c r="S324" s="3" t="e" cm="1">
        <f t="array" aca="1" ref="S324" ca="1">SUMPRODUCT(MID($P324,ROW(INDIRECT("1:23")),1)*2^(-ROW(INDIRECT("1:23"))))</f>
        <v>#VALUE!</v>
      </c>
      <c r="T324" s="3" t="e">
        <f t="shared" ca="1" si="42"/>
        <v>#VALUE!</v>
      </c>
      <c r="U324" s="3" t="e">
        <f t="shared" ca="1" si="43"/>
        <v>#VALUE!</v>
      </c>
      <c r="V324" s="73"/>
      <c r="W324" s="9" t="str">
        <f t="shared" si="44"/>
        <v>OK</v>
      </c>
    </row>
    <row r="325" spans="1:23" x14ac:dyDescent="0.3">
      <c r="A325" s="44">
        <v>322</v>
      </c>
      <c r="B325" s="14">
        <v>6</v>
      </c>
      <c r="C325" s="4">
        <v>9</v>
      </c>
      <c r="D325" s="3" t="str">
        <f>VLOOKUP($C325,Overall!$K$5:$T$36,2)</f>
        <v>Overflow</v>
      </c>
      <c r="E325" s="3">
        <f ca="1">VLOOKUP($C325,Overall!$K$5:$T$36,10)</f>
        <v>6.8056469327705772E+38</v>
      </c>
      <c r="F325" s="9" t="str">
        <f>VLOOKUP($C325,Overall!$K$5:$T$36,6)</f>
        <v>01111111111111111111111111111111</v>
      </c>
      <c r="G325" s="8">
        <v>30</v>
      </c>
      <c r="H325" s="3" t="str">
        <f>VLOOKUP($G325,Overall!$K$5:$T$36,2)</f>
        <v>Normal</v>
      </c>
      <c r="I325" s="3">
        <f ca="1">VLOOKUP($G325,Overall!$K$5:$T$36,10)</f>
        <v>-2.345678924830959E+38</v>
      </c>
      <c r="J325" s="62" t="str">
        <f>VLOOKUP($G325,Overall!$K$5:$T$36,6)</f>
        <v>11111111001100000111100000100010</v>
      </c>
      <c r="K325" s="8">
        <f t="shared" ref="K325:K388" ca="1" si="45">E325*I325</f>
        <v>-1.5963862580040401E+77</v>
      </c>
      <c r="L325" s="62">
        <f>VLOOKUP($B325,Overall!$B$5:$I$13,8)</f>
        <v>0</v>
      </c>
      <c r="M325" s="58"/>
      <c r="N325" s="3" t="str">
        <f t="shared" ref="N325:N388" si="46">LEFT($M325,1)</f>
        <v/>
      </c>
      <c r="O325" s="3" t="str">
        <f t="shared" ref="O325:O388" si="47">MID($M325,2,8)</f>
        <v/>
      </c>
      <c r="P325" s="3" t="str">
        <f t="shared" ref="P325:P388" si="48">MID($M325,10,23)</f>
        <v/>
      </c>
      <c r="Q325" s="3">
        <f t="shared" ref="Q325:Q388" si="49">BIN2DEC($N325)</f>
        <v>0</v>
      </c>
      <c r="R325" s="3">
        <f t="shared" ref="R325:R388" si="50">BIN2DEC($O325)</f>
        <v>0</v>
      </c>
      <c r="S325" s="3" t="e" cm="1">
        <f t="array" aca="1" ref="S325" ca="1">SUMPRODUCT(MID($P325,ROW(INDIRECT("1:23")),1)*2^(-ROW(INDIRECT("1:23"))))</f>
        <v>#VALUE!</v>
      </c>
      <c r="T325" s="3" t="e">
        <f t="shared" ref="T325:T388" ca="1" si="51">IF($R325=0,
   (-1)^$Q325 * $S325 * 2^(-126),
   (-1)^$Q325 * (1 + $S325) * 2^($R325 - 127)
)</f>
        <v>#VALUE!</v>
      </c>
      <c r="U325" s="3" t="e">
        <f t="shared" ref="U325:U388" ca="1" si="52">$T325-$K325</f>
        <v>#VALUE!</v>
      </c>
      <c r="V325" s="73"/>
      <c r="W325" s="9" t="str">
        <f t="shared" ref="W325:W388" si="53">IF(L325=V325,"OK","NG")</f>
        <v>OK</v>
      </c>
    </row>
    <row r="326" spans="1:23" x14ac:dyDescent="0.3">
      <c r="A326" s="44">
        <v>323</v>
      </c>
      <c r="B326" s="14">
        <v>6</v>
      </c>
      <c r="C326" s="4">
        <v>9</v>
      </c>
      <c r="D326" s="3" t="str">
        <f>VLOOKUP($C326,Overall!$K$5:$T$36,2)</f>
        <v>Overflow</v>
      </c>
      <c r="E326" s="3">
        <f ca="1">VLOOKUP($C326,Overall!$K$5:$T$36,10)</f>
        <v>6.8056469327705772E+38</v>
      </c>
      <c r="F326" s="9" t="str">
        <f>VLOOKUP($C326,Overall!$K$5:$T$36,6)</f>
        <v>01111111111111111111111111111111</v>
      </c>
      <c r="G326" s="8">
        <v>31</v>
      </c>
      <c r="H326" s="3" t="str">
        <f>VLOOKUP($G326,Overall!$K$5:$T$36,2)</f>
        <v>Normal</v>
      </c>
      <c r="I326" s="3">
        <f ca="1">VLOOKUP($G326,Overall!$K$5:$T$36,10)</f>
        <v>-3.4028232635611926E+38</v>
      </c>
      <c r="J326" s="62" t="str">
        <f>VLOOKUP($G326,Overall!$K$5:$T$36,6)</f>
        <v>11111111011111111111111111111110</v>
      </c>
      <c r="K326" s="8">
        <f t="shared" ca="1" si="45"/>
        <v>-2.3158413706415596E+77</v>
      </c>
      <c r="L326" s="62">
        <f>VLOOKUP($B326,Overall!$B$5:$I$13,8)</f>
        <v>0</v>
      </c>
      <c r="M326" s="58"/>
      <c r="N326" s="3" t="str">
        <f t="shared" si="46"/>
        <v/>
      </c>
      <c r="O326" s="3" t="str">
        <f t="shared" si="47"/>
        <v/>
      </c>
      <c r="P326" s="3" t="str">
        <f t="shared" si="48"/>
        <v/>
      </c>
      <c r="Q326" s="3">
        <f t="shared" si="49"/>
        <v>0</v>
      </c>
      <c r="R326" s="3">
        <f t="shared" si="50"/>
        <v>0</v>
      </c>
      <c r="S326" s="3" t="e" cm="1">
        <f t="array" aca="1" ref="S326" ca="1">SUMPRODUCT(MID($P326,ROW(INDIRECT("1:23")),1)*2^(-ROW(INDIRECT("1:23"))))</f>
        <v>#VALUE!</v>
      </c>
      <c r="T326" s="3" t="e">
        <f t="shared" ca="1" si="51"/>
        <v>#VALUE!</v>
      </c>
      <c r="U326" s="3" t="e">
        <f t="shared" ca="1" si="52"/>
        <v>#VALUE!</v>
      </c>
      <c r="V326" s="73"/>
      <c r="W326" s="9" t="str">
        <f t="shared" si="53"/>
        <v>OK</v>
      </c>
    </row>
    <row r="327" spans="1:23" x14ac:dyDescent="0.3">
      <c r="A327" s="44">
        <v>324</v>
      </c>
      <c r="B327" s="14">
        <v>6</v>
      </c>
      <c r="C327" s="4">
        <v>9</v>
      </c>
      <c r="D327" s="3" t="str">
        <f>VLOOKUP($C327,Overall!$K$5:$T$36,2)</f>
        <v>Overflow</v>
      </c>
      <c r="E327" s="3">
        <f ca="1">VLOOKUP($C327,Overall!$K$5:$T$36,10)</f>
        <v>6.8056469327705772E+38</v>
      </c>
      <c r="F327" s="9" t="str">
        <f>VLOOKUP($C327,Overall!$K$5:$T$36,6)</f>
        <v>01111111111111111111111111111111</v>
      </c>
      <c r="G327" s="8">
        <v>32</v>
      </c>
      <c r="H327" s="3" t="str">
        <f>VLOOKUP($G327,Overall!$K$5:$T$36,2)</f>
        <v>Normal</v>
      </c>
      <c r="I327" s="3">
        <f ca="1">VLOOKUP($G327,Overall!$K$5:$T$36,10)</f>
        <v>-3.4028234663852886E+38</v>
      </c>
      <c r="J327" s="62" t="str">
        <f>VLOOKUP($G327,Overall!$K$5:$T$36,6)</f>
        <v>11111111011111111111111111111111</v>
      </c>
      <c r="K327" s="8">
        <f t="shared" ca="1" si="45"/>
        <v>-2.3158415086764783E+77</v>
      </c>
      <c r="L327" s="62">
        <f>VLOOKUP($B327,Overall!$B$5:$I$13,8)</f>
        <v>0</v>
      </c>
      <c r="M327" s="58"/>
      <c r="N327" s="3" t="str">
        <f t="shared" si="46"/>
        <v/>
      </c>
      <c r="O327" s="3" t="str">
        <f t="shared" si="47"/>
        <v/>
      </c>
      <c r="P327" s="3" t="str">
        <f t="shared" si="48"/>
        <v/>
      </c>
      <c r="Q327" s="3">
        <f t="shared" si="49"/>
        <v>0</v>
      </c>
      <c r="R327" s="3">
        <f t="shared" si="50"/>
        <v>0</v>
      </c>
      <c r="S327" s="3" t="e" cm="1">
        <f t="array" aca="1" ref="S327" ca="1">SUMPRODUCT(MID($P327,ROW(INDIRECT("1:23")),1)*2^(-ROW(INDIRECT("1:23"))))</f>
        <v>#VALUE!</v>
      </c>
      <c r="T327" s="3" t="e">
        <f t="shared" ca="1" si="51"/>
        <v>#VALUE!</v>
      </c>
      <c r="U327" s="3" t="e">
        <f t="shared" ca="1" si="52"/>
        <v>#VALUE!</v>
      </c>
      <c r="V327" s="73"/>
      <c r="W327" s="9" t="str">
        <f t="shared" si="53"/>
        <v>OK</v>
      </c>
    </row>
    <row r="328" spans="1:23" x14ac:dyDescent="0.3">
      <c r="A328" s="44">
        <v>325</v>
      </c>
      <c r="B328" s="14">
        <v>6</v>
      </c>
      <c r="C328" s="4">
        <v>10</v>
      </c>
      <c r="D328" s="3" t="str">
        <f>VLOOKUP($C328,Overall!$K$5:$T$36,2)</f>
        <v>Overflow</v>
      </c>
      <c r="E328" s="3">
        <f ca="1">VLOOKUP($C328,Overall!$K$5:$T$36,10)</f>
        <v>-3.4028240748575767E+38</v>
      </c>
      <c r="F328" s="9" t="str">
        <f>VLOOKUP($C328,Overall!$K$5:$T$36,6)</f>
        <v>11111111100000000000000000000001</v>
      </c>
      <c r="G328" s="8">
        <v>13</v>
      </c>
      <c r="H328" s="3" t="str">
        <f>VLOOKUP($G328,Overall!$K$5:$T$36,2)</f>
        <v>Normal</v>
      </c>
      <c r="I328" s="3">
        <f ca="1">VLOOKUP($G328,Overall!$K$5:$T$36,10)</f>
        <v>0</v>
      </c>
      <c r="J328" s="62" t="str">
        <f>VLOOKUP($G328,Overall!$K$5:$T$36,6)</f>
        <v>00000000000000000000000000000000</v>
      </c>
      <c r="K328" s="8">
        <f t="shared" ca="1" si="45"/>
        <v>0</v>
      </c>
      <c r="L328" s="62">
        <f>VLOOKUP($B328,Overall!$B$5:$I$13,8)</f>
        <v>0</v>
      </c>
      <c r="M328" s="58"/>
      <c r="N328" s="3" t="str">
        <f t="shared" si="46"/>
        <v/>
      </c>
      <c r="O328" s="3" t="str">
        <f t="shared" si="47"/>
        <v/>
      </c>
      <c r="P328" s="3" t="str">
        <f t="shared" si="48"/>
        <v/>
      </c>
      <c r="Q328" s="3">
        <f t="shared" si="49"/>
        <v>0</v>
      </c>
      <c r="R328" s="3">
        <f t="shared" si="50"/>
        <v>0</v>
      </c>
      <c r="S328" s="3" t="e" cm="1">
        <f t="array" aca="1" ref="S328" ca="1">SUMPRODUCT(MID($P328,ROW(INDIRECT("1:23")),1)*2^(-ROW(INDIRECT("1:23"))))</f>
        <v>#VALUE!</v>
      </c>
      <c r="T328" s="3" t="e">
        <f t="shared" ca="1" si="51"/>
        <v>#VALUE!</v>
      </c>
      <c r="U328" s="3" t="e">
        <f t="shared" ca="1" si="52"/>
        <v>#VALUE!</v>
      </c>
      <c r="V328" s="73"/>
      <c r="W328" s="9" t="str">
        <f t="shared" si="53"/>
        <v>OK</v>
      </c>
    </row>
    <row r="329" spans="1:23" x14ac:dyDescent="0.3">
      <c r="A329" s="44">
        <v>326</v>
      </c>
      <c r="B329" s="14">
        <v>6</v>
      </c>
      <c r="C329" s="4">
        <v>10</v>
      </c>
      <c r="D329" s="3" t="str">
        <f>VLOOKUP($C329,Overall!$K$5:$T$36,2)</f>
        <v>Overflow</v>
      </c>
      <c r="E329" s="3">
        <f ca="1">VLOOKUP($C329,Overall!$K$5:$T$36,10)</f>
        <v>-3.4028240748575767E+38</v>
      </c>
      <c r="F329" s="9" t="str">
        <f>VLOOKUP($C329,Overall!$K$5:$T$36,6)</f>
        <v>11111111100000000000000000000001</v>
      </c>
      <c r="G329" s="8">
        <v>14</v>
      </c>
      <c r="H329" s="3" t="str">
        <f>VLOOKUP($G329,Overall!$K$5:$T$36,2)</f>
        <v>Normal</v>
      </c>
      <c r="I329" s="3">
        <f ca="1">VLOOKUP($G329,Overall!$K$5:$T$36,10)</f>
        <v>0</v>
      </c>
      <c r="J329" s="62" t="str">
        <f>VLOOKUP($G329,Overall!$K$5:$T$36,6)</f>
        <v>10000000000000000000000000000000</v>
      </c>
      <c r="K329" s="8">
        <f t="shared" ca="1" si="45"/>
        <v>0</v>
      </c>
      <c r="L329" s="62">
        <f>VLOOKUP($B329,Overall!$B$5:$I$13,8)</f>
        <v>0</v>
      </c>
      <c r="M329" s="58"/>
      <c r="N329" s="3" t="str">
        <f t="shared" si="46"/>
        <v/>
      </c>
      <c r="O329" s="3" t="str">
        <f t="shared" si="47"/>
        <v/>
      </c>
      <c r="P329" s="3" t="str">
        <f t="shared" si="48"/>
        <v/>
      </c>
      <c r="Q329" s="3">
        <f t="shared" si="49"/>
        <v>0</v>
      </c>
      <c r="R329" s="3">
        <f t="shared" si="50"/>
        <v>0</v>
      </c>
      <c r="S329" s="3" t="e" cm="1">
        <f t="array" aca="1" ref="S329" ca="1">SUMPRODUCT(MID($P329,ROW(INDIRECT("1:23")),1)*2^(-ROW(INDIRECT("1:23"))))</f>
        <v>#VALUE!</v>
      </c>
      <c r="T329" s="3" t="e">
        <f t="shared" ca="1" si="51"/>
        <v>#VALUE!</v>
      </c>
      <c r="U329" s="3" t="e">
        <f t="shared" ca="1" si="52"/>
        <v>#VALUE!</v>
      </c>
      <c r="V329" s="73"/>
      <c r="W329" s="9" t="str">
        <f t="shared" si="53"/>
        <v>OK</v>
      </c>
    </row>
    <row r="330" spans="1:23" x14ac:dyDescent="0.3">
      <c r="A330" s="44">
        <v>327</v>
      </c>
      <c r="B330" s="14">
        <v>6</v>
      </c>
      <c r="C330" s="4">
        <v>10</v>
      </c>
      <c r="D330" s="3" t="str">
        <f>VLOOKUP($C330,Overall!$K$5:$T$36,2)</f>
        <v>Overflow</v>
      </c>
      <c r="E330" s="3">
        <f ca="1">VLOOKUP($C330,Overall!$K$5:$T$36,10)</f>
        <v>-3.4028240748575767E+38</v>
      </c>
      <c r="F330" s="9" t="str">
        <f>VLOOKUP($C330,Overall!$K$5:$T$36,6)</f>
        <v>11111111100000000000000000000001</v>
      </c>
      <c r="G330" s="8">
        <v>15</v>
      </c>
      <c r="H330" s="3" t="str">
        <f>VLOOKUP($G330,Overall!$K$5:$T$36,2)</f>
        <v>Normal</v>
      </c>
      <c r="I330" s="3">
        <f ca="1">VLOOKUP($G330,Overall!$K$5:$T$36,10)</f>
        <v>1.1754943508222875E-38</v>
      </c>
      <c r="J330" s="62" t="str">
        <f>VLOOKUP($G330,Overall!$K$5:$T$36,6)</f>
        <v>00000000100000000000000000000000</v>
      </c>
      <c r="K330" s="8">
        <f t="shared" ca="1" si="45"/>
        <v>-4.0000004768371582</v>
      </c>
      <c r="L330" s="62">
        <f>VLOOKUP($B330,Overall!$B$5:$I$13,8)</f>
        <v>0</v>
      </c>
      <c r="M330" s="58"/>
      <c r="N330" s="3" t="str">
        <f t="shared" si="46"/>
        <v/>
      </c>
      <c r="O330" s="3" t="str">
        <f t="shared" si="47"/>
        <v/>
      </c>
      <c r="P330" s="3" t="str">
        <f t="shared" si="48"/>
        <v/>
      </c>
      <c r="Q330" s="3">
        <f t="shared" si="49"/>
        <v>0</v>
      </c>
      <c r="R330" s="3">
        <f t="shared" si="50"/>
        <v>0</v>
      </c>
      <c r="S330" s="3" t="e" cm="1">
        <f t="array" aca="1" ref="S330" ca="1">SUMPRODUCT(MID($P330,ROW(INDIRECT("1:23")),1)*2^(-ROW(INDIRECT("1:23"))))</f>
        <v>#VALUE!</v>
      </c>
      <c r="T330" s="3" t="e">
        <f t="shared" ca="1" si="51"/>
        <v>#VALUE!</v>
      </c>
      <c r="U330" s="3" t="e">
        <f t="shared" ca="1" si="52"/>
        <v>#VALUE!</v>
      </c>
      <c r="V330" s="73"/>
      <c r="W330" s="9" t="str">
        <f t="shared" si="53"/>
        <v>OK</v>
      </c>
    </row>
    <row r="331" spans="1:23" x14ac:dyDescent="0.3">
      <c r="A331" s="44">
        <v>328</v>
      </c>
      <c r="B331" s="14">
        <v>6</v>
      </c>
      <c r="C331" s="4">
        <v>10</v>
      </c>
      <c r="D331" s="3" t="str">
        <f>VLOOKUP($C331,Overall!$K$5:$T$36,2)</f>
        <v>Overflow</v>
      </c>
      <c r="E331" s="3">
        <f ca="1">VLOOKUP($C331,Overall!$K$5:$T$36,10)</f>
        <v>-3.4028240748575767E+38</v>
      </c>
      <c r="F331" s="9" t="str">
        <f>VLOOKUP($C331,Overall!$K$5:$T$36,6)</f>
        <v>11111111100000000000000000000001</v>
      </c>
      <c r="G331" s="8">
        <v>16</v>
      </c>
      <c r="H331" s="3" t="str">
        <f>VLOOKUP($G331,Overall!$K$5:$T$36,2)</f>
        <v>Normal</v>
      </c>
      <c r="I331" s="3">
        <f ca="1">VLOOKUP($G331,Overall!$K$5:$T$36,10)</f>
        <v>1.1754944909521339E-38</v>
      </c>
      <c r="J331" s="62" t="str">
        <f>VLOOKUP($G331,Overall!$K$5:$T$36,6)</f>
        <v>00000000100000000000000000000001</v>
      </c>
      <c r="K331" s="8">
        <f t="shared" ca="1" si="45"/>
        <v>-4.0000009536743732</v>
      </c>
      <c r="L331" s="62">
        <f>VLOOKUP($B331,Overall!$B$5:$I$13,8)</f>
        <v>0</v>
      </c>
      <c r="M331" s="58"/>
      <c r="N331" s="3" t="str">
        <f t="shared" si="46"/>
        <v/>
      </c>
      <c r="O331" s="3" t="str">
        <f t="shared" si="47"/>
        <v/>
      </c>
      <c r="P331" s="3" t="str">
        <f t="shared" si="48"/>
        <v/>
      </c>
      <c r="Q331" s="3">
        <f t="shared" si="49"/>
        <v>0</v>
      </c>
      <c r="R331" s="3">
        <f t="shared" si="50"/>
        <v>0</v>
      </c>
      <c r="S331" s="3" t="e" cm="1">
        <f t="array" aca="1" ref="S331" ca="1">SUMPRODUCT(MID($P331,ROW(INDIRECT("1:23")),1)*2^(-ROW(INDIRECT("1:23"))))</f>
        <v>#VALUE!</v>
      </c>
      <c r="T331" s="3" t="e">
        <f t="shared" ca="1" si="51"/>
        <v>#VALUE!</v>
      </c>
      <c r="U331" s="3" t="e">
        <f t="shared" ca="1" si="52"/>
        <v>#VALUE!</v>
      </c>
      <c r="V331" s="73"/>
      <c r="W331" s="9" t="str">
        <f t="shared" si="53"/>
        <v>OK</v>
      </c>
    </row>
    <row r="332" spans="1:23" x14ac:dyDescent="0.3">
      <c r="A332" s="44">
        <v>329</v>
      </c>
      <c r="B332" s="14">
        <v>6</v>
      </c>
      <c r="C332" s="4">
        <v>10</v>
      </c>
      <c r="D332" s="3" t="str">
        <f>VLOOKUP($C332,Overall!$K$5:$T$36,2)</f>
        <v>Overflow</v>
      </c>
      <c r="E332" s="3">
        <f ca="1">VLOOKUP($C332,Overall!$K$5:$T$36,10)</f>
        <v>-3.4028240748575767E+38</v>
      </c>
      <c r="F332" s="9" t="str">
        <f>VLOOKUP($C332,Overall!$K$5:$T$36,6)</f>
        <v>11111111100000000000000000000001</v>
      </c>
      <c r="G332" s="8">
        <v>17</v>
      </c>
      <c r="H332" s="3" t="str">
        <f>VLOOKUP($G332,Overall!$K$5:$T$36,2)</f>
        <v>Normal</v>
      </c>
      <c r="I332" s="3">
        <f ca="1">VLOOKUP($G332,Overall!$K$5:$T$36,10)</f>
        <v>0.5</v>
      </c>
      <c r="J332" s="62" t="str">
        <f>VLOOKUP($G332,Overall!$K$5:$T$36,6)</f>
        <v>00111111000000000000000000000000</v>
      </c>
      <c r="K332" s="8">
        <f t="shared" ca="1" si="45"/>
        <v>-1.7014120374287884E+38</v>
      </c>
      <c r="L332" s="62">
        <f>VLOOKUP($B332,Overall!$B$5:$I$13,8)</f>
        <v>0</v>
      </c>
      <c r="M332" s="58"/>
      <c r="N332" s="3" t="str">
        <f t="shared" si="46"/>
        <v/>
      </c>
      <c r="O332" s="3" t="str">
        <f t="shared" si="47"/>
        <v/>
      </c>
      <c r="P332" s="3" t="str">
        <f t="shared" si="48"/>
        <v/>
      </c>
      <c r="Q332" s="3">
        <f t="shared" si="49"/>
        <v>0</v>
      </c>
      <c r="R332" s="3">
        <f t="shared" si="50"/>
        <v>0</v>
      </c>
      <c r="S332" s="3" t="e" cm="1">
        <f t="array" aca="1" ref="S332" ca="1">SUMPRODUCT(MID($P332,ROW(INDIRECT("1:23")),1)*2^(-ROW(INDIRECT("1:23"))))</f>
        <v>#VALUE!</v>
      </c>
      <c r="T332" s="3" t="e">
        <f t="shared" ca="1" si="51"/>
        <v>#VALUE!</v>
      </c>
      <c r="U332" s="3" t="e">
        <f t="shared" ca="1" si="52"/>
        <v>#VALUE!</v>
      </c>
      <c r="V332" s="73"/>
      <c r="W332" s="9" t="str">
        <f t="shared" si="53"/>
        <v>OK</v>
      </c>
    </row>
    <row r="333" spans="1:23" x14ac:dyDescent="0.3">
      <c r="A333" s="44">
        <v>330</v>
      </c>
      <c r="B333" s="14">
        <v>6</v>
      </c>
      <c r="C333" s="4">
        <v>10</v>
      </c>
      <c r="D333" s="3" t="str">
        <f>VLOOKUP($C333,Overall!$K$5:$T$36,2)</f>
        <v>Overflow</v>
      </c>
      <c r="E333" s="3">
        <f ca="1">VLOOKUP($C333,Overall!$K$5:$T$36,10)</f>
        <v>-3.4028240748575767E+38</v>
      </c>
      <c r="F333" s="9" t="str">
        <f>VLOOKUP($C333,Overall!$K$5:$T$36,6)</f>
        <v>11111111100000000000000000000001</v>
      </c>
      <c r="G333" s="8">
        <v>18</v>
      </c>
      <c r="H333" s="3" t="str">
        <f>VLOOKUP($G333,Overall!$K$5:$T$36,2)</f>
        <v>Normal</v>
      </c>
      <c r="I333" s="3">
        <f ca="1">VLOOKUP($G333,Overall!$K$5:$T$36,10)</f>
        <v>1</v>
      </c>
      <c r="J333" s="62" t="str">
        <f>VLOOKUP($G333,Overall!$K$5:$T$36,6)</f>
        <v>00111111100000000000000000000000</v>
      </c>
      <c r="K333" s="8">
        <f t="shared" ca="1" si="45"/>
        <v>-3.4028240748575767E+38</v>
      </c>
      <c r="L333" s="62">
        <f>VLOOKUP($B333,Overall!$B$5:$I$13,8)</f>
        <v>0</v>
      </c>
      <c r="M333" s="58"/>
      <c r="N333" s="3" t="str">
        <f t="shared" si="46"/>
        <v/>
      </c>
      <c r="O333" s="3" t="str">
        <f t="shared" si="47"/>
        <v/>
      </c>
      <c r="P333" s="3" t="str">
        <f t="shared" si="48"/>
        <v/>
      </c>
      <c r="Q333" s="3">
        <f t="shared" si="49"/>
        <v>0</v>
      </c>
      <c r="R333" s="3">
        <f t="shared" si="50"/>
        <v>0</v>
      </c>
      <c r="S333" s="3" t="e" cm="1">
        <f t="array" aca="1" ref="S333" ca="1">SUMPRODUCT(MID($P333,ROW(INDIRECT("1:23")),1)*2^(-ROW(INDIRECT("1:23"))))</f>
        <v>#VALUE!</v>
      </c>
      <c r="T333" s="3" t="e">
        <f t="shared" ca="1" si="51"/>
        <v>#VALUE!</v>
      </c>
      <c r="U333" s="3" t="e">
        <f t="shared" ca="1" si="52"/>
        <v>#VALUE!</v>
      </c>
      <c r="V333" s="73"/>
      <c r="W333" s="9" t="str">
        <f t="shared" si="53"/>
        <v>OK</v>
      </c>
    </row>
    <row r="334" spans="1:23" x14ac:dyDescent="0.3">
      <c r="A334" s="44">
        <v>331</v>
      </c>
      <c r="B334" s="14">
        <v>6</v>
      </c>
      <c r="C334" s="4">
        <v>10</v>
      </c>
      <c r="D334" s="3" t="str">
        <f>VLOOKUP($C334,Overall!$K$5:$T$36,2)</f>
        <v>Overflow</v>
      </c>
      <c r="E334" s="3">
        <f ca="1">VLOOKUP($C334,Overall!$K$5:$T$36,10)</f>
        <v>-3.4028240748575767E+38</v>
      </c>
      <c r="F334" s="9" t="str">
        <f>VLOOKUP($C334,Overall!$K$5:$T$36,6)</f>
        <v>11111111100000000000000000000001</v>
      </c>
      <c r="G334" s="8">
        <v>19</v>
      </c>
      <c r="H334" s="3" t="str">
        <f>VLOOKUP($G334,Overall!$K$5:$T$36,2)</f>
        <v>Normal</v>
      </c>
      <c r="I334" s="3">
        <f ca="1">VLOOKUP($G334,Overall!$K$5:$T$36,10)</f>
        <v>1.5</v>
      </c>
      <c r="J334" s="62" t="str">
        <f>VLOOKUP($G334,Overall!$K$5:$T$36,6)</f>
        <v>00111111110000000000000000000000</v>
      </c>
      <c r="K334" s="8">
        <f t="shared" ca="1" si="45"/>
        <v>-5.1042361122863651E+38</v>
      </c>
      <c r="L334" s="62">
        <f>VLOOKUP($B334,Overall!$B$5:$I$13,8)</f>
        <v>0</v>
      </c>
      <c r="M334" s="58"/>
      <c r="N334" s="3" t="str">
        <f t="shared" si="46"/>
        <v/>
      </c>
      <c r="O334" s="3" t="str">
        <f t="shared" si="47"/>
        <v/>
      </c>
      <c r="P334" s="3" t="str">
        <f t="shared" si="48"/>
        <v/>
      </c>
      <c r="Q334" s="3">
        <f t="shared" si="49"/>
        <v>0</v>
      </c>
      <c r="R334" s="3">
        <f t="shared" si="50"/>
        <v>0</v>
      </c>
      <c r="S334" s="3" t="e" cm="1">
        <f t="array" aca="1" ref="S334" ca="1">SUMPRODUCT(MID($P334,ROW(INDIRECT("1:23")),1)*2^(-ROW(INDIRECT("1:23"))))</f>
        <v>#VALUE!</v>
      </c>
      <c r="T334" s="3" t="e">
        <f t="shared" ca="1" si="51"/>
        <v>#VALUE!</v>
      </c>
      <c r="U334" s="3" t="e">
        <f t="shared" ca="1" si="52"/>
        <v>#VALUE!</v>
      </c>
      <c r="V334" s="73"/>
      <c r="W334" s="9" t="str">
        <f t="shared" si="53"/>
        <v>OK</v>
      </c>
    </row>
    <row r="335" spans="1:23" x14ac:dyDescent="0.3">
      <c r="A335" s="44">
        <v>332</v>
      </c>
      <c r="B335" s="14">
        <v>6</v>
      </c>
      <c r="C335" s="4">
        <v>10</v>
      </c>
      <c r="D335" s="3" t="str">
        <f>VLOOKUP($C335,Overall!$K$5:$T$36,2)</f>
        <v>Overflow</v>
      </c>
      <c r="E335" s="3">
        <f ca="1">VLOOKUP($C335,Overall!$K$5:$T$36,10)</f>
        <v>-3.4028240748575767E+38</v>
      </c>
      <c r="F335" s="9" t="str">
        <f>VLOOKUP($C335,Overall!$K$5:$T$36,6)</f>
        <v>11111111100000000000000000000001</v>
      </c>
      <c r="G335" s="8">
        <v>20</v>
      </c>
      <c r="H335" s="3" t="str">
        <f>VLOOKUP($G335,Overall!$K$5:$T$36,2)</f>
        <v>Normal</v>
      </c>
      <c r="I335" s="3">
        <f ca="1">VLOOKUP($G335,Overall!$K$5:$T$36,10)</f>
        <v>12345.6787109375</v>
      </c>
      <c r="J335" s="62" t="str">
        <f>VLOOKUP($G335,Overall!$K$5:$T$36,6)</f>
        <v>001000110010000001110011010110111</v>
      </c>
      <c r="K335" s="8">
        <f t="shared" ca="1" si="45"/>
        <v>-4.2010172738034779E+42</v>
      </c>
      <c r="L335" s="62">
        <f>VLOOKUP($B335,Overall!$B$5:$I$13,8)</f>
        <v>0</v>
      </c>
      <c r="M335" s="58"/>
      <c r="N335" s="3" t="str">
        <f t="shared" si="46"/>
        <v/>
      </c>
      <c r="O335" s="3" t="str">
        <f t="shared" si="47"/>
        <v/>
      </c>
      <c r="P335" s="3" t="str">
        <f t="shared" si="48"/>
        <v/>
      </c>
      <c r="Q335" s="3">
        <f t="shared" si="49"/>
        <v>0</v>
      </c>
      <c r="R335" s="3">
        <f t="shared" si="50"/>
        <v>0</v>
      </c>
      <c r="S335" s="3" t="e" cm="1">
        <f t="array" aca="1" ref="S335" ca="1">SUMPRODUCT(MID($P335,ROW(INDIRECT("1:23")),1)*2^(-ROW(INDIRECT("1:23"))))</f>
        <v>#VALUE!</v>
      </c>
      <c r="T335" s="3" t="e">
        <f t="shared" ca="1" si="51"/>
        <v>#VALUE!</v>
      </c>
      <c r="U335" s="3" t="e">
        <f t="shared" ca="1" si="52"/>
        <v>#VALUE!</v>
      </c>
      <c r="V335" s="73"/>
      <c r="W335" s="9" t="str">
        <f t="shared" si="53"/>
        <v>OK</v>
      </c>
    </row>
    <row r="336" spans="1:23" x14ac:dyDescent="0.3">
      <c r="A336" s="44">
        <v>333</v>
      </c>
      <c r="B336" s="14">
        <v>6</v>
      </c>
      <c r="C336" s="4">
        <v>10</v>
      </c>
      <c r="D336" s="3" t="str">
        <f>VLOOKUP($C336,Overall!$K$5:$T$36,2)</f>
        <v>Overflow</v>
      </c>
      <c r="E336" s="3">
        <f ca="1">VLOOKUP($C336,Overall!$K$5:$T$36,10)</f>
        <v>-3.4028240748575767E+38</v>
      </c>
      <c r="F336" s="9" t="str">
        <f>VLOOKUP($C336,Overall!$K$5:$T$36,6)</f>
        <v>11111111100000000000000000000001</v>
      </c>
      <c r="G336" s="8">
        <v>21</v>
      </c>
      <c r="H336" s="3" t="str">
        <f>VLOOKUP($G336,Overall!$K$5:$T$36,2)</f>
        <v>Normal</v>
      </c>
      <c r="I336" s="3">
        <f ca="1">VLOOKUP($G336,Overall!$K$5:$T$36,10)</f>
        <v>2.345678924830959E+38</v>
      </c>
      <c r="J336" s="62" t="str">
        <f>VLOOKUP($G336,Overall!$K$5:$T$36,6)</f>
        <v>01111111001100000111100000100010</v>
      </c>
      <c r="K336" s="8">
        <f t="shared" ca="1" si="45"/>
        <v>-7.9819327173008232E+76</v>
      </c>
      <c r="L336" s="62">
        <f>VLOOKUP($B336,Overall!$B$5:$I$13,8)</f>
        <v>0</v>
      </c>
      <c r="M336" s="58"/>
      <c r="N336" s="3" t="str">
        <f t="shared" si="46"/>
        <v/>
      </c>
      <c r="O336" s="3" t="str">
        <f t="shared" si="47"/>
        <v/>
      </c>
      <c r="P336" s="3" t="str">
        <f t="shared" si="48"/>
        <v/>
      </c>
      <c r="Q336" s="3">
        <f t="shared" si="49"/>
        <v>0</v>
      </c>
      <c r="R336" s="3">
        <f t="shared" si="50"/>
        <v>0</v>
      </c>
      <c r="S336" s="3" t="e" cm="1">
        <f t="array" aca="1" ref="S336" ca="1">SUMPRODUCT(MID($P336,ROW(INDIRECT("1:23")),1)*2^(-ROW(INDIRECT("1:23"))))</f>
        <v>#VALUE!</v>
      </c>
      <c r="T336" s="3" t="e">
        <f t="shared" ca="1" si="51"/>
        <v>#VALUE!</v>
      </c>
      <c r="U336" s="3" t="e">
        <f t="shared" ca="1" si="52"/>
        <v>#VALUE!</v>
      </c>
      <c r="V336" s="73"/>
      <c r="W336" s="9" t="str">
        <f t="shared" si="53"/>
        <v>OK</v>
      </c>
    </row>
    <row r="337" spans="1:23" x14ac:dyDescent="0.3">
      <c r="A337" s="44">
        <v>334</v>
      </c>
      <c r="B337" s="14">
        <v>6</v>
      </c>
      <c r="C337" s="4">
        <v>10</v>
      </c>
      <c r="D337" s="3" t="str">
        <f>VLOOKUP($C337,Overall!$K$5:$T$36,2)</f>
        <v>Overflow</v>
      </c>
      <c r="E337" s="3">
        <f ca="1">VLOOKUP($C337,Overall!$K$5:$T$36,10)</f>
        <v>-3.4028240748575767E+38</v>
      </c>
      <c r="F337" s="9" t="str">
        <f>VLOOKUP($C337,Overall!$K$5:$T$36,6)</f>
        <v>11111111100000000000000000000001</v>
      </c>
      <c r="G337" s="8">
        <v>22</v>
      </c>
      <c r="H337" s="3" t="str">
        <f>VLOOKUP($G337,Overall!$K$5:$T$36,2)</f>
        <v>Normal</v>
      </c>
      <c r="I337" s="3">
        <f ca="1">VLOOKUP($G337,Overall!$K$5:$T$36,10)</f>
        <v>3.4028232635611926E+38</v>
      </c>
      <c r="J337" s="62" t="str">
        <f>VLOOKUP($G337,Overall!$K$5:$T$36,6)</f>
        <v>01111111011111111111111111111110</v>
      </c>
      <c r="K337" s="8">
        <f t="shared" ca="1" si="45"/>
        <v>-1.1579208923731455E+77</v>
      </c>
      <c r="L337" s="62">
        <f>VLOOKUP($B337,Overall!$B$5:$I$13,8)</f>
        <v>0</v>
      </c>
      <c r="M337" s="58"/>
      <c r="N337" s="3" t="str">
        <f t="shared" si="46"/>
        <v/>
      </c>
      <c r="O337" s="3" t="str">
        <f t="shared" si="47"/>
        <v/>
      </c>
      <c r="P337" s="3" t="str">
        <f t="shared" si="48"/>
        <v/>
      </c>
      <c r="Q337" s="3">
        <f t="shared" si="49"/>
        <v>0</v>
      </c>
      <c r="R337" s="3">
        <f t="shared" si="50"/>
        <v>0</v>
      </c>
      <c r="S337" s="3" t="e" cm="1">
        <f t="array" aca="1" ref="S337" ca="1">SUMPRODUCT(MID($P337,ROW(INDIRECT("1:23")),1)*2^(-ROW(INDIRECT("1:23"))))</f>
        <v>#VALUE!</v>
      </c>
      <c r="T337" s="3" t="e">
        <f t="shared" ca="1" si="51"/>
        <v>#VALUE!</v>
      </c>
      <c r="U337" s="3" t="e">
        <f t="shared" ca="1" si="52"/>
        <v>#VALUE!</v>
      </c>
      <c r="V337" s="73"/>
      <c r="W337" s="9" t="str">
        <f t="shared" si="53"/>
        <v>OK</v>
      </c>
    </row>
    <row r="338" spans="1:23" x14ac:dyDescent="0.3">
      <c r="A338" s="44">
        <v>335</v>
      </c>
      <c r="B338" s="14">
        <v>6</v>
      </c>
      <c r="C338" s="4">
        <v>10</v>
      </c>
      <c r="D338" s="3" t="str">
        <f>VLOOKUP($C338,Overall!$K$5:$T$36,2)</f>
        <v>Overflow</v>
      </c>
      <c r="E338" s="3">
        <f ca="1">VLOOKUP($C338,Overall!$K$5:$T$36,10)</f>
        <v>-3.4028240748575767E+38</v>
      </c>
      <c r="F338" s="9" t="str">
        <f>VLOOKUP($C338,Overall!$K$5:$T$36,6)</f>
        <v>11111111100000000000000000000001</v>
      </c>
      <c r="G338" s="8">
        <v>23</v>
      </c>
      <c r="H338" s="3" t="str">
        <f>VLOOKUP($G338,Overall!$K$5:$T$36,2)</f>
        <v>Normal</v>
      </c>
      <c r="I338" s="3">
        <f ca="1">VLOOKUP($G338,Overall!$K$5:$T$36,10)</f>
        <v>3.4028234663852886E+38</v>
      </c>
      <c r="J338" s="62" t="str">
        <f>VLOOKUP($G338,Overall!$K$5:$T$36,6)</f>
        <v>01111111011111111111111111111111</v>
      </c>
      <c r="K338" s="8">
        <f t="shared" ca="1" si="45"/>
        <v>-1.1579209613906172E+77</v>
      </c>
      <c r="L338" s="62">
        <f>VLOOKUP($B338,Overall!$B$5:$I$13,8)</f>
        <v>0</v>
      </c>
      <c r="M338" s="58"/>
      <c r="N338" s="3" t="str">
        <f t="shared" si="46"/>
        <v/>
      </c>
      <c r="O338" s="3" t="str">
        <f t="shared" si="47"/>
        <v/>
      </c>
      <c r="P338" s="3" t="str">
        <f t="shared" si="48"/>
        <v/>
      </c>
      <c r="Q338" s="3">
        <f t="shared" si="49"/>
        <v>0</v>
      </c>
      <c r="R338" s="3">
        <f t="shared" si="50"/>
        <v>0</v>
      </c>
      <c r="S338" s="3" t="e" cm="1">
        <f t="array" aca="1" ref="S338" ca="1">SUMPRODUCT(MID($P338,ROW(INDIRECT("1:23")),1)*2^(-ROW(INDIRECT("1:23"))))</f>
        <v>#VALUE!</v>
      </c>
      <c r="T338" s="3" t="e">
        <f t="shared" ca="1" si="51"/>
        <v>#VALUE!</v>
      </c>
      <c r="U338" s="3" t="e">
        <f t="shared" ca="1" si="52"/>
        <v>#VALUE!</v>
      </c>
      <c r="V338" s="73"/>
      <c r="W338" s="9" t="str">
        <f t="shared" si="53"/>
        <v>OK</v>
      </c>
    </row>
    <row r="339" spans="1:23" x14ac:dyDescent="0.3">
      <c r="A339" s="44">
        <v>336</v>
      </c>
      <c r="B339" s="14">
        <v>6</v>
      </c>
      <c r="C339" s="4">
        <v>10</v>
      </c>
      <c r="D339" s="3" t="str">
        <f>VLOOKUP($C339,Overall!$K$5:$T$36,2)</f>
        <v>Overflow</v>
      </c>
      <c r="E339" s="3">
        <f ca="1">VLOOKUP($C339,Overall!$K$5:$T$36,10)</f>
        <v>-3.4028240748575767E+38</v>
      </c>
      <c r="F339" s="9" t="str">
        <f>VLOOKUP($C339,Overall!$K$5:$T$36,6)</f>
        <v>11111111100000000000000000000001</v>
      </c>
      <c r="G339" s="8">
        <v>24</v>
      </c>
      <c r="H339" s="3" t="str">
        <f>VLOOKUP($G339,Overall!$K$5:$T$36,2)</f>
        <v>Normal</v>
      </c>
      <c r="I339" s="3">
        <f ca="1">VLOOKUP($G339,Overall!$K$5:$T$36,10)</f>
        <v>-1.1754943508222875E-38</v>
      </c>
      <c r="J339" s="62" t="str">
        <f>VLOOKUP($G339,Overall!$K$5:$T$36,6)</f>
        <v>10000000100000000000000000000000</v>
      </c>
      <c r="K339" s="8">
        <f t="shared" ca="1" si="45"/>
        <v>4.0000004768371582</v>
      </c>
      <c r="L339" s="62">
        <f>VLOOKUP($B339,Overall!$B$5:$I$13,8)</f>
        <v>0</v>
      </c>
      <c r="M339" s="58"/>
      <c r="N339" s="3" t="str">
        <f t="shared" si="46"/>
        <v/>
      </c>
      <c r="O339" s="3" t="str">
        <f t="shared" si="47"/>
        <v/>
      </c>
      <c r="P339" s="3" t="str">
        <f t="shared" si="48"/>
        <v/>
      </c>
      <c r="Q339" s="3">
        <f t="shared" si="49"/>
        <v>0</v>
      </c>
      <c r="R339" s="3">
        <f t="shared" si="50"/>
        <v>0</v>
      </c>
      <c r="S339" s="3" t="e" cm="1">
        <f t="array" aca="1" ref="S339" ca="1">SUMPRODUCT(MID($P339,ROW(INDIRECT("1:23")),1)*2^(-ROW(INDIRECT("1:23"))))</f>
        <v>#VALUE!</v>
      </c>
      <c r="T339" s="3" t="e">
        <f t="shared" ca="1" si="51"/>
        <v>#VALUE!</v>
      </c>
      <c r="U339" s="3" t="e">
        <f t="shared" ca="1" si="52"/>
        <v>#VALUE!</v>
      </c>
      <c r="V339" s="73"/>
      <c r="W339" s="9" t="str">
        <f t="shared" si="53"/>
        <v>OK</v>
      </c>
    </row>
    <row r="340" spans="1:23" x14ac:dyDescent="0.3">
      <c r="A340" s="44">
        <v>337</v>
      </c>
      <c r="B340" s="14">
        <v>6</v>
      </c>
      <c r="C340" s="4">
        <v>10</v>
      </c>
      <c r="D340" s="3" t="str">
        <f>VLOOKUP($C340,Overall!$K$5:$T$36,2)</f>
        <v>Overflow</v>
      </c>
      <c r="E340" s="3">
        <f ca="1">VLOOKUP($C340,Overall!$K$5:$T$36,10)</f>
        <v>-3.4028240748575767E+38</v>
      </c>
      <c r="F340" s="9" t="str">
        <f>VLOOKUP($C340,Overall!$K$5:$T$36,6)</f>
        <v>11111111100000000000000000000001</v>
      </c>
      <c r="G340" s="8">
        <v>25</v>
      </c>
      <c r="H340" s="3" t="str">
        <f>VLOOKUP($G340,Overall!$K$5:$T$36,2)</f>
        <v>Normal</v>
      </c>
      <c r="I340" s="3">
        <f ca="1">VLOOKUP($G340,Overall!$K$5:$T$36,10)</f>
        <v>-1.1754944909521339E-38</v>
      </c>
      <c r="J340" s="62" t="str">
        <f>VLOOKUP($G340,Overall!$K$5:$T$36,6)</f>
        <v>10000000100000000000000000000001</v>
      </c>
      <c r="K340" s="8">
        <f t="shared" ca="1" si="45"/>
        <v>4.0000009536743732</v>
      </c>
      <c r="L340" s="62">
        <f>VLOOKUP($B340,Overall!$B$5:$I$13,8)</f>
        <v>0</v>
      </c>
      <c r="M340" s="58"/>
      <c r="N340" s="3" t="str">
        <f t="shared" si="46"/>
        <v/>
      </c>
      <c r="O340" s="3" t="str">
        <f t="shared" si="47"/>
        <v/>
      </c>
      <c r="P340" s="3" t="str">
        <f t="shared" si="48"/>
        <v/>
      </c>
      <c r="Q340" s="3">
        <f t="shared" si="49"/>
        <v>0</v>
      </c>
      <c r="R340" s="3">
        <f t="shared" si="50"/>
        <v>0</v>
      </c>
      <c r="S340" s="3" t="e" cm="1">
        <f t="array" aca="1" ref="S340" ca="1">SUMPRODUCT(MID($P340,ROW(INDIRECT("1:23")),1)*2^(-ROW(INDIRECT("1:23"))))</f>
        <v>#VALUE!</v>
      </c>
      <c r="T340" s="3" t="e">
        <f t="shared" ca="1" si="51"/>
        <v>#VALUE!</v>
      </c>
      <c r="U340" s="3" t="e">
        <f t="shared" ca="1" si="52"/>
        <v>#VALUE!</v>
      </c>
      <c r="V340" s="73"/>
      <c r="W340" s="9" t="str">
        <f t="shared" si="53"/>
        <v>OK</v>
      </c>
    </row>
    <row r="341" spans="1:23" x14ac:dyDescent="0.3">
      <c r="A341" s="44">
        <v>338</v>
      </c>
      <c r="B341" s="14">
        <v>6</v>
      </c>
      <c r="C341" s="4">
        <v>10</v>
      </c>
      <c r="D341" s="3" t="str">
        <f>VLOOKUP($C341,Overall!$K$5:$T$36,2)</f>
        <v>Overflow</v>
      </c>
      <c r="E341" s="3">
        <f ca="1">VLOOKUP($C341,Overall!$K$5:$T$36,10)</f>
        <v>-3.4028240748575767E+38</v>
      </c>
      <c r="F341" s="9" t="str">
        <f>VLOOKUP($C341,Overall!$K$5:$T$36,6)</f>
        <v>11111111100000000000000000000001</v>
      </c>
      <c r="G341" s="8">
        <v>26</v>
      </c>
      <c r="H341" s="3" t="str">
        <f>VLOOKUP($G341,Overall!$K$5:$T$36,2)</f>
        <v>Normal</v>
      </c>
      <c r="I341" s="3">
        <f ca="1">VLOOKUP($G341,Overall!$K$5:$T$36,10)</f>
        <v>-0.5</v>
      </c>
      <c r="J341" s="62" t="str">
        <f>VLOOKUP($G341,Overall!$K$5:$T$36,6)</f>
        <v>10111111000000000000000000000000</v>
      </c>
      <c r="K341" s="8">
        <f t="shared" ca="1" si="45"/>
        <v>1.7014120374287884E+38</v>
      </c>
      <c r="L341" s="62">
        <f>VLOOKUP($B341,Overall!$B$5:$I$13,8)</f>
        <v>0</v>
      </c>
      <c r="M341" s="58"/>
      <c r="N341" s="3" t="str">
        <f t="shared" si="46"/>
        <v/>
      </c>
      <c r="O341" s="3" t="str">
        <f t="shared" si="47"/>
        <v/>
      </c>
      <c r="P341" s="3" t="str">
        <f t="shared" si="48"/>
        <v/>
      </c>
      <c r="Q341" s="3">
        <f t="shared" si="49"/>
        <v>0</v>
      </c>
      <c r="R341" s="3">
        <f t="shared" si="50"/>
        <v>0</v>
      </c>
      <c r="S341" s="3" t="e" cm="1">
        <f t="array" aca="1" ref="S341" ca="1">SUMPRODUCT(MID($P341,ROW(INDIRECT("1:23")),1)*2^(-ROW(INDIRECT("1:23"))))</f>
        <v>#VALUE!</v>
      </c>
      <c r="T341" s="3" t="e">
        <f t="shared" ca="1" si="51"/>
        <v>#VALUE!</v>
      </c>
      <c r="U341" s="3" t="e">
        <f t="shared" ca="1" si="52"/>
        <v>#VALUE!</v>
      </c>
      <c r="V341" s="73"/>
      <c r="W341" s="9" t="str">
        <f t="shared" si="53"/>
        <v>OK</v>
      </c>
    </row>
    <row r="342" spans="1:23" x14ac:dyDescent="0.3">
      <c r="A342" s="44">
        <v>339</v>
      </c>
      <c r="B342" s="14">
        <v>6</v>
      </c>
      <c r="C342" s="4">
        <v>10</v>
      </c>
      <c r="D342" s="3" t="str">
        <f>VLOOKUP($C342,Overall!$K$5:$T$36,2)</f>
        <v>Overflow</v>
      </c>
      <c r="E342" s="3">
        <f ca="1">VLOOKUP($C342,Overall!$K$5:$T$36,10)</f>
        <v>-3.4028240748575767E+38</v>
      </c>
      <c r="F342" s="9" t="str">
        <f>VLOOKUP($C342,Overall!$K$5:$T$36,6)</f>
        <v>11111111100000000000000000000001</v>
      </c>
      <c r="G342" s="8">
        <v>27</v>
      </c>
      <c r="H342" s="3" t="str">
        <f>VLOOKUP($G342,Overall!$K$5:$T$36,2)</f>
        <v>Normal</v>
      </c>
      <c r="I342" s="3">
        <f ca="1">VLOOKUP($G342,Overall!$K$5:$T$36,10)</f>
        <v>-1</v>
      </c>
      <c r="J342" s="62" t="str">
        <f>VLOOKUP($G342,Overall!$K$5:$T$36,6)</f>
        <v>10111111100000000000000000000000</v>
      </c>
      <c r="K342" s="8">
        <f t="shared" ca="1" si="45"/>
        <v>3.4028240748575767E+38</v>
      </c>
      <c r="L342" s="62">
        <f>VLOOKUP($B342,Overall!$B$5:$I$13,8)</f>
        <v>0</v>
      </c>
      <c r="M342" s="58"/>
      <c r="N342" s="3" t="str">
        <f t="shared" si="46"/>
        <v/>
      </c>
      <c r="O342" s="3" t="str">
        <f t="shared" si="47"/>
        <v/>
      </c>
      <c r="P342" s="3" t="str">
        <f t="shared" si="48"/>
        <v/>
      </c>
      <c r="Q342" s="3">
        <f t="shared" si="49"/>
        <v>0</v>
      </c>
      <c r="R342" s="3">
        <f t="shared" si="50"/>
        <v>0</v>
      </c>
      <c r="S342" s="3" t="e" cm="1">
        <f t="array" aca="1" ref="S342" ca="1">SUMPRODUCT(MID($P342,ROW(INDIRECT("1:23")),1)*2^(-ROW(INDIRECT("1:23"))))</f>
        <v>#VALUE!</v>
      </c>
      <c r="T342" s="3" t="e">
        <f t="shared" ca="1" si="51"/>
        <v>#VALUE!</v>
      </c>
      <c r="U342" s="3" t="e">
        <f t="shared" ca="1" si="52"/>
        <v>#VALUE!</v>
      </c>
      <c r="V342" s="73"/>
      <c r="W342" s="9" t="str">
        <f t="shared" si="53"/>
        <v>OK</v>
      </c>
    </row>
    <row r="343" spans="1:23" x14ac:dyDescent="0.3">
      <c r="A343" s="44">
        <v>340</v>
      </c>
      <c r="B343" s="14">
        <v>6</v>
      </c>
      <c r="C343" s="4">
        <v>10</v>
      </c>
      <c r="D343" s="3" t="str">
        <f>VLOOKUP($C343,Overall!$K$5:$T$36,2)</f>
        <v>Overflow</v>
      </c>
      <c r="E343" s="3">
        <f ca="1">VLOOKUP($C343,Overall!$K$5:$T$36,10)</f>
        <v>-3.4028240748575767E+38</v>
      </c>
      <c r="F343" s="9" t="str">
        <f>VLOOKUP($C343,Overall!$K$5:$T$36,6)</f>
        <v>11111111100000000000000000000001</v>
      </c>
      <c r="G343" s="8">
        <v>28</v>
      </c>
      <c r="H343" s="3" t="str">
        <f>VLOOKUP($G343,Overall!$K$5:$T$36,2)</f>
        <v>Normal</v>
      </c>
      <c r="I343" s="3">
        <f ca="1">VLOOKUP($G343,Overall!$K$5:$T$36,10)</f>
        <v>-1.5</v>
      </c>
      <c r="J343" s="62" t="str">
        <f>VLOOKUP($G343,Overall!$K$5:$T$36,6)</f>
        <v>10111111110000000000000000000000</v>
      </c>
      <c r="K343" s="8">
        <f t="shared" ca="1" si="45"/>
        <v>5.1042361122863651E+38</v>
      </c>
      <c r="L343" s="62">
        <f>VLOOKUP($B343,Overall!$B$5:$I$13,8)</f>
        <v>0</v>
      </c>
      <c r="M343" s="58"/>
      <c r="N343" s="3" t="str">
        <f t="shared" si="46"/>
        <v/>
      </c>
      <c r="O343" s="3" t="str">
        <f t="shared" si="47"/>
        <v/>
      </c>
      <c r="P343" s="3" t="str">
        <f t="shared" si="48"/>
        <v/>
      </c>
      <c r="Q343" s="3">
        <f t="shared" si="49"/>
        <v>0</v>
      </c>
      <c r="R343" s="3">
        <f t="shared" si="50"/>
        <v>0</v>
      </c>
      <c r="S343" s="3" t="e" cm="1">
        <f t="array" aca="1" ref="S343" ca="1">SUMPRODUCT(MID($P343,ROW(INDIRECT("1:23")),1)*2^(-ROW(INDIRECT("1:23"))))</f>
        <v>#VALUE!</v>
      </c>
      <c r="T343" s="3" t="e">
        <f t="shared" ca="1" si="51"/>
        <v>#VALUE!</v>
      </c>
      <c r="U343" s="3" t="e">
        <f t="shared" ca="1" si="52"/>
        <v>#VALUE!</v>
      </c>
      <c r="V343" s="73"/>
      <c r="W343" s="9" t="str">
        <f t="shared" si="53"/>
        <v>OK</v>
      </c>
    </row>
    <row r="344" spans="1:23" x14ac:dyDescent="0.3">
      <c r="A344" s="44">
        <v>341</v>
      </c>
      <c r="B344" s="14">
        <v>6</v>
      </c>
      <c r="C344" s="4">
        <v>10</v>
      </c>
      <c r="D344" s="3" t="str">
        <f>VLOOKUP($C344,Overall!$K$5:$T$36,2)</f>
        <v>Overflow</v>
      </c>
      <c r="E344" s="3">
        <f ca="1">VLOOKUP($C344,Overall!$K$5:$T$36,10)</f>
        <v>-3.4028240748575767E+38</v>
      </c>
      <c r="F344" s="9" t="str">
        <f>VLOOKUP($C344,Overall!$K$5:$T$36,6)</f>
        <v>11111111100000000000000000000001</v>
      </c>
      <c r="G344" s="8">
        <v>29</v>
      </c>
      <c r="H344" s="3" t="str">
        <f>VLOOKUP($G344,Overall!$K$5:$T$36,2)</f>
        <v>Normal</v>
      </c>
      <c r="I344" s="3">
        <f ca="1">VLOOKUP($G344,Overall!$K$5:$T$36,10)</f>
        <v>-12345.6787109375</v>
      </c>
      <c r="J344" s="62" t="str">
        <f>VLOOKUP($G344,Overall!$K$5:$T$36,6)</f>
        <v>101000110010000001110011010110111</v>
      </c>
      <c r="K344" s="8">
        <f t="shared" ca="1" si="45"/>
        <v>4.2010172738034779E+42</v>
      </c>
      <c r="L344" s="62">
        <f>VLOOKUP($B344,Overall!$B$5:$I$13,8)</f>
        <v>0</v>
      </c>
      <c r="M344" s="58"/>
      <c r="N344" s="3" t="str">
        <f t="shared" si="46"/>
        <v/>
      </c>
      <c r="O344" s="3" t="str">
        <f t="shared" si="47"/>
        <v/>
      </c>
      <c r="P344" s="3" t="str">
        <f t="shared" si="48"/>
        <v/>
      </c>
      <c r="Q344" s="3">
        <f t="shared" si="49"/>
        <v>0</v>
      </c>
      <c r="R344" s="3">
        <f t="shared" si="50"/>
        <v>0</v>
      </c>
      <c r="S344" s="3" t="e" cm="1">
        <f t="array" aca="1" ref="S344" ca="1">SUMPRODUCT(MID($P344,ROW(INDIRECT("1:23")),1)*2^(-ROW(INDIRECT("1:23"))))</f>
        <v>#VALUE!</v>
      </c>
      <c r="T344" s="3" t="e">
        <f t="shared" ca="1" si="51"/>
        <v>#VALUE!</v>
      </c>
      <c r="U344" s="3" t="e">
        <f t="shared" ca="1" si="52"/>
        <v>#VALUE!</v>
      </c>
      <c r="V344" s="73"/>
      <c r="W344" s="9" t="str">
        <f t="shared" si="53"/>
        <v>OK</v>
      </c>
    </row>
    <row r="345" spans="1:23" x14ac:dyDescent="0.3">
      <c r="A345" s="44">
        <v>342</v>
      </c>
      <c r="B345" s="14">
        <v>6</v>
      </c>
      <c r="C345" s="4">
        <v>10</v>
      </c>
      <c r="D345" s="3" t="str">
        <f>VLOOKUP($C345,Overall!$K$5:$T$36,2)</f>
        <v>Overflow</v>
      </c>
      <c r="E345" s="3">
        <f ca="1">VLOOKUP($C345,Overall!$K$5:$T$36,10)</f>
        <v>-3.4028240748575767E+38</v>
      </c>
      <c r="F345" s="9" t="str">
        <f>VLOOKUP($C345,Overall!$K$5:$T$36,6)</f>
        <v>11111111100000000000000000000001</v>
      </c>
      <c r="G345" s="8">
        <v>30</v>
      </c>
      <c r="H345" s="3" t="str">
        <f>VLOOKUP($G345,Overall!$K$5:$T$36,2)</f>
        <v>Normal</v>
      </c>
      <c r="I345" s="3">
        <f ca="1">VLOOKUP($G345,Overall!$K$5:$T$36,10)</f>
        <v>-2.345678924830959E+38</v>
      </c>
      <c r="J345" s="62" t="str">
        <f>VLOOKUP($G345,Overall!$K$5:$T$36,6)</f>
        <v>11111111001100000111100000100010</v>
      </c>
      <c r="K345" s="8">
        <f t="shared" ca="1" si="45"/>
        <v>7.9819327173008232E+76</v>
      </c>
      <c r="L345" s="62">
        <f>VLOOKUP($B345,Overall!$B$5:$I$13,8)</f>
        <v>0</v>
      </c>
      <c r="M345" s="58"/>
      <c r="N345" s="3" t="str">
        <f t="shared" si="46"/>
        <v/>
      </c>
      <c r="O345" s="3" t="str">
        <f t="shared" si="47"/>
        <v/>
      </c>
      <c r="P345" s="3" t="str">
        <f t="shared" si="48"/>
        <v/>
      </c>
      <c r="Q345" s="3">
        <f t="shared" si="49"/>
        <v>0</v>
      </c>
      <c r="R345" s="3">
        <f t="shared" si="50"/>
        <v>0</v>
      </c>
      <c r="S345" s="3" t="e" cm="1">
        <f t="array" aca="1" ref="S345" ca="1">SUMPRODUCT(MID($P345,ROW(INDIRECT("1:23")),1)*2^(-ROW(INDIRECT("1:23"))))</f>
        <v>#VALUE!</v>
      </c>
      <c r="T345" s="3" t="e">
        <f t="shared" ca="1" si="51"/>
        <v>#VALUE!</v>
      </c>
      <c r="U345" s="3" t="e">
        <f t="shared" ca="1" si="52"/>
        <v>#VALUE!</v>
      </c>
      <c r="V345" s="73"/>
      <c r="W345" s="9" t="str">
        <f t="shared" si="53"/>
        <v>OK</v>
      </c>
    </row>
    <row r="346" spans="1:23" x14ac:dyDescent="0.3">
      <c r="A346" s="44">
        <v>343</v>
      </c>
      <c r="B346" s="14">
        <v>6</v>
      </c>
      <c r="C346" s="4">
        <v>10</v>
      </c>
      <c r="D346" s="3" t="str">
        <f>VLOOKUP($C346,Overall!$K$5:$T$36,2)</f>
        <v>Overflow</v>
      </c>
      <c r="E346" s="3">
        <f ca="1">VLOOKUP($C346,Overall!$K$5:$T$36,10)</f>
        <v>-3.4028240748575767E+38</v>
      </c>
      <c r="F346" s="9" t="str">
        <f>VLOOKUP($C346,Overall!$K$5:$T$36,6)</f>
        <v>11111111100000000000000000000001</v>
      </c>
      <c r="G346" s="8">
        <v>31</v>
      </c>
      <c r="H346" s="3" t="str">
        <f>VLOOKUP($G346,Overall!$K$5:$T$36,2)</f>
        <v>Normal</v>
      </c>
      <c r="I346" s="3">
        <f ca="1">VLOOKUP($G346,Overall!$K$5:$T$36,10)</f>
        <v>-3.4028232635611926E+38</v>
      </c>
      <c r="J346" s="62" t="str">
        <f>VLOOKUP($G346,Overall!$K$5:$T$36,6)</f>
        <v>11111111011111111111111111111110</v>
      </c>
      <c r="K346" s="8">
        <f t="shared" ca="1" si="45"/>
        <v>1.1579208923731455E+77</v>
      </c>
      <c r="L346" s="62">
        <f>VLOOKUP($B346,Overall!$B$5:$I$13,8)</f>
        <v>0</v>
      </c>
      <c r="M346" s="58"/>
      <c r="N346" s="3" t="str">
        <f t="shared" si="46"/>
        <v/>
      </c>
      <c r="O346" s="3" t="str">
        <f t="shared" si="47"/>
        <v/>
      </c>
      <c r="P346" s="3" t="str">
        <f t="shared" si="48"/>
        <v/>
      </c>
      <c r="Q346" s="3">
        <f t="shared" si="49"/>
        <v>0</v>
      </c>
      <c r="R346" s="3">
        <f t="shared" si="50"/>
        <v>0</v>
      </c>
      <c r="S346" s="3" t="e" cm="1">
        <f t="array" aca="1" ref="S346" ca="1">SUMPRODUCT(MID($P346,ROW(INDIRECT("1:23")),1)*2^(-ROW(INDIRECT("1:23"))))</f>
        <v>#VALUE!</v>
      </c>
      <c r="T346" s="3" t="e">
        <f t="shared" ca="1" si="51"/>
        <v>#VALUE!</v>
      </c>
      <c r="U346" s="3" t="e">
        <f t="shared" ca="1" si="52"/>
        <v>#VALUE!</v>
      </c>
      <c r="V346" s="73"/>
      <c r="W346" s="9" t="str">
        <f t="shared" si="53"/>
        <v>OK</v>
      </c>
    </row>
    <row r="347" spans="1:23" x14ac:dyDescent="0.3">
      <c r="A347" s="44">
        <v>344</v>
      </c>
      <c r="B347" s="14">
        <v>6</v>
      </c>
      <c r="C347" s="4">
        <v>10</v>
      </c>
      <c r="D347" s="3" t="str">
        <f>VLOOKUP($C347,Overall!$K$5:$T$36,2)</f>
        <v>Overflow</v>
      </c>
      <c r="E347" s="3">
        <f ca="1">VLOOKUP($C347,Overall!$K$5:$T$36,10)</f>
        <v>-3.4028240748575767E+38</v>
      </c>
      <c r="F347" s="9" t="str">
        <f>VLOOKUP($C347,Overall!$K$5:$T$36,6)</f>
        <v>11111111100000000000000000000001</v>
      </c>
      <c r="G347" s="8">
        <v>32</v>
      </c>
      <c r="H347" s="3" t="str">
        <f>VLOOKUP($G347,Overall!$K$5:$T$36,2)</f>
        <v>Normal</v>
      </c>
      <c r="I347" s="3">
        <f ca="1">VLOOKUP($G347,Overall!$K$5:$T$36,10)</f>
        <v>-3.4028234663852886E+38</v>
      </c>
      <c r="J347" s="62" t="str">
        <f>VLOOKUP($G347,Overall!$K$5:$T$36,6)</f>
        <v>11111111011111111111111111111111</v>
      </c>
      <c r="K347" s="8">
        <f t="shared" ca="1" si="45"/>
        <v>1.1579209613906172E+77</v>
      </c>
      <c r="L347" s="62">
        <f>VLOOKUP($B347,Overall!$B$5:$I$13,8)</f>
        <v>0</v>
      </c>
      <c r="M347" s="58"/>
      <c r="N347" s="3" t="str">
        <f t="shared" si="46"/>
        <v/>
      </c>
      <c r="O347" s="3" t="str">
        <f t="shared" si="47"/>
        <v/>
      </c>
      <c r="P347" s="3" t="str">
        <f t="shared" si="48"/>
        <v/>
      </c>
      <c r="Q347" s="3">
        <f t="shared" si="49"/>
        <v>0</v>
      </c>
      <c r="R347" s="3">
        <f t="shared" si="50"/>
        <v>0</v>
      </c>
      <c r="S347" s="3" t="e" cm="1">
        <f t="array" aca="1" ref="S347" ca="1">SUMPRODUCT(MID($P347,ROW(INDIRECT("1:23")),1)*2^(-ROW(INDIRECT("1:23"))))</f>
        <v>#VALUE!</v>
      </c>
      <c r="T347" s="3" t="e">
        <f t="shared" ca="1" si="51"/>
        <v>#VALUE!</v>
      </c>
      <c r="U347" s="3" t="e">
        <f t="shared" ca="1" si="52"/>
        <v>#VALUE!</v>
      </c>
      <c r="V347" s="73"/>
      <c r="W347" s="9" t="str">
        <f t="shared" si="53"/>
        <v>OK</v>
      </c>
    </row>
    <row r="348" spans="1:23" x14ac:dyDescent="0.3">
      <c r="A348" s="44">
        <v>345</v>
      </c>
      <c r="B348" s="14">
        <v>6</v>
      </c>
      <c r="C348" s="4">
        <v>11</v>
      </c>
      <c r="D348" s="3" t="str">
        <f>VLOOKUP($C348,Overall!$K$5:$T$36,2)</f>
        <v>Overflow</v>
      </c>
      <c r="E348" s="3">
        <f ca="1">VLOOKUP($C348,Overall!$K$5:$T$36,10)</f>
        <v>-4.2535303978081149E+38</v>
      </c>
      <c r="F348" s="9" t="str">
        <f>VLOOKUP($C348,Overall!$K$5:$T$36,6)</f>
        <v>11111111101000000000000000000010</v>
      </c>
      <c r="G348" s="8">
        <v>13</v>
      </c>
      <c r="H348" s="3" t="str">
        <f>VLOOKUP($G348,Overall!$K$5:$T$36,2)</f>
        <v>Normal</v>
      </c>
      <c r="I348" s="3">
        <f ca="1">VLOOKUP($G348,Overall!$K$5:$T$36,10)</f>
        <v>0</v>
      </c>
      <c r="J348" s="62" t="str">
        <f>VLOOKUP($G348,Overall!$K$5:$T$36,6)</f>
        <v>00000000000000000000000000000000</v>
      </c>
      <c r="K348" s="8">
        <f t="shared" ca="1" si="45"/>
        <v>0</v>
      </c>
      <c r="L348" s="62">
        <f>VLOOKUP($B348,Overall!$B$5:$I$13,8)</f>
        <v>0</v>
      </c>
      <c r="M348" s="58"/>
      <c r="N348" s="3" t="str">
        <f t="shared" si="46"/>
        <v/>
      </c>
      <c r="O348" s="3" t="str">
        <f t="shared" si="47"/>
        <v/>
      </c>
      <c r="P348" s="3" t="str">
        <f t="shared" si="48"/>
        <v/>
      </c>
      <c r="Q348" s="3">
        <f t="shared" si="49"/>
        <v>0</v>
      </c>
      <c r="R348" s="3">
        <f t="shared" si="50"/>
        <v>0</v>
      </c>
      <c r="S348" s="3" t="e" cm="1">
        <f t="array" aca="1" ref="S348" ca="1">SUMPRODUCT(MID($P348,ROW(INDIRECT("1:23")),1)*2^(-ROW(INDIRECT("1:23"))))</f>
        <v>#VALUE!</v>
      </c>
      <c r="T348" s="3" t="e">
        <f t="shared" ca="1" si="51"/>
        <v>#VALUE!</v>
      </c>
      <c r="U348" s="3" t="e">
        <f t="shared" ca="1" si="52"/>
        <v>#VALUE!</v>
      </c>
      <c r="V348" s="73"/>
      <c r="W348" s="9" t="str">
        <f t="shared" si="53"/>
        <v>OK</v>
      </c>
    </row>
    <row r="349" spans="1:23" x14ac:dyDescent="0.3">
      <c r="A349" s="44">
        <v>346</v>
      </c>
      <c r="B349" s="14">
        <v>6</v>
      </c>
      <c r="C349" s="4">
        <v>11</v>
      </c>
      <c r="D349" s="3" t="str">
        <f>VLOOKUP($C349,Overall!$K$5:$T$36,2)</f>
        <v>Overflow</v>
      </c>
      <c r="E349" s="3">
        <f ca="1">VLOOKUP($C349,Overall!$K$5:$T$36,10)</f>
        <v>-4.2535303978081149E+38</v>
      </c>
      <c r="F349" s="9" t="str">
        <f>VLOOKUP($C349,Overall!$K$5:$T$36,6)</f>
        <v>11111111101000000000000000000010</v>
      </c>
      <c r="G349" s="8">
        <v>14</v>
      </c>
      <c r="H349" s="3" t="str">
        <f>VLOOKUP($G349,Overall!$K$5:$T$36,2)</f>
        <v>Normal</v>
      </c>
      <c r="I349" s="3">
        <f ca="1">VLOOKUP($G349,Overall!$K$5:$T$36,10)</f>
        <v>0</v>
      </c>
      <c r="J349" s="62" t="str">
        <f>VLOOKUP($G349,Overall!$K$5:$T$36,6)</f>
        <v>10000000000000000000000000000000</v>
      </c>
      <c r="K349" s="8">
        <f t="shared" ca="1" si="45"/>
        <v>0</v>
      </c>
      <c r="L349" s="62">
        <f>VLOOKUP($B349,Overall!$B$5:$I$13,8)</f>
        <v>0</v>
      </c>
      <c r="M349" s="58"/>
      <c r="N349" s="3" t="str">
        <f t="shared" si="46"/>
        <v/>
      </c>
      <c r="O349" s="3" t="str">
        <f t="shared" si="47"/>
        <v/>
      </c>
      <c r="P349" s="3" t="str">
        <f t="shared" si="48"/>
        <v/>
      </c>
      <c r="Q349" s="3">
        <f t="shared" si="49"/>
        <v>0</v>
      </c>
      <c r="R349" s="3">
        <f t="shared" si="50"/>
        <v>0</v>
      </c>
      <c r="S349" s="3" t="e" cm="1">
        <f t="array" aca="1" ref="S349" ca="1">SUMPRODUCT(MID($P349,ROW(INDIRECT("1:23")),1)*2^(-ROW(INDIRECT("1:23"))))</f>
        <v>#VALUE!</v>
      </c>
      <c r="T349" s="3" t="e">
        <f t="shared" ca="1" si="51"/>
        <v>#VALUE!</v>
      </c>
      <c r="U349" s="3" t="e">
        <f t="shared" ca="1" si="52"/>
        <v>#VALUE!</v>
      </c>
      <c r="V349" s="73"/>
      <c r="W349" s="9" t="str">
        <f t="shared" si="53"/>
        <v>OK</v>
      </c>
    </row>
    <row r="350" spans="1:23" x14ac:dyDescent="0.3">
      <c r="A350" s="44">
        <v>347</v>
      </c>
      <c r="B350" s="14">
        <v>6</v>
      </c>
      <c r="C350" s="4">
        <v>11</v>
      </c>
      <c r="D350" s="3" t="str">
        <f>VLOOKUP($C350,Overall!$K$5:$T$36,2)</f>
        <v>Overflow</v>
      </c>
      <c r="E350" s="3">
        <f ca="1">VLOOKUP($C350,Overall!$K$5:$T$36,10)</f>
        <v>-4.2535303978081149E+38</v>
      </c>
      <c r="F350" s="9" t="str">
        <f>VLOOKUP($C350,Overall!$K$5:$T$36,6)</f>
        <v>11111111101000000000000000000010</v>
      </c>
      <c r="G350" s="8">
        <v>15</v>
      </c>
      <c r="H350" s="3" t="str">
        <f>VLOOKUP($G350,Overall!$K$5:$T$36,2)</f>
        <v>Normal</v>
      </c>
      <c r="I350" s="3">
        <f ca="1">VLOOKUP($G350,Overall!$K$5:$T$36,10)</f>
        <v>1.1754943508222875E-38</v>
      </c>
      <c r="J350" s="62" t="str">
        <f>VLOOKUP($G350,Overall!$K$5:$T$36,6)</f>
        <v>00000000100000000000000000000000</v>
      </c>
      <c r="K350" s="8">
        <f t="shared" ca="1" si="45"/>
        <v>-5.0000009536743164</v>
      </c>
      <c r="L350" s="62">
        <f>VLOOKUP($B350,Overall!$B$5:$I$13,8)</f>
        <v>0</v>
      </c>
      <c r="M350" s="58"/>
      <c r="N350" s="3" t="str">
        <f t="shared" si="46"/>
        <v/>
      </c>
      <c r="O350" s="3" t="str">
        <f t="shared" si="47"/>
        <v/>
      </c>
      <c r="P350" s="3" t="str">
        <f t="shared" si="48"/>
        <v/>
      </c>
      <c r="Q350" s="3">
        <f t="shared" si="49"/>
        <v>0</v>
      </c>
      <c r="R350" s="3">
        <f t="shared" si="50"/>
        <v>0</v>
      </c>
      <c r="S350" s="3" t="e" cm="1">
        <f t="array" aca="1" ref="S350" ca="1">SUMPRODUCT(MID($P350,ROW(INDIRECT("1:23")),1)*2^(-ROW(INDIRECT("1:23"))))</f>
        <v>#VALUE!</v>
      </c>
      <c r="T350" s="3" t="e">
        <f t="shared" ca="1" si="51"/>
        <v>#VALUE!</v>
      </c>
      <c r="U350" s="3" t="e">
        <f t="shared" ca="1" si="52"/>
        <v>#VALUE!</v>
      </c>
      <c r="V350" s="73"/>
      <c r="W350" s="9" t="str">
        <f t="shared" si="53"/>
        <v>OK</v>
      </c>
    </row>
    <row r="351" spans="1:23" x14ac:dyDescent="0.3">
      <c r="A351" s="44">
        <v>348</v>
      </c>
      <c r="B351" s="14">
        <v>6</v>
      </c>
      <c r="C351" s="4">
        <v>11</v>
      </c>
      <c r="D351" s="3" t="str">
        <f>VLOOKUP($C351,Overall!$K$5:$T$36,2)</f>
        <v>Overflow</v>
      </c>
      <c r="E351" s="3">
        <f ca="1">VLOOKUP($C351,Overall!$K$5:$T$36,10)</f>
        <v>-4.2535303978081149E+38</v>
      </c>
      <c r="F351" s="9" t="str">
        <f>VLOOKUP($C351,Overall!$K$5:$T$36,6)</f>
        <v>11111111101000000000000000000010</v>
      </c>
      <c r="G351" s="8">
        <v>16</v>
      </c>
      <c r="H351" s="3" t="str">
        <f>VLOOKUP($G351,Overall!$K$5:$T$36,2)</f>
        <v>Normal</v>
      </c>
      <c r="I351" s="3">
        <f ca="1">VLOOKUP($G351,Overall!$K$5:$T$36,10)</f>
        <v>1.1754944909521339E-38</v>
      </c>
      <c r="J351" s="62" t="str">
        <f>VLOOKUP($G351,Overall!$K$5:$T$36,6)</f>
        <v>00000000100000000000000000000001</v>
      </c>
      <c r="K351" s="8">
        <f t="shared" ca="1" si="45"/>
        <v>-5.0000015497208778</v>
      </c>
      <c r="L351" s="62">
        <f>VLOOKUP($B351,Overall!$B$5:$I$13,8)</f>
        <v>0</v>
      </c>
      <c r="M351" s="58"/>
      <c r="N351" s="3" t="str">
        <f t="shared" si="46"/>
        <v/>
      </c>
      <c r="O351" s="3" t="str">
        <f t="shared" si="47"/>
        <v/>
      </c>
      <c r="P351" s="3" t="str">
        <f t="shared" si="48"/>
        <v/>
      </c>
      <c r="Q351" s="3">
        <f t="shared" si="49"/>
        <v>0</v>
      </c>
      <c r="R351" s="3">
        <f t="shared" si="50"/>
        <v>0</v>
      </c>
      <c r="S351" s="3" t="e" cm="1">
        <f t="array" aca="1" ref="S351" ca="1">SUMPRODUCT(MID($P351,ROW(INDIRECT("1:23")),1)*2^(-ROW(INDIRECT("1:23"))))</f>
        <v>#VALUE!</v>
      </c>
      <c r="T351" s="3" t="e">
        <f t="shared" ca="1" si="51"/>
        <v>#VALUE!</v>
      </c>
      <c r="U351" s="3" t="e">
        <f t="shared" ca="1" si="52"/>
        <v>#VALUE!</v>
      </c>
      <c r="V351" s="73"/>
      <c r="W351" s="9" t="str">
        <f t="shared" si="53"/>
        <v>OK</v>
      </c>
    </row>
    <row r="352" spans="1:23" x14ac:dyDescent="0.3">
      <c r="A352" s="44">
        <v>349</v>
      </c>
      <c r="B352" s="14">
        <v>6</v>
      </c>
      <c r="C352" s="4">
        <v>11</v>
      </c>
      <c r="D352" s="3" t="str">
        <f>VLOOKUP($C352,Overall!$K$5:$T$36,2)</f>
        <v>Overflow</v>
      </c>
      <c r="E352" s="3">
        <f ca="1">VLOOKUP($C352,Overall!$K$5:$T$36,10)</f>
        <v>-4.2535303978081149E+38</v>
      </c>
      <c r="F352" s="9" t="str">
        <f>VLOOKUP($C352,Overall!$K$5:$T$36,6)</f>
        <v>11111111101000000000000000000010</v>
      </c>
      <c r="G352" s="8">
        <v>17</v>
      </c>
      <c r="H352" s="3" t="str">
        <f>VLOOKUP($G352,Overall!$K$5:$T$36,2)</f>
        <v>Normal</v>
      </c>
      <c r="I352" s="3">
        <f ca="1">VLOOKUP($G352,Overall!$K$5:$T$36,10)</f>
        <v>0.5</v>
      </c>
      <c r="J352" s="62" t="str">
        <f>VLOOKUP($G352,Overall!$K$5:$T$36,6)</f>
        <v>00111111000000000000000000000000</v>
      </c>
      <c r="K352" s="8">
        <f t="shared" ca="1" si="45"/>
        <v>-2.1267651989040575E+38</v>
      </c>
      <c r="L352" s="62">
        <f>VLOOKUP($B352,Overall!$B$5:$I$13,8)</f>
        <v>0</v>
      </c>
      <c r="M352" s="58"/>
      <c r="N352" s="3" t="str">
        <f t="shared" si="46"/>
        <v/>
      </c>
      <c r="O352" s="3" t="str">
        <f t="shared" si="47"/>
        <v/>
      </c>
      <c r="P352" s="3" t="str">
        <f t="shared" si="48"/>
        <v/>
      </c>
      <c r="Q352" s="3">
        <f t="shared" si="49"/>
        <v>0</v>
      </c>
      <c r="R352" s="3">
        <f t="shared" si="50"/>
        <v>0</v>
      </c>
      <c r="S352" s="3" t="e" cm="1">
        <f t="array" aca="1" ref="S352" ca="1">SUMPRODUCT(MID($P352,ROW(INDIRECT("1:23")),1)*2^(-ROW(INDIRECT("1:23"))))</f>
        <v>#VALUE!</v>
      </c>
      <c r="T352" s="3" t="e">
        <f t="shared" ca="1" si="51"/>
        <v>#VALUE!</v>
      </c>
      <c r="U352" s="3" t="e">
        <f t="shared" ca="1" si="52"/>
        <v>#VALUE!</v>
      </c>
      <c r="V352" s="73"/>
      <c r="W352" s="9" t="str">
        <f t="shared" si="53"/>
        <v>OK</v>
      </c>
    </row>
    <row r="353" spans="1:23" x14ac:dyDescent="0.3">
      <c r="A353" s="44">
        <v>350</v>
      </c>
      <c r="B353" s="14">
        <v>6</v>
      </c>
      <c r="C353" s="4">
        <v>11</v>
      </c>
      <c r="D353" s="3" t="str">
        <f>VLOOKUP($C353,Overall!$K$5:$T$36,2)</f>
        <v>Overflow</v>
      </c>
      <c r="E353" s="3">
        <f ca="1">VLOOKUP($C353,Overall!$K$5:$T$36,10)</f>
        <v>-4.2535303978081149E+38</v>
      </c>
      <c r="F353" s="9" t="str">
        <f>VLOOKUP($C353,Overall!$K$5:$T$36,6)</f>
        <v>11111111101000000000000000000010</v>
      </c>
      <c r="G353" s="8">
        <v>18</v>
      </c>
      <c r="H353" s="3" t="str">
        <f>VLOOKUP($G353,Overall!$K$5:$T$36,2)</f>
        <v>Normal</v>
      </c>
      <c r="I353" s="3">
        <f ca="1">VLOOKUP($G353,Overall!$K$5:$T$36,10)</f>
        <v>1</v>
      </c>
      <c r="J353" s="62" t="str">
        <f>VLOOKUP($G353,Overall!$K$5:$T$36,6)</f>
        <v>00111111100000000000000000000000</v>
      </c>
      <c r="K353" s="8">
        <f t="shared" ca="1" si="45"/>
        <v>-4.2535303978081149E+38</v>
      </c>
      <c r="L353" s="62">
        <f>VLOOKUP($B353,Overall!$B$5:$I$13,8)</f>
        <v>0</v>
      </c>
      <c r="M353" s="58"/>
      <c r="N353" s="3" t="str">
        <f t="shared" si="46"/>
        <v/>
      </c>
      <c r="O353" s="3" t="str">
        <f t="shared" si="47"/>
        <v/>
      </c>
      <c r="P353" s="3" t="str">
        <f t="shared" si="48"/>
        <v/>
      </c>
      <c r="Q353" s="3">
        <f t="shared" si="49"/>
        <v>0</v>
      </c>
      <c r="R353" s="3">
        <f t="shared" si="50"/>
        <v>0</v>
      </c>
      <c r="S353" s="3" t="e" cm="1">
        <f t="array" aca="1" ref="S353" ca="1">SUMPRODUCT(MID($P353,ROW(INDIRECT("1:23")),1)*2^(-ROW(INDIRECT("1:23"))))</f>
        <v>#VALUE!</v>
      </c>
      <c r="T353" s="3" t="e">
        <f t="shared" ca="1" si="51"/>
        <v>#VALUE!</v>
      </c>
      <c r="U353" s="3" t="e">
        <f t="shared" ca="1" si="52"/>
        <v>#VALUE!</v>
      </c>
      <c r="V353" s="73"/>
      <c r="W353" s="9" t="str">
        <f t="shared" si="53"/>
        <v>OK</v>
      </c>
    </row>
    <row r="354" spans="1:23" x14ac:dyDescent="0.3">
      <c r="A354" s="44">
        <v>351</v>
      </c>
      <c r="B354" s="14">
        <v>6</v>
      </c>
      <c r="C354" s="4">
        <v>11</v>
      </c>
      <c r="D354" s="3" t="str">
        <f>VLOOKUP($C354,Overall!$K$5:$T$36,2)</f>
        <v>Overflow</v>
      </c>
      <c r="E354" s="3">
        <f ca="1">VLOOKUP($C354,Overall!$K$5:$T$36,10)</f>
        <v>-4.2535303978081149E+38</v>
      </c>
      <c r="F354" s="9" t="str">
        <f>VLOOKUP($C354,Overall!$K$5:$T$36,6)</f>
        <v>11111111101000000000000000000010</v>
      </c>
      <c r="G354" s="8">
        <v>19</v>
      </c>
      <c r="H354" s="3" t="str">
        <f>VLOOKUP($G354,Overall!$K$5:$T$36,2)</f>
        <v>Normal</v>
      </c>
      <c r="I354" s="3">
        <f ca="1">VLOOKUP($G354,Overall!$K$5:$T$36,10)</f>
        <v>1.5</v>
      </c>
      <c r="J354" s="62" t="str">
        <f>VLOOKUP($G354,Overall!$K$5:$T$36,6)</f>
        <v>00111111110000000000000000000000</v>
      </c>
      <c r="K354" s="8">
        <f t="shared" ca="1" si="45"/>
        <v>-6.3802955967121724E+38</v>
      </c>
      <c r="L354" s="62">
        <f>VLOOKUP($B354,Overall!$B$5:$I$13,8)</f>
        <v>0</v>
      </c>
      <c r="M354" s="58"/>
      <c r="N354" s="3" t="str">
        <f t="shared" si="46"/>
        <v/>
      </c>
      <c r="O354" s="3" t="str">
        <f t="shared" si="47"/>
        <v/>
      </c>
      <c r="P354" s="3" t="str">
        <f t="shared" si="48"/>
        <v/>
      </c>
      <c r="Q354" s="3">
        <f t="shared" si="49"/>
        <v>0</v>
      </c>
      <c r="R354" s="3">
        <f t="shared" si="50"/>
        <v>0</v>
      </c>
      <c r="S354" s="3" t="e" cm="1">
        <f t="array" aca="1" ref="S354" ca="1">SUMPRODUCT(MID($P354,ROW(INDIRECT("1:23")),1)*2^(-ROW(INDIRECT("1:23"))))</f>
        <v>#VALUE!</v>
      </c>
      <c r="T354" s="3" t="e">
        <f t="shared" ca="1" si="51"/>
        <v>#VALUE!</v>
      </c>
      <c r="U354" s="3" t="e">
        <f t="shared" ca="1" si="52"/>
        <v>#VALUE!</v>
      </c>
      <c r="V354" s="73"/>
      <c r="W354" s="9" t="str">
        <f t="shared" si="53"/>
        <v>OK</v>
      </c>
    </row>
    <row r="355" spans="1:23" x14ac:dyDescent="0.3">
      <c r="A355" s="44">
        <v>352</v>
      </c>
      <c r="B355" s="14">
        <v>6</v>
      </c>
      <c r="C355" s="4">
        <v>11</v>
      </c>
      <c r="D355" s="3" t="str">
        <f>VLOOKUP($C355,Overall!$K$5:$T$36,2)</f>
        <v>Overflow</v>
      </c>
      <c r="E355" s="3">
        <f ca="1">VLOOKUP($C355,Overall!$K$5:$T$36,10)</f>
        <v>-4.2535303978081149E+38</v>
      </c>
      <c r="F355" s="9" t="str">
        <f>VLOOKUP($C355,Overall!$K$5:$T$36,6)</f>
        <v>11111111101000000000000000000010</v>
      </c>
      <c r="G355" s="8">
        <v>20</v>
      </c>
      <c r="H355" s="3" t="str">
        <f>VLOOKUP($G355,Overall!$K$5:$T$36,2)</f>
        <v>Normal</v>
      </c>
      <c r="I355" s="3">
        <f ca="1">VLOOKUP($G355,Overall!$K$5:$T$36,10)</f>
        <v>12345.6787109375</v>
      </c>
      <c r="J355" s="62" t="str">
        <f>VLOOKUP($G355,Overall!$K$5:$T$36,6)</f>
        <v>001000110010000001110011010110111</v>
      </c>
      <c r="K355" s="8">
        <f t="shared" ca="1" si="45"/>
        <v>-5.251271967854516E+42</v>
      </c>
      <c r="L355" s="62">
        <f>VLOOKUP($B355,Overall!$B$5:$I$13,8)</f>
        <v>0</v>
      </c>
      <c r="M355" s="58"/>
      <c r="N355" s="3" t="str">
        <f t="shared" si="46"/>
        <v/>
      </c>
      <c r="O355" s="3" t="str">
        <f t="shared" si="47"/>
        <v/>
      </c>
      <c r="P355" s="3" t="str">
        <f t="shared" si="48"/>
        <v/>
      </c>
      <c r="Q355" s="3">
        <f t="shared" si="49"/>
        <v>0</v>
      </c>
      <c r="R355" s="3">
        <f t="shared" si="50"/>
        <v>0</v>
      </c>
      <c r="S355" s="3" t="e" cm="1">
        <f t="array" aca="1" ref="S355" ca="1">SUMPRODUCT(MID($P355,ROW(INDIRECT("1:23")),1)*2^(-ROW(INDIRECT("1:23"))))</f>
        <v>#VALUE!</v>
      </c>
      <c r="T355" s="3" t="e">
        <f t="shared" ca="1" si="51"/>
        <v>#VALUE!</v>
      </c>
      <c r="U355" s="3" t="e">
        <f t="shared" ca="1" si="52"/>
        <v>#VALUE!</v>
      </c>
      <c r="V355" s="73"/>
      <c r="W355" s="9" t="str">
        <f t="shared" si="53"/>
        <v>OK</v>
      </c>
    </row>
    <row r="356" spans="1:23" x14ac:dyDescent="0.3">
      <c r="A356" s="44">
        <v>353</v>
      </c>
      <c r="B356" s="14">
        <v>6</v>
      </c>
      <c r="C356" s="4">
        <v>11</v>
      </c>
      <c r="D356" s="3" t="str">
        <f>VLOOKUP($C356,Overall!$K$5:$T$36,2)</f>
        <v>Overflow</v>
      </c>
      <c r="E356" s="3">
        <f ca="1">VLOOKUP($C356,Overall!$K$5:$T$36,10)</f>
        <v>-4.2535303978081149E+38</v>
      </c>
      <c r="F356" s="9" t="str">
        <f>VLOOKUP($C356,Overall!$K$5:$T$36,6)</f>
        <v>11111111101000000000000000000010</v>
      </c>
      <c r="G356" s="8">
        <v>21</v>
      </c>
      <c r="H356" s="3" t="str">
        <f>VLOOKUP($G356,Overall!$K$5:$T$36,2)</f>
        <v>Normal</v>
      </c>
      <c r="I356" s="3">
        <f ca="1">VLOOKUP($G356,Overall!$K$5:$T$36,10)</f>
        <v>2.345678924830959E+38</v>
      </c>
      <c r="J356" s="62" t="str">
        <f>VLOOKUP($G356,Overall!$K$5:$T$36,6)</f>
        <v>01111111001100000111100000100010</v>
      </c>
      <c r="K356" s="8">
        <f t="shared" ca="1" si="45"/>
        <v>-9.9774166102663403E+76</v>
      </c>
      <c r="L356" s="62">
        <f>VLOOKUP($B356,Overall!$B$5:$I$13,8)</f>
        <v>0</v>
      </c>
      <c r="M356" s="58"/>
      <c r="N356" s="3" t="str">
        <f t="shared" si="46"/>
        <v/>
      </c>
      <c r="O356" s="3" t="str">
        <f t="shared" si="47"/>
        <v/>
      </c>
      <c r="P356" s="3" t="str">
        <f t="shared" si="48"/>
        <v/>
      </c>
      <c r="Q356" s="3">
        <f t="shared" si="49"/>
        <v>0</v>
      </c>
      <c r="R356" s="3">
        <f t="shared" si="50"/>
        <v>0</v>
      </c>
      <c r="S356" s="3" t="e" cm="1">
        <f t="array" aca="1" ref="S356" ca="1">SUMPRODUCT(MID($P356,ROW(INDIRECT("1:23")),1)*2^(-ROW(INDIRECT("1:23"))))</f>
        <v>#VALUE!</v>
      </c>
      <c r="T356" s="3" t="e">
        <f t="shared" ca="1" si="51"/>
        <v>#VALUE!</v>
      </c>
      <c r="U356" s="3" t="e">
        <f t="shared" ca="1" si="52"/>
        <v>#VALUE!</v>
      </c>
      <c r="V356" s="73"/>
      <c r="W356" s="9" t="str">
        <f t="shared" si="53"/>
        <v>OK</v>
      </c>
    </row>
    <row r="357" spans="1:23" x14ac:dyDescent="0.3">
      <c r="A357" s="44">
        <v>354</v>
      </c>
      <c r="B357" s="14">
        <v>6</v>
      </c>
      <c r="C357" s="4">
        <v>11</v>
      </c>
      <c r="D357" s="3" t="str">
        <f>VLOOKUP($C357,Overall!$K$5:$T$36,2)</f>
        <v>Overflow</v>
      </c>
      <c r="E357" s="3">
        <f ca="1">VLOOKUP($C357,Overall!$K$5:$T$36,10)</f>
        <v>-4.2535303978081149E+38</v>
      </c>
      <c r="F357" s="9" t="str">
        <f>VLOOKUP($C357,Overall!$K$5:$T$36,6)</f>
        <v>11111111101000000000000000000010</v>
      </c>
      <c r="G357" s="8">
        <v>22</v>
      </c>
      <c r="H357" s="3" t="str">
        <f>VLOOKUP($G357,Overall!$K$5:$T$36,2)</f>
        <v>Normal</v>
      </c>
      <c r="I357" s="3">
        <f ca="1">VLOOKUP($G357,Overall!$K$5:$T$36,10)</f>
        <v>3.4028232635611926E+38</v>
      </c>
      <c r="J357" s="62" t="str">
        <f>VLOOKUP($G357,Overall!$K$5:$T$36,6)</f>
        <v>01111111011111111111111111111110</v>
      </c>
      <c r="K357" s="8">
        <f t="shared" ca="1" si="45"/>
        <v>-1.4474012189926147E+77</v>
      </c>
      <c r="L357" s="62">
        <f>VLOOKUP($B357,Overall!$B$5:$I$13,8)</f>
        <v>0</v>
      </c>
      <c r="M357" s="58"/>
      <c r="N357" s="3" t="str">
        <f t="shared" si="46"/>
        <v/>
      </c>
      <c r="O357" s="3" t="str">
        <f t="shared" si="47"/>
        <v/>
      </c>
      <c r="P357" s="3" t="str">
        <f t="shared" si="48"/>
        <v/>
      </c>
      <c r="Q357" s="3">
        <f t="shared" si="49"/>
        <v>0</v>
      </c>
      <c r="R357" s="3">
        <f t="shared" si="50"/>
        <v>0</v>
      </c>
      <c r="S357" s="3" t="e" cm="1">
        <f t="array" aca="1" ref="S357" ca="1">SUMPRODUCT(MID($P357,ROW(INDIRECT("1:23")),1)*2^(-ROW(INDIRECT("1:23"))))</f>
        <v>#VALUE!</v>
      </c>
      <c r="T357" s="3" t="e">
        <f t="shared" ca="1" si="51"/>
        <v>#VALUE!</v>
      </c>
      <c r="U357" s="3" t="e">
        <f t="shared" ca="1" si="52"/>
        <v>#VALUE!</v>
      </c>
      <c r="V357" s="73"/>
      <c r="W357" s="9" t="str">
        <f t="shared" si="53"/>
        <v>OK</v>
      </c>
    </row>
    <row r="358" spans="1:23" x14ac:dyDescent="0.3">
      <c r="A358" s="44">
        <v>355</v>
      </c>
      <c r="B358" s="14">
        <v>6</v>
      </c>
      <c r="C358" s="4">
        <v>11</v>
      </c>
      <c r="D358" s="3" t="str">
        <f>VLOOKUP($C358,Overall!$K$5:$T$36,2)</f>
        <v>Overflow</v>
      </c>
      <c r="E358" s="3">
        <f ca="1">VLOOKUP($C358,Overall!$K$5:$T$36,10)</f>
        <v>-4.2535303978081149E+38</v>
      </c>
      <c r="F358" s="9" t="str">
        <f>VLOOKUP($C358,Overall!$K$5:$T$36,6)</f>
        <v>11111111101000000000000000000010</v>
      </c>
      <c r="G358" s="8">
        <v>23</v>
      </c>
      <c r="H358" s="3" t="str">
        <f>VLOOKUP($G358,Overall!$K$5:$T$36,2)</f>
        <v>Normal</v>
      </c>
      <c r="I358" s="3">
        <f ca="1">VLOOKUP($G358,Overall!$K$5:$T$36,10)</f>
        <v>3.4028234663852886E+38</v>
      </c>
      <c r="J358" s="62" t="str">
        <f>VLOOKUP($G358,Overall!$K$5:$T$36,6)</f>
        <v>01111111011111111111111111111111</v>
      </c>
      <c r="K358" s="8">
        <f t="shared" ca="1" si="45"/>
        <v>-1.4474013052644605E+77</v>
      </c>
      <c r="L358" s="62">
        <f>VLOOKUP($B358,Overall!$B$5:$I$13,8)</f>
        <v>0</v>
      </c>
      <c r="M358" s="58"/>
      <c r="N358" s="3" t="str">
        <f t="shared" si="46"/>
        <v/>
      </c>
      <c r="O358" s="3" t="str">
        <f t="shared" si="47"/>
        <v/>
      </c>
      <c r="P358" s="3" t="str">
        <f t="shared" si="48"/>
        <v/>
      </c>
      <c r="Q358" s="3">
        <f t="shared" si="49"/>
        <v>0</v>
      </c>
      <c r="R358" s="3">
        <f t="shared" si="50"/>
        <v>0</v>
      </c>
      <c r="S358" s="3" t="e" cm="1">
        <f t="array" aca="1" ref="S358" ca="1">SUMPRODUCT(MID($P358,ROW(INDIRECT("1:23")),1)*2^(-ROW(INDIRECT("1:23"))))</f>
        <v>#VALUE!</v>
      </c>
      <c r="T358" s="3" t="e">
        <f t="shared" ca="1" si="51"/>
        <v>#VALUE!</v>
      </c>
      <c r="U358" s="3" t="e">
        <f t="shared" ca="1" si="52"/>
        <v>#VALUE!</v>
      </c>
      <c r="V358" s="73"/>
      <c r="W358" s="9" t="str">
        <f t="shared" si="53"/>
        <v>OK</v>
      </c>
    </row>
    <row r="359" spans="1:23" x14ac:dyDescent="0.3">
      <c r="A359" s="44">
        <v>356</v>
      </c>
      <c r="B359" s="14">
        <v>6</v>
      </c>
      <c r="C359" s="4">
        <v>11</v>
      </c>
      <c r="D359" s="3" t="str">
        <f>VLOOKUP($C359,Overall!$K$5:$T$36,2)</f>
        <v>Overflow</v>
      </c>
      <c r="E359" s="3">
        <f ca="1">VLOOKUP($C359,Overall!$K$5:$T$36,10)</f>
        <v>-4.2535303978081149E+38</v>
      </c>
      <c r="F359" s="9" t="str">
        <f>VLOOKUP($C359,Overall!$K$5:$T$36,6)</f>
        <v>11111111101000000000000000000010</v>
      </c>
      <c r="G359" s="8">
        <v>24</v>
      </c>
      <c r="H359" s="3" t="str">
        <f>VLOOKUP($G359,Overall!$K$5:$T$36,2)</f>
        <v>Normal</v>
      </c>
      <c r="I359" s="3">
        <f ca="1">VLOOKUP($G359,Overall!$K$5:$T$36,10)</f>
        <v>-1.1754943508222875E-38</v>
      </c>
      <c r="J359" s="62" t="str">
        <f>VLOOKUP($G359,Overall!$K$5:$T$36,6)</f>
        <v>10000000100000000000000000000000</v>
      </c>
      <c r="K359" s="8">
        <f t="shared" ca="1" si="45"/>
        <v>5.0000009536743164</v>
      </c>
      <c r="L359" s="62">
        <f>VLOOKUP($B359,Overall!$B$5:$I$13,8)</f>
        <v>0</v>
      </c>
      <c r="M359" s="58"/>
      <c r="N359" s="3" t="str">
        <f t="shared" si="46"/>
        <v/>
      </c>
      <c r="O359" s="3" t="str">
        <f t="shared" si="47"/>
        <v/>
      </c>
      <c r="P359" s="3" t="str">
        <f t="shared" si="48"/>
        <v/>
      </c>
      <c r="Q359" s="3">
        <f t="shared" si="49"/>
        <v>0</v>
      </c>
      <c r="R359" s="3">
        <f t="shared" si="50"/>
        <v>0</v>
      </c>
      <c r="S359" s="3" t="e" cm="1">
        <f t="array" aca="1" ref="S359" ca="1">SUMPRODUCT(MID($P359,ROW(INDIRECT("1:23")),1)*2^(-ROW(INDIRECT("1:23"))))</f>
        <v>#VALUE!</v>
      </c>
      <c r="T359" s="3" t="e">
        <f t="shared" ca="1" si="51"/>
        <v>#VALUE!</v>
      </c>
      <c r="U359" s="3" t="e">
        <f t="shared" ca="1" si="52"/>
        <v>#VALUE!</v>
      </c>
      <c r="V359" s="73"/>
      <c r="W359" s="9" t="str">
        <f t="shared" si="53"/>
        <v>OK</v>
      </c>
    </row>
    <row r="360" spans="1:23" x14ac:dyDescent="0.3">
      <c r="A360" s="44">
        <v>357</v>
      </c>
      <c r="B360" s="14">
        <v>6</v>
      </c>
      <c r="C360" s="4">
        <v>11</v>
      </c>
      <c r="D360" s="3" t="str">
        <f>VLOOKUP($C360,Overall!$K$5:$T$36,2)</f>
        <v>Overflow</v>
      </c>
      <c r="E360" s="3">
        <f ca="1">VLOOKUP($C360,Overall!$K$5:$T$36,10)</f>
        <v>-4.2535303978081149E+38</v>
      </c>
      <c r="F360" s="9" t="str">
        <f>VLOOKUP($C360,Overall!$K$5:$T$36,6)</f>
        <v>11111111101000000000000000000010</v>
      </c>
      <c r="G360" s="8">
        <v>25</v>
      </c>
      <c r="H360" s="3" t="str">
        <f>VLOOKUP($G360,Overall!$K$5:$T$36,2)</f>
        <v>Normal</v>
      </c>
      <c r="I360" s="3">
        <f ca="1">VLOOKUP($G360,Overall!$K$5:$T$36,10)</f>
        <v>-1.1754944909521339E-38</v>
      </c>
      <c r="J360" s="62" t="str">
        <f>VLOOKUP($G360,Overall!$K$5:$T$36,6)</f>
        <v>10000000100000000000000000000001</v>
      </c>
      <c r="K360" s="8">
        <f t="shared" ca="1" si="45"/>
        <v>5.0000015497208778</v>
      </c>
      <c r="L360" s="62">
        <f>VLOOKUP($B360,Overall!$B$5:$I$13,8)</f>
        <v>0</v>
      </c>
      <c r="M360" s="58"/>
      <c r="N360" s="3" t="str">
        <f t="shared" si="46"/>
        <v/>
      </c>
      <c r="O360" s="3" t="str">
        <f t="shared" si="47"/>
        <v/>
      </c>
      <c r="P360" s="3" t="str">
        <f t="shared" si="48"/>
        <v/>
      </c>
      <c r="Q360" s="3">
        <f t="shared" si="49"/>
        <v>0</v>
      </c>
      <c r="R360" s="3">
        <f t="shared" si="50"/>
        <v>0</v>
      </c>
      <c r="S360" s="3" t="e" cm="1">
        <f t="array" aca="1" ref="S360" ca="1">SUMPRODUCT(MID($P360,ROW(INDIRECT("1:23")),1)*2^(-ROW(INDIRECT("1:23"))))</f>
        <v>#VALUE!</v>
      </c>
      <c r="T360" s="3" t="e">
        <f t="shared" ca="1" si="51"/>
        <v>#VALUE!</v>
      </c>
      <c r="U360" s="3" t="e">
        <f t="shared" ca="1" si="52"/>
        <v>#VALUE!</v>
      </c>
      <c r="V360" s="73"/>
      <c r="W360" s="9" t="str">
        <f t="shared" si="53"/>
        <v>OK</v>
      </c>
    </row>
    <row r="361" spans="1:23" x14ac:dyDescent="0.3">
      <c r="A361" s="44">
        <v>358</v>
      </c>
      <c r="B361" s="14">
        <v>6</v>
      </c>
      <c r="C361" s="4">
        <v>11</v>
      </c>
      <c r="D361" s="3" t="str">
        <f>VLOOKUP($C361,Overall!$K$5:$T$36,2)</f>
        <v>Overflow</v>
      </c>
      <c r="E361" s="3">
        <f ca="1">VLOOKUP($C361,Overall!$K$5:$T$36,10)</f>
        <v>-4.2535303978081149E+38</v>
      </c>
      <c r="F361" s="9" t="str">
        <f>VLOOKUP($C361,Overall!$K$5:$T$36,6)</f>
        <v>11111111101000000000000000000010</v>
      </c>
      <c r="G361" s="8">
        <v>26</v>
      </c>
      <c r="H361" s="3" t="str">
        <f>VLOOKUP($G361,Overall!$K$5:$T$36,2)</f>
        <v>Normal</v>
      </c>
      <c r="I361" s="3">
        <f ca="1">VLOOKUP($G361,Overall!$K$5:$T$36,10)</f>
        <v>-0.5</v>
      </c>
      <c r="J361" s="62" t="str">
        <f>VLOOKUP($G361,Overall!$K$5:$T$36,6)</f>
        <v>10111111000000000000000000000000</v>
      </c>
      <c r="K361" s="8">
        <f t="shared" ca="1" si="45"/>
        <v>2.1267651989040575E+38</v>
      </c>
      <c r="L361" s="62">
        <f>VLOOKUP($B361,Overall!$B$5:$I$13,8)</f>
        <v>0</v>
      </c>
      <c r="M361" s="58"/>
      <c r="N361" s="3" t="str">
        <f t="shared" si="46"/>
        <v/>
      </c>
      <c r="O361" s="3" t="str">
        <f t="shared" si="47"/>
        <v/>
      </c>
      <c r="P361" s="3" t="str">
        <f t="shared" si="48"/>
        <v/>
      </c>
      <c r="Q361" s="3">
        <f t="shared" si="49"/>
        <v>0</v>
      </c>
      <c r="R361" s="3">
        <f t="shared" si="50"/>
        <v>0</v>
      </c>
      <c r="S361" s="3" t="e" cm="1">
        <f t="array" aca="1" ref="S361" ca="1">SUMPRODUCT(MID($P361,ROW(INDIRECT("1:23")),1)*2^(-ROW(INDIRECT("1:23"))))</f>
        <v>#VALUE!</v>
      </c>
      <c r="T361" s="3" t="e">
        <f t="shared" ca="1" si="51"/>
        <v>#VALUE!</v>
      </c>
      <c r="U361" s="3" t="e">
        <f t="shared" ca="1" si="52"/>
        <v>#VALUE!</v>
      </c>
      <c r="V361" s="73"/>
      <c r="W361" s="9" t="str">
        <f t="shared" si="53"/>
        <v>OK</v>
      </c>
    </row>
    <row r="362" spans="1:23" x14ac:dyDescent="0.3">
      <c r="A362" s="44">
        <v>359</v>
      </c>
      <c r="B362" s="14">
        <v>6</v>
      </c>
      <c r="C362" s="4">
        <v>11</v>
      </c>
      <c r="D362" s="3" t="str">
        <f>VLOOKUP($C362,Overall!$K$5:$T$36,2)</f>
        <v>Overflow</v>
      </c>
      <c r="E362" s="3">
        <f ca="1">VLOOKUP($C362,Overall!$K$5:$T$36,10)</f>
        <v>-4.2535303978081149E+38</v>
      </c>
      <c r="F362" s="9" t="str">
        <f>VLOOKUP($C362,Overall!$K$5:$T$36,6)</f>
        <v>11111111101000000000000000000010</v>
      </c>
      <c r="G362" s="8">
        <v>27</v>
      </c>
      <c r="H362" s="3" t="str">
        <f>VLOOKUP($G362,Overall!$K$5:$T$36,2)</f>
        <v>Normal</v>
      </c>
      <c r="I362" s="3">
        <f ca="1">VLOOKUP($G362,Overall!$K$5:$T$36,10)</f>
        <v>-1</v>
      </c>
      <c r="J362" s="62" t="str">
        <f>VLOOKUP($G362,Overall!$K$5:$T$36,6)</f>
        <v>10111111100000000000000000000000</v>
      </c>
      <c r="K362" s="8">
        <f t="shared" ca="1" si="45"/>
        <v>4.2535303978081149E+38</v>
      </c>
      <c r="L362" s="62">
        <f>VLOOKUP($B362,Overall!$B$5:$I$13,8)</f>
        <v>0</v>
      </c>
      <c r="M362" s="58"/>
      <c r="N362" s="3" t="str">
        <f t="shared" si="46"/>
        <v/>
      </c>
      <c r="O362" s="3" t="str">
        <f t="shared" si="47"/>
        <v/>
      </c>
      <c r="P362" s="3" t="str">
        <f t="shared" si="48"/>
        <v/>
      </c>
      <c r="Q362" s="3">
        <f t="shared" si="49"/>
        <v>0</v>
      </c>
      <c r="R362" s="3">
        <f t="shared" si="50"/>
        <v>0</v>
      </c>
      <c r="S362" s="3" t="e" cm="1">
        <f t="array" aca="1" ref="S362" ca="1">SUMPRODUCT(MID($P362,ROW(INDIRECT("1:23")),1)*2^(-ROW(INDIRECT("1:23"))))</f>
        <v>#VALUE!</v>
      </c>
      <c r="T362" s="3" t="e">
        <f t="shared" ca="1" si="51"/>
        <v>#VALUE!</v>
      </c>
      <c r="U362" s="3" t="e">
        <f t="shared" ca="1" si="52"/>
        <v>#VALUE!</v>
      </c>
      <c r="V362" s="73"/>
      <c r="W362" s="9" t="str">
        <f t="shared" si="53"/>
        <v>OK</v>
      </c>
    </row>
    <row r="363" spans="1:23" x14ac:dyDescent="0.3">
      <c r="A363" s="44">
        <v>360</v>
      </c>
      <c r="B363" s="14">
        <v>6</v>
      </c>
      <c r="C363" s="4">
        <v>11</v>
      </c>
      <c r="D363" s="3" t="str">
        <f>VLOOKUP($C363,Overall!$K$5:$T$36,2)</f>
        <v>Overflow</v>
      </c>
      <c r="E363" s="3">
        <f ca="1">VLOOKUP($C363,Overall!$K$5:$T$36,10)</f>
        <v>-4.2535303978081149E+38</v>
      </c>
      <c r="F363" s="9" t="str">
        <f>VLOOKUP($C363,Overall!$K$5:$T$36,6)</f>
        <v>11111111101000000000000000000010</v>
      </c>
      <c r="G363" s="8">
        <v>28</v>
      </c>
      <c r="H363" s="3" t="str">
        <f>VLOOKUP($G363,Overall!$K$5:$T$36,2)</f>
        <v>Normal</v>
      </c>
      <c r="I363" s="3">
        <f ca="1">VLOOKUP($G363,Overall!$K$5:$T$36,10)</f>
        <v>-1.5</v>
      </c>
      <c r="J363" s="62" t="str">
        <f>VLOOKUP($G363,Overall!$K$5:$T$36,6)</f>
        <v>10111111110000000000000000000000</v>
      </c>
      <c r="K363" s="8">
        <f t="shared" ca="1" si="45"/>
        <v>6.3802955967121724E+38</v>
      </c>
      <c r="L363" s="62">
        <f>VLOOKUP($B363,Overall!$B$5:$I$13,8)</f>
        <v>0</v>
      </c>
      <c r="M363" s="58"/>
      <c r="N363" s="3" t="str">
        <f t="shared" si="46"/>
        <v/>
      </c>
      <c r="O363" s="3" t="str">
        <f t="shared" si="47"/>
        <v/>
      </c>
      <c r="P363" s="3" t="str">
        <f t="shared" si="48"/>
        <v/>
      </c>
      <c r="Q363" s="3">
        <f t="shared" si="49"/>
        <v>0</v>
      </c>
      <c r="R363" s="3">
        <f t="shared" si="50"/>
        <v>0</v>
      </c>
      <c r="S363" s="3" t="e" cm="1">
        <f t="array" aca="1" ref="S363" ca="1">SUMPRODUCT(MID($P363,ROW(INDIRECT("1:23")),1)*2^(-ROW(INDIRECT("1:23"))))</f>
        <v>#VALUE!</v>
      </c>
      <c r="T363" s="3" t="e">
        <f t="shared" ca="1" si="51"/>
        <v>#VALUE!</v>
      </c>
      <c r="U363" s="3" t="e">
        <f t="shared" ca="1" si="52"/>
        <v>#VALUE!</v>
      </c>
      <c r="V363" s="73"/>
      <c r="W363" s="9" t="str">
        <f t="shared" si="53"/>
        <v>OK</v>
      </c>
    </row>
    <row r="364" spans="1:23" x14ac:dyDescent="0.3">
      <c r="A364" s="44">
        <v>361</v>
      </c>
      <c r="B364" s="14">
        <v>6</v>
      </c>
      <c r="C364" s="4">
        <v>11</v>
      </c>
      <c r="D364" s="3" t="str">
        <f>VLOOKUP($C364,Overall!$K$5:$T$36,2)</f>
        <v>Overflow</v>
      </c>
      <c r="E364" s="3">
        <f ca="1">VLOOKUP($C364,Overall!$K$5:$T$36,10)</f>
        <v>-4.2535303978081149E+38</v>
      </c>
      <c r="F364" s="9" t="str">
        <f>VLOOKUP($C364,Overall!$K$5:$T$36,6)</f>
        <v>11111111101000000000000000000010</v>
      </c>
      <c r="G364" s="8">
        <v>29</v>
      </c>
      <c r="H364" s="3" t="str">
        <f>VLOOKUP($G364,Overall!$K$5:$T$36,2)</f>
        <v>Normal</v>
      </c>
      <c r="I364" s="3">
        <f ca="1">VLOOKUP($G364,Overall!$K$5:$T$36,10)</f>
        <v>-12345.6787109375</v>
      </c>
      <c r="J364" s="62" t="str">
        <f>VLOOKUP($G364,Overall!$K$5:$T$36,6)</f>
        <v>101000110010000001110011010110111</v>
      </c>
      <c r="K364" s="8">
        <f t="shared" ca="1" si="45"/>
        <v>5.251271967854516E+42</v>
      </c>
      <c r="L364" s="62">
        <f>VLOOKUP($B364,Overall!$B$5:$I$13,8)</f>
        <v>0</v>
      </c>
      <c r="M364" s="58"/>
      <c r="N364" s="3" t="str">
        <f t="shared" si="46"/>
        <v/>
      </c>
      <c r="O364" s="3" t="str">
        <f t="shared" si="47"/>
        <v/>
      </c>
      <c r="P364" s="3" t="str">
        <f t="shared" si="48"/>
        <v/>
      </c>
      <c r="Q364" s="3">
        <f t="shared" si="49"/>
        <v>0</v>
      </c>
      <c r="R364" s="3">
        <f t="shared" si="50"/>
        <v>0</v>
      </c>
      <c r="S364" s="3" t="e" cm="1">
        <f t="array" aca="1" ref="S364" ca="1">SUMPRODUCT(MID($P364,ROW(INDIRECT("1:23")),1)*2^(-ROW(INDIRECT("1:23"))))</f>
        <v>#VALUE!</v>
      </c>
      <c r="T364" s="3" t="e">
        <f t="shared" ca="1" si="51"/>
        <v>#VALUE!</v>
      </c>
      <c r="U364" s="3" t="e">
        <f t="shared" ca="1" si="52"/>
        <v>#VALUE!</v>
      </c>
      <c r="V364" s="73"/>
      <c r="W364" s="9" t="str">
        <f t="shared" si="53"/>
        <v>OK</v>
      </c>
    </row>
    <row r="365" spans="1:23" x14ac:dyDescent="0.3">
      <c r="A365" s="44">
        <v>362</v>
      </c>
      <c r="B365" s="14">
        <v>6</v>
      </c>
      <c r="C365" s="4">
        <v>11</v>
      </c>
      <c r="D365" s="3" t="str">
        <f>VLOOKUP($C365,Overall!$K$5:$T$36,2)</f>
        <v>Overflow</v>
      </c>
      <c r="E365" s="3">
        <f ca="1">VLOOKUP($C365,Overall!$K$5:$T$36,10)</f>
        <v>-4.2535303978081149E+38</v>
      </c>
      <c r="F365" s="9" t="str">
        <f>VLOOKUP($C365,Overall!$K$5:$T$36,6)</f>
        <v>11111111101000000000000000000010</v>
      </c>
      <c r="G365" s="8">
        <v>30</v>
      </c>
      <c r="H365" s="3" t="str">
        <f>VLOOKUP($G365,Overall!$K$5:$T$36,2)</f>
        <v>Normal</v>
      </c>
      <c r="I365" s="3">
        <f ca="1">VLOOKUP($G365,Overall!$K$5:$T$36,10)</f>
        <v>-2.345678924830959E+38</v>
      </c>
      <c r="J365" s="62" t="str">
        <f>VLOOKUP($G365,Overall!$K$5:$T$36,6)</f>
        <v>11111111001100000111100000100010</v>
      </c>
      <c r="K365" s="8">
        <f t="shared" ca="1" si="45"/>
        <v>9.9774166102663403E+76</v>
      </c>
      <c r="L365" s="62">
        <f>VLOOKUP($B365,Overall!$B$5:$I$13,8)</f>
        <v>0</v>
      </c>
      <c r="M365" s="58"/>
      <c r="N365" s="3" t="str">
        <f t="shared" si="46"/>
        <v/>
      </c>
      <c r="O365" s="3" t="str">
        <f t="shared" si="47"/>
        <v/>
      </c>
      <c r="P365" s="3" t="str">
        <f t="shared" si="48"/>
        <v/>
      </c>
      <c r="Q365" s="3">
        <f t="shared" si="49"/>
        <v>0</v>
      </c>
      <c r="R365" s="3">
        <f t="shared" si="50"/>
        <v>0</v>
      </c>
      <c r="S365" s="3" t="e" cm="1">
        <f t="array" aca="1" ref="S365" ca="1">SUMPRODUCT(MID($P365,ROW(INDIRECT("1:23")),1)*2^(-ROW(INDIRECT("1:23"))))</f>
        <v>#VALUE!</v>
      </c>
      <c r="T365" s="3" t="e">
        <f t="shared" ca="1" si="51"/>
        <v>#VALUE!</v>
      </c>
      <c r="U365" s="3" t="e">
        <f t="shared" ca="1" si="52"/>
        <v>#VALUE!</v>
      </c>
      <c r="V365" s="73"/>
      <c r="W365" s="9" t="str">
        <f t="shared" si="53"/>
        <v>OK</v>
      </c>
    </row>
    <row r="366" spans="1:23" x14ac:dyDescent="0.3">
      <c r="A366" s="44">
        <v>363</v>
      </c>
      <c r="B366" s="14">
        <v>6</v>
      </c>
      <c r="C366" s="4">
        <v>11</v>
      </c>
      <c r="D366" s="3" t="str">
        <f>VLOOKUP($C366,Overall!$K$5:$T$36,2)</f>
        <v>Overflow</v>
      </c>
      <c r="E366" s="3">
        <f ca="1">VLOOKUP($C366,Overall!$K$5:$T$36,10)</f>
        <v>-4.2535303978081149E+38</v>
      </c>
      <c r="F366" s="9" t="str">
        <f>VLOOKUP($C366,Overall!$K$5:$T$36,6)</f>
        <v>11111111101000000000000000000010</v>
      </c>
      <c r="G366" s="8">
        <v>31</v>
      </c>
      <c r="H366" s="3" t="str">
        <f>VLOOKUP($G366,Overall!$K$5:$T$36,2)</f>
        <v>Normal</v>
      </c>
      <c r="I366" s="3">
        <f ca="1">VLOOKUP($G366,Overall!$K$5:$T$36,10)</f>
        <v>-3.4028232635611926E+38</v>
      </c>
      <c r="J366" s="62" t="str">
        <f>VLOOKUP($G366,Overall!$K$5:$T$36,6)</f>
        <v>11111111011111111111111111111110</v>
      </c>
      <c r="K366" s="8">
        <f t="shared" ca="1" si="45"/>
        <v>1.4474012189926147E+77</v>
      </c>
      <c r="L366" s="62">
        <f>VLOOKUP($B366,Overall!$B$5:$I$13,8)</f>
        <v>0</v>
      </c>
      <c r="M366" s="58"/>
      <c r="N366" s="3" t="str">
        <f t="shared" si="46"/>
        <v/>
      </c>
      <c r="O366" s="3" t="str">
        <f t="shared" si="47"/>
        <v/>
      </c>
      <c r="P366" s="3" t="str">
        <f t="shared" si="48"/>
        <v/>
      </c>
      <c r="Q366" s="3">
        <f t="shared" si="49"/>
        <v>0</v>
      </c>
      <c r="R366" s="3">
        <f t="shared" si="50"/>
        <v>0</v>
      </c>
      <c r="S366" s="3" t="e" cm="1">
        <f t="array" aca="1" ref="S366" ca="1">SUMPRODUCT(MID($P366,ROW(INDIRECT("1:23")),1)*2^(-ROW(INDIRECT("1:23"))))</f>
        <v>#VALUE!</v>
      </c>
      <c r="T366" s="3" t="e">
        <f t="shared" ca="1" si="51"/>
        <v>#VALUE!</v>
      </c>
      <c r="U366" s="3" t="e">
        <f t="shared" ca="1" si="52"/>
        <v>#VALUE!</v>
      </c>
      <c r="V366" s="73"/>
      <c r="W366" s="9" t="str">
        <f t="shared" si="53"/>
        <v>OK</v>
      </c>
    </row>
    <row r="367" spans="1:23" x14ac:dyDescent="0.3">
      <c r="A367" s="44">
        <v>364</v>
      </c>
      <c r="B367" s="14">
        <v>6</v>
      </c>
      <c r="C367" s="4">
        <v>11</v>
      </c>
      <c r="D367" s="3" t="str">
        <f>VLOOKUP($C367,Overall!$K$5:$T$36,2)</f>
        <v>Overflow</v>
      </c>
      <c r="E367" s="3">
        <f ca="1">VLOOKUP($C367,Overall!$K$5:$T$36,10)</f>
        <v>-4.2535303978081149E+38</v>
      </c>
      <c r="F367" s="9" t="str">
        <f>VLOOKUP($C367,Overall!$K$5:$T$36,6)</f>
        <v>11111111101000000000000000000010</v>
      </c>
      <c r="G367" s="8">
        <v>32</v>
      </c>
      <c r="H367" s="3" t="str">
        <f>VLOOKUP($G367,Overall!$K$5:$T$36,2)</f>
        <v>Normal</v>
      </c>
      <c r="I367" s="3">
        <f ca="1">VLOOKUP($G367,Overall!$K$5:$T$36,10)</f>
        <v>-3.4028234663852886E+38</v>
      </c>
      <c r="J367" s="62" t="str">
        <f>VLOOKUP($G367,Overall!$K$5:$T$36,6)</f>
        <v>11111111011111111111111111111111</v>
      </c>
      <c r="K367" s="8">
        <f t="shared" ca="1" si="45"/>
        <v>1.4474013052644605E+77</v>
      </c>
      <c r="L367" s="62">
        <f>VLOOKUP($B367,Overall!$B$5:$I$13,8)</f>
        <v>0</v>
      </c>
      <c r="M367" s="58"/>
      <c r="N367" s="3" t="str">
        <f t="shared" si="46"/>
        <v/>
      </c>
      <c r="O367" s="3" t="str">
        <f t="shared" si="47"/>
        <v/>
      </c>
      <c r="P367" s="3" t="str">
        <f t="shared" si="48"/>
        <v/>
      </c>
      <c r="Q367" s="3">
        <f t="shared" si="49"/>
        <v>0</v>
      </c>
      <c r="R367" s="3">
        <f t="shared" si="50"/>
        <v>0</v>
      </c>
      <c r="S367" s="3" t="e" cm="1">
        <f t="array" aca="1" ref="S367" ca="1">SUMPRODUCT(MID($P367,ROW(INDIRECT("1:23")),1)*2^(-ROW(INDIRECT("1:23"))))</f>
        <v>#VALUE!</v>
      </c>
      <c r="T367" s="3" t="e">
        <f t="shared" ca="1" si="51"/>
        <v>#VALUE!</v>
      </c>
      <c r="U367" s="3" t="e">
        <f t="shared" ca="1" si="52"/>
        <v>#VALUE!</v>
      </c>
      <c r="V367" s="73"/>
      <c r="W367" s="9" t="str">
        <f t="shared" si="53"/>
        <v>OK</v>
      </c>
    </row>
    <row r="368" spans="1:23" x14ac:dyDescent="0.3">
      <c r="A368" s="44">
        <v>365</v>
      </c>
      <c r="B368" s="14">
        <v>6</v>
      </c>
      <c r="C368" s="4">
        <v>12</v>
      </c>
      <c r="D368" s="3" t="str">
        <f>VLOOKUP($C368,Overall!$K$5:$T$36,2)</f>
        <v>Overflow</v>
      </c>
      <c r="E368" s="3">
        <f ca="1">VLOOKUP($C368,Overall!$K$5:$T$36,10)</f>
        <v>-6.8056469327705772E+38</v>
      </c>
      <c r="F368" s="9" t="str">
        <f>VLOOKUP($C368,Overall!$K$5:$T$36,6)</f>
        <v>11111111111111111111111111111111</v>
      </c>
      <c r="G368" s="8">
        <v>13</v>
      </c>
      <c r="H368" s="3" t="str">
        <f>VLOOKUP($G368,Overall!$K$5:$T$36,2)</f>
        <v>Normal</v>
      </c>
      <c r="I368" s="3">
        <f ca="1">VLOOKUP($G368,Overall!$K$5:$T$36,10)</f>
        <v>0</v>
      </c>
      <c r="J368" s="62" t="str">
        <f>VLOOKUP($G368,Overall!$K$5:$T$36,6)</f>
        <v>00000000000000000000000000000000</v>
      </c>
      <c r="K368" s="8">
        <f t="shared" ca="1" si="45"/>
        <v>0</v>
      </c>
      <c r="L368" s="62">
        <f>VLOOKUP($B368,Overall!$B$5:$I$13,8)</f>
        <v>0</v>
      </c>
      <c r="M368" s="58"/>
      <c r="N368" s="3" t="str">
        <f t="shared" si="46"/>
        <v/>
      </c>
      <c r="O368" s="3" t="str">
        <f t="shared" si="47"/>
        <v/>
      </c>
      <c r="P368" s="3" t="str">
        <f t="shared" si="48"/>
        <v/>
      </c>
      <c r="Q368" s="3">
        <f t="shared" si="49"/>
        <v>0</v>
      </c>
      <c r="R368" s="3">
        <f t="shared" si="50"/>
        <v>0</v>
      </c>
      <c r="S368" s="3" t="e" cm="1">
        <f t="array" aca="1" ref="S368" ca="1">SUMPRODUCT(MID($P368,ROW(INDIRECT("1:23")),1)*2^(-ROW(INDIRECT("1:23"))))</f>
        <v>#VALUE!</v>
      </c>
      <c r="T368" s="3" t="e">
        <f t="shared" ca="1" si="51"/>
        <v>#VALUE!</v>
      </c>
      <c r="U368" s="3" t="e">
        <f t="shared" ca="1" si="52"/>
        <v>#VALUE!</v>
      </c>
      <c r="V368" s="73"/>
      <c r="W368" s="9" t="str">
        <f t="shared" si="53"/>
        <v>OK</v>
      </c>
    </row>
    <row r="369" spans="1:23" x14ac:dyDescent="0.3">
      <c r="A369" s="44">
        <v>366</v>
      </c>
      <c r="B369" s="14">
        <v>6</v>
      </c>
      <c r="C369" s="4">
        <v>12</v>
      </c>
      <c r="D369" s="3" t="str">
        <f>VLOOKUP($C369,Overall!$K$5:$T$36,2)</f>
        <v>Overflow</v>
      </c>
      <c r="E369" s="3">
        <f ca="1">VLOOKUP($C369,Overall!$K$5:$T$36,10)</f>
        <v>-6.8056469327705772E+38</v>
      </c>
      <c r="F369" s="9" t="str">
        <f>VLOOKUP($C369,Overall!$K$5:$T$36,6)</f>
        <v>11111111111111111111111111111111</v>
      </c>
      <c r="G369" s="8">
        <v>14</v>
      </c>
      <c r="H369" s="3" t="str">
        <f>VLOOKUP($G369,Overall!$K$5:$T$36,2)</f>
        <v>Normal</v>
      </c>
      <c r="I369" s="3">
        <f ca="1">VLOOKUP($G369,Overall!$K$5:$T$36,10)</f>
        <v>0</v>
      </c>
      <c r="J369" s="62" t="str">
        <f>VLOOKUP($G369,Overall!$K$5:$T$36,6)</f>
        <v>10000000000000000000000000000000</v>
      </c>
      <c r="K369" s="8">
        <f t="shared" ca="1" si="45"/>
        <v>0</v>
      </c>
      <c r="L369" s="62">
        <f>VLOOKUP($B369,Overall!$B$5:$I$13,8)</f>
        <v>0</v>
      </c>
      <c r="M369" s="58"/>
      <c r="N369" s="3" t="str">
        <f t="shared" si="46"/>
        <v/>
      </c>
      <c r="O369" s="3" t="str">
        <f t="shared" si="47"/>
        <v/>
      </c>
      <c r="P369" s="3" t="str">
        <f t="shared" si="48"/>
        <v/>
      </c>
      <c r="Q369" s="3">
        <f t="shared" si="49"/>
        <v>0</v>
      </c>
      <c r="R369" s="3">
        <f t="shared" si="50"/>
        <v>0</v>
      </c>
      <c r="S369" s="3" t="e" cm="1">
        <f t="array" aca="1" ref="S369" ca="1">SUMPRODUCT(MID($P369,ROW(INDIRECT("1:23")),1)*2^(-ROW(INDIRECT("1:23"))))</f>
        <v>#VALUE!</v>
      </c>
      <c r="T369" s="3" t="e">
        <f t="shared" ca="1" si="51"/>
        <v>#VALUE!</v>
      </c>
      <c r="U369" s="3" t="e">
        <f t="shared" ca="1" si="52"/>
        <v>#VALUE!</v>
      </c>
      <c r="V369" s="73"/>
      <c r="W369" s="9" t="str">
        <f t="shared" si="53"/>
        <v>OK</v>
      </c>
    </row>
    <row r="370" spans="1:23" x14ac:dyDescent="0.3">
      <c r="A370" s="44">
        <v>367</v>
      </c>
      <c r="B370" s="14">
        <v>6</v>
      </c>
      <c r="C370" s="4">
        <v>12</v>
      </c>
      <c r="D370" s="3" t="str">
        <f>VLOOKUP($C370,Overall!$K$5:$T$36,2)</f>
        <v>Overflow</v>
      </c>
      <c r="E370" s="3">
        <f ca="1">VLOOKUP($C370,Overall!$K$5:$T$36,10)</f>
        <v>-6.8056469327705772E+38</v>
      </c>
      <c r="F370" s="9" t="str">
        <f>VLOOKUP($C370,Overall!$K$5:$T$36,6)</f>
        <v>11111111111111111111111111111111</v>
      </c>
      <c r="G370" s="8">
        <v>15</v>
      </c>
      <c r="H370" s="3" t="str">
        <f>VLOOKUP($G370,Overall!$K$5:$T$36,2)</f>
        <v>Normal</v>
      </c>
      <c r="I370" s="3">
        <f ca="1">VLOOKUP($G370,Overall!$K$5:$T$36,10)</f>
        <v>1.1754943508222875E-38</v>
      </c>
      <c r="J370" s="62" t="str">
        <f>VLOOKUP($G370,Overall!$K$5:$T$36,6)</f>
        <v>00000000100000000000000000000000</v>
      </c>
      <c r="K370" s="8">
        <f t="shared" ca="1" si="45"/>
        <v>-7.9999995231628418</v>
      </c>
      <c r="L370" s="62">
        <f>VLOOKUP($B370,Overall!$B$5:$I$13,8)</f>
        <v>0</v>
      </c>
      <c r="M370" s="58"/>
      <c r="N370" s="3" t="str">
        <f t="shared" si="46"/>
        <v/>
      </c>
      <c r="O370" s="3" t="str">
        <f t="shared" si="47"/>
        <v/>
      </c>
      <c r="P370" s="3" t="str">
        <f t="shared" si="48"/>
        <v/>
      </c>
      <c r="Q370" s="3">
        <f t="shared" si="49"/>
        <v>0</v>
      </c>
      <c r="R370" s="3">
        <f t="shared" si="50"/>
        <v>0</v>
      </c>
      <c r="S370" s="3" t="e" cm="1">
        <f t="array" aca="1" ref="S370" ca="1">SUMPRODUCT(MID($P370,ROW(INDIRECT("1:23")),1)*2^(-ROW(INDIRECT("1:23"))))</f>
        <v>#VALUE!</v>
      </c>
      <c r="T370" s="3" t="e">
        <f t="shared" ca="1" si="51"/>
        <v>#VALUE!</v>
      </c>
      <c r="U370" s="3" t="e">
        <f t="shared" ca="1" si="52"/>
        <v>#VALUE!</v>
      </c>
      <c r="V370" s="73"/>
      <c r="W370" s="9" t="str">
        <f t="shared" si="53"/>
        <v>OK</v>
      </c>
    </row>
    <row r="371" spans="1:23" x14ac:dyDescent="0.3">
      <c r="A371" s="44">
        <v>368</v>
      </c>
      <c r="B371" s="14">
        <v>6</v>
      </c>
      <c r="C371" s="4">
        <v>12</v>
      </c>
      <c r="D371" s="3" t="str">
        <f>VLOOKUP($C371,Overall!$K$5:$T$36,2)</f>
        <v>Overflow</v>
      </c>
      <c r="E371" s="3">
        <f ca="1">VLOOKUP($C371,Overall!$K$5:$T$36,10)</f>
        <v>-6.8056469327705772E+38</v>
      </c>
      <c r="F371" s="9" t="str">
        <f>VLOOKUP($C371,Overall!$K$5:$T$36,6)</f>
        <v>11111111111111111111111111111111</v>
      </c>
      <c r="G371" s="8">
        <v>16</v>
      </c>
      <c r="H371" s="3" t="str">
        <f>VLOOKUP($G371,Overall!$K$5:$T$36,2)</f>
        <v>Normal</v>
      </c>
      <c r="I371" s="3">
        <f ca="1">VLOOKUP($G371,Overall!$K$5:$T$36,10)</f>
        <v>1.1754944909521339E-38</v>
      </c>
      <c r="J371" s="62" t="str">
        <f>VLOOKUP($G371,Overall!$K$5:$T$36,6)</f>
        <v>00000000100000000000000000000001</v>
      </c>
      <c r="K371" s="8">
        <f t="shared" ca="1" si="45"/>
        <v>-8.0000004768371014</v>
      </c>
      <c r="L371" s="62">
        <f>VLOOKUP($B371,Overall!$B$5:$I$13,8)</f>
        <v>0</v>
      </c>
      <c r="M371" s="58"/>
      <c r="N371" s="3" t="str">
        <f t="shared" si="46"/>
        <v/>
      </c>
      <c r="O371" s="3" t="str">
        <f t="shared" si="47"/>
        <v/>
      </c>
      <c r="P371" s="3" t="str">
        <f t="shared" si="48"/>
        <v/>
      </c>
      <c r="Q371" s="3">
        <f t="shared" si="49"/>
        <v>0</v>
      </c>
      <c r="R371" s="3">
        <f t="shared" si="50"/>
        <v>0</v>
      </c>
      <c r="S371" s="3" t="e" cm="1">
        <f t="array" aca="1" ref="S371" ca="1">SUMPRODUCT(MID($P371,ROW(INDIRECT("1:23")),1)*2^(-ROW(INDIRECT("1:23"))))</f>
        <v>#VALUE!</v>
      </c>
      <c r="T371" s="3" t="e">
        <f t="shared" ca="1" si="51"/>
        <v>#VALUE!</v>
      </c>
      <c r="U371" s="3" t="e">
        <f t="shared" ca="1" si="52"/>
        <v>#VALUE!</v>
      </c>
      <c r="V371" s="73"/>
      <c r="W371" s="9" t="str">
        <f t="shared" si="53"/>
        <v>OK</v>
      </c>
    </row>
    <row r="372" spans="1:23" x14ac:dyDescent="0.3">
      <c r="A372" s="44">
        <v>369</v>
      </c>
      <c r="B372" s="14">
        <v>6</v>
      </c>
      <c r="C372" s="4">
        <v>12</v>
      </c>
      <c r="D372" s="3" t="str">
        <f>VLOOKUP($C372,Overall!$K$5:$T$36,2)</f>
        <v>Overflow</v>
      </c>
      <c r="E372" s="3">
        <f ca="1">VLOOKUP($C372,Overall!$K$5:$T$36,10)</f>
        <v>-6.8056469327705772E+38</v>
      </c>
      <c r="F372" s="9" t="str">
        <f>VLOOKUP($C372,Overall!$K$5:$T$36,6)</f>
        <v>11111111111111111111111111111111</v>
      </c>
      <c r="G372" s="8">
        <v>17</v>
      </c>
      <c r="H372" s="3" t="str">
        <f>VLOOKUP($G372,Overall!$K$5:$T$36,2)</f>
        <v>Normal</v>
      </c>
      <c r="I372" s="3">
        <f ca="1">VLOOKUP($G372,Overall!$K$5:$T$36,10)</f>
        <v>0.5</v>
      </c>
      <c r="J372" s="62" t="str">
        <f>VLOOKUP($G372,Overall!$K$5:$T$36,6)</f>
        <v>00111111000000000000000000000000</v>
      </c>
      <c r="K372" s="8">
        <f t="shared" ca="1" si="45"/>
        <v>-3.4028234663852886E+38</v>
      </c>
      <c r="L372" s="62">
        <f>VLOOKUP($B372,Overall!$B$5:$I$13,8)</f>
        <v>0</v>
      </c>
      <c r="M372" s="58"/>
      <c r="N372" s="3" t="str">
        <f t="shared" si="46"/>
        <v/>
      </c>
      <c r="O372" s="3" t="str">
        <f t="shared" si="47"/>
        <v/>
      </c>
      <c r="P372" s="3" t="str">
        <f t="shared" si="48"/>
        <v/>
      </c>
      <c r="Q372" s="3">
        <f t="shared" si="49"/>
        <v>0</v>
      </c>
      <c r="R372" s="3">
        <f t="shared" si="50"/>
        <v>0</v>
      </c>
      <c r="S372" s="3" t="e" cm="1">
        <f t="array" aca="1" ref="S372" ca="1">SUMPRODUCT(MID($P372,ROW(INDIRECT("1:23")),1)*2^(-ROW(INDIRECT("1:23"))))</f>
        <v>#VALUE!</v>
      </c>
      <c r="T372" s="3" t="e">
        <f t="shared" ca="1" si="51"/>
        <v>#VALUE!</v>
      </c>
      <c r="U372" s="3" t="e">
        <f t="shared" ca="1" si="52"/>
        <v>#VALUE!</v>
      </c>
      <c r="V372" s="73"/>
      <c r="W372" s="9" t="str">
        <f t="shared" si="53"/>
        <v>OK</v>
      </c>
    </row>
    <row r="373" spans="1:23" x14ac:dyDescent="0.3">
      <c r="A373" s="44">
        <v>370</v>
      </c>
      <c r="B373" s="14">
        <v>6</v>
      </c>
      <c r="C373" s="4">
        <v>12</v>
      </c>
      <c r="D373" s="3" t="str">
        <f>VLOOKUP($C373,Overall!$K$5:$T$36,2)</f>
        <v>Overflow</v>
      </c>
      <c r="E373" s="3">
        <f ca="1">VLOOKUP($C373,Overall!$K$5:$T$36,10)</f>
        <v>-6.8056469327705772E+38</v>
      </c>
      <c r="F373" s="9" t="str">
        <f>VLOOKUP($C373,Overall!$K$5:$T$36,6)</f>
        <v>11111111111111111111111111111111</v>
      </c>
      <c r="G373" s="8">
        <v>18</v>
      </c>
      <c r="H373" s="3" t="str">
        <f>VLOOKUP($G373,Overall!$K$5:$T$36,2)</f>
        <v>Normal</v>
      </c>
      <c r="I373" s="3">
        <f ca="1">VLOOKUP($G373,Overall!$K$5:$T$36,10)</f>
        <v>1</v>
      </c>
      <c r="J373" s="62" t="str">
        <f>VLOOKUP($G373,Overall!$K$5:$T$36,6)</f>
        <v>00111111100000000000000000000000</v>
      </c>
      <c r="K373" s="8">
        <f t="shared" ca="1" si="45"/>
        <v>-6.8056469327705772E+38</v>
      </c>
      <c r="L373" s="62">
        <f>VLOOKUP($B373,Overall!$B$5:$I$13,8)</f>
        <v>0</v>
      </c>
      <c r="M373" s="58"/>
      <c r="N373" s="3" t="str">
        <f t="shared" si="46"/>
        <v/>
      </c>
      <c r="O373" s="3" t="str">
        <f t="shared" si="47"/>
        <v/>
      </c>
      <c r="P373" s="3" t="str">
        <f t="shared" si="48"/>
        <v/>
      </c>
      <c r="Q373" s="3">
        <f t="shared" si="49"/>
        <v>0</v>
      </c>
      <c r="R373" s="3">
        <f t="shared" si="50"/>
        <v>0</v>
      </c>
      <c r="S373" s="3" t="e" cm="1">
        <f t="array" aca="1" ref="S373" ca="1">SUMPRODUCT(MID($P373,ROW(INDIRECT("1:23")),1)*2^(-ROW(INDIRECT("1:23"))))</f>
        <v>#VALUE!</v>
      </c>
      <c r="T373" s="3" t="e">
        <f t="shared" ca="1" si="51"/>
        <v>#VALUE!</v>
      </c>
      <c r="U373" s="3" t="e">
        <f t="shared" ca="1" si="52"/>
        <v>#VALUE!</v>
      </c>
      <c r="V373" s="73"/>
      <c r="W373" s="9" t="str">
        <f t="shared" si="53"/>
        <v>OK</v>
      </c>
    </row>
    <row r="374" spans="1:23" x14ac:dyDescent="0.3">
      <c r="A374" s="44">
        <v>371</v>
      </c>
      <c r="B374" s="14">
        <v>6</v>
      </c>
      <c r="C374" s="4">
        <v>12</v>
      </c>
      <c r="D374" s="3" t="str">
        <f>VLOOKUP($C374,Overall!$K$5:$T$36,2)</f>
        <v>Overflow</v>
      </c>
      <c r="E374" s="3">
        <f ca="1">VLOOKUP($C374,Overall!$K$5:$T$36,10)</f>
        <v>-6.8056469327705772E+38</v>
      </c>
      <c r="F374" s="9" t="str">
        <f>VLOOKUP($C374,Overall!$K$5:$T$36,6)</f>
        <v>11111111111111111111111111111111</v>
      </c>
      <c r="G374" s="8">
        <v>19</v>
      </c>
      <c r="H374" s="3" t="str">
        <f>VLOOKUP($G374,Overall!$K$5:$T$36,2)</f>
        <v>Normal</v>
      </c>
      <c r="I374" s="3">
        <f ca="1">VLOOKUP($G374,Overall!$K$5:$T$36,10)</f>
        <v>1.5</v>
      </c>
      <c r="J374" s="62" t="str">
        <f>VLOOKUP($G374,Overall!$K$5:$T$36,6)</f>
        <v>00111111110000000000000000000000</v>
      </c>
      <c r="K374" s="8">
        <f t="shared" ca="1" si="45"/>
        <v>-1.0208470399155866E+39</v>
      </c>
      <c r="L374" s="62">
        <f>VLOOKUP($B374,Overall!$B$5:$I$13,8)</f>
        <v>0</v>
      </c>
      <c r="M374" s="58"/>
      <c r="N374" s="3" t="str">
        <f t="shared" si="46"/>
        <v/>
      </c>
      <c r="O374" s="3" t="str">
        <f t="shared" si="47"/>
        <v/>
      </c>
      <c r="P374" s="3" t="str">
        <f t="shared" si="48"/>
        <v/>
      </c>
      <c r="Q374" s="3">
        <f t="shared" si="49"/>
        <v>0</v>
      </c>
      <c r="R374" s="3">
        <f t="shared" si="50"/>
        <v>0</v>
      </c>
      <c r="S374" s="3" t="e" cm="1">
        <f t="array" aca="1" ref="S374" ca="1">SUMPRODUCT(MID($P374,ROW(INDIRECT("1:23")),1)*2^(-ROW(INDIRECT("1:23"))))</f>
        <v>#VALUE!</v>
      </c>
      <c r="T374" s="3" t="e">
        <f t="shared" ca="1" si="51"/>
        <v>#VALUE!</v>
      </c>
      <c r="U374" s="3" t="e">
        <f t="shared" ca="1" si="52"/>
        <v>#VALUE!</v>
      </c>
      <c r="V374" s="73"/>
      <c r="W374" s="9" t="str">
        <f t="shared" si="53"/>
        <v>OK</v>
      </c>
    </row>
    <row r="375" spans="1:23" x14ac:dyDescent="0.3">
      <c r="A375" s="44">
        <v>372</v>
      </c>
      <c r="B375" s="14">
        <v>6</v>
      </c>
      <c r="C375" s="4">
        <v>12</v>
      </c>
      <c r="D375" s="3" t="str">
        <f>VLOOKUP($C375,Overall!$K$5:$T$36,2)</f>
        <v>Overflow</v>
      </c>
      <c r="E375" s="3">
        <f ca="1">VLOOKUP($C375,Overall!$K$5:$T$36,10)</f>
        <v>-6.8056469327705772E+38</v>
      </c>
      <c r="F375" s="9" t="str">
        <f>VLOOKUP($C375,Overall!$K$5:$T$36,6)</f>
        <v>11111111111111111111111111111111</v>
      </c>
      <c r="G375" s="8">
        <v>20</v>
      </c>
      <c r="H375" s="3" t="str">
        <f>VLOOKUP($G375,Overall!$K$5:$T$36,2)</f>
        <v>Normal</v>
      </c>
      <c r="I375" s="3">
        <f ca="1">VLOOKUP($G375,Overall!$K$5:$T$36,10)</f>
        <v>12345.6787109375</v>
      </c>
      <c r="J375" s="62" t="str">
        <f>VLOOKUP($G375,Overall!$K$5:$T$36,6)</f>
        <v>001000110010000001110011010110111</v>
      </c>
      <c r="K375" s="8">
        <f t="shared" ca="1" si="45"/>
        <v>-8.402033045206281E+42</v>
      </c>
      <c r="L375" s="62">
        <f>VLOOKUP($B375,Overall!$B$5:$I$13,8)</f>
        <v>0</v>
      </c>
      <c r="M375" s="58"/>
      <c r="N375" s="3" t="str">
        <f t="shared" si="46"/>
        <v/>
      </c>
      <c r="O375" s="3" t="str">
        <f t="shared" si="47"/>
        <v/>
      </c>
      <c r="P375" s="3" t="str">
        <f t="shared" si="48"/>
        <v/>
      </c>
      <c r="Q375" s="3">
        <f t="shared" si="49"/>
        <v>0</v>
      </c>
      <c r="R375" s="3">
        <f t="shared" si="50"/>
        <v>0</v>
      </c>
      <c r="S375" s="3" t="e" cm="1">
        <f t="array" aca="1" ref="S375" ca="1">SUMPRODUCT(MID($P375,ROW(INDIRECT("1:23")),1)*2^(-ROW(INDIRECT("1:23"))))</f>
        <v>#VALUE!</v>
      </c>
      <c r="T375" s="3" t="e">
        <f t="shared" ca="1" si="51"/>
        <v>#VALUE!</v>
      </c>
      <c r="U375" s="3" t="e">
        <f t="shared" ca="1" si="52"/>
        <v>#VALUE!</v>
      </c>
      <c r="V375" s="73"/>
      <c r="W375" s="9" t="str">
        <f t="shared" si="53"/>
        <v>OK</v>
      </c>
    </row>
    <row r="376" spans="1:23" x14ac:dyDescent="0.3">
      <c r="A376" s="44">
        <v>373</v>
      </c>
      <c r="B376" s="14">
        <v>6</v>
      </c>
      <c r="C376" s="4">
        <v>12</v>
      </c>
      <c r="D376" s="3" t="str">
        <f>VLOOKUP($C376,Overall!$K$5:$T$36,2)</f>
        <v>Overflow</v>
      </c>
      <c r="E376" s="3">
        <f ca="1">VLOOKUP($C376,Overall!$K$5:$T$36,10)</f>
        <v>-6.8056469327705772E+38</v>
      </c>
      <c r="F376" s="9" t="str">
        <f>VLOOKUP($C376,Overall!$K$5:$T$36,6)</f>
        <v>11111111111111111111111111111111</v>
      </c>
      <c r="G376" s="8">
        <v>21</v>
      </c>
      <c r="H376" s="3" t="str">
        <f>VLOOKUP($G376,Overall!$K$5:$T$36,2)</f>
        <v>Normal</v>
      </c>
      <c r="I376" s="3">
        <f ca="1">VLOOKUP($G376,Overall!$K$5:$T$36,10)</f>
        <v>2.345678924830959E+38</v>
      </c>
      <c r="J376" s="62" t="str">
        <f>VLOOKUP($G376,Overall!$K$5:$T$36,6)</f>
        <v>01111111001100000111100000100010</v>
      </c>
      <c r="K376" s="8">
        <f t="shared" ca="1" si="45"/>
        <v>-1.5963862580040401E+77</v>
      </c>
      <c r="L376" s="62">
        <f>VLOOKUP($B376,Overall!$B$5:$I$13,8)</f>
        <v>0</v>
      </c>
      <c r="M376" s="58"/>
      <c r="N376" s="3" t="str">
        <f t="shared" si="46"/>
        <v/>
      </c>
      <c r="O376" s="3" t="str">
        <f t="shared" si="47"/>
        <v/>
      </c>
      <c r="P376" s="3" t="str">
        <f t="shared" si="48"/>
        <v/>
      </c>
      <c r="Q376" s="3">
        <f t="shared" si="49"/>
        <v>0</v>
      </c>
      <c r="R376" s="3">
        <f t="shared" si="50"/>
        <v>0</v>
      </c>
      <c r="S376" s="3" t="e" cm="1">
        <f t="array" aca="1" ref="S376" ca="1">SUMPRODUCT(MID($P376,ROW(INDIRECT("1:23")),1)*2^(-ROW(INDIRECT("1:23"))))</f>
        <v>#VALUE!</v>
      </c>
      <c r="T376" s="3" t="e">
        <f t="shared" ca="1" si="51"/>
        <v>#VALUE!</v>
      </c>
      <c r="U376" s="3" t="e">
        <f t="shared" ca="1" si="52"/>
        <v>#VALUE!</v>
      </c>
      <c r="V376" s="73"/>
      <c r="W376" s="9" t="str">
        <f t="shared" si="53"/>
        <v>OK</v>
      </c>
    </row>
    <row r="377" spans="1:23" x14ac:dyDescent="0.3">
      <c r="A377" s="44">
        <v>374</v>
      </c>
      <c r="B377" s="14">
        <v>6</v>
      </c>
      <c r="C377" s="4">
        <v>12</v>
      </c>
      <c r="D377" s="3" t="str">
        <f>VLOOKUP($C377,Overall!$K$5:$T$36,2)</f>
        <v>Overflow</v>
      </c>
      <c r="E377" s="3">
        <f ca="1">VLOOKUP($C377,Overall!$K$5:$T$36,10)</f>
        <v>-6.8056469327705772E+38</v>
      </c>
      <c r="F377" s="9" t="str">
        <f>VLOOKUP($C377,Overall!$K$5:$T$36,6)</f>
        <v>11111111111111111111111111111111</v>
      </c>
      <c r="G377" s="8">
        <v>22</v>
      </c>
      <c r="H377" s="3" t="str">
        <f>VLOOKUP($G377,Overall!$K$5:$T$36,2)</f>
        <v>Normal</v>
      </c>
      <c r="I377" s="3">
        <f ca="1">VLOOKUP($G377,Overall!$K$5:$T$36,10)</f>
        <v>3.4028232635611926E+38</v>
      </c>
      <c r="J377" s="62" t="str">
        <f>VLOOKUP($G377,Overall!$K$5:$T$36,6)</f>
        <v>01111111011111111111111111111110</v>
      </c>
      <c r="K377" s="8">
        <f t="shared" ca="1" si="45"/>
        <v>-2.3158413706415596E+77</v>
      </c>
      <c r="L377" s="62">
        <f>VLOOKUP($B377,Overall!$B$5:$I$13,8)</f>
        <v>0</v>
      </c>
      <c r="M377" s="58"/>
      <c r="N377" s="3" t="str">
        <f t="shared" si="46"/>
        <v/>
      </c>
      <c r="O377" s="3" t="str">
        <f t="shared" si="47"/>
        <v/>
      </c>
      <c r="P377" s="3" t="str">
        <f t="shared" si="48"/>
        <v/>
      </c>
      <c r="Q377" s="3">
        <f t="shared" si="49"/>
        <v>0</v>
      </c>
      <c r="R377" s="3">
        <f t="shared" si="50"/>
        <v>0</v>
      </c>
      <c r="S377" s="3" t="e" cm="1">
        <f t="array" aca="1" ref="S377" ca="1">SUMPRODUCT(MID($P377,ROW(INDIRECT("1:23")),1)*2^(-ROW(INDIRECT("1:23"))))</f>
        <v>#VALUE!</v>
      </c>
      <c r="T377" s="3" t="e">
        <f t="shared" ca="1" si="51"/>
        <v>#VALUE!</v>
      </c>
      <c r="U377" s="3" t="e">
        <f t="shared" ca="1" si="52"/>
        <v>#VALUE!</v>
      </c>
      <c r="V377" s="73"/>
      <c r="W377" s="9" t="str">
        <f t="shared" si="53"/>
        <v>OK</v>
      </c>
    </row>
    <row r="378" spans="1:23" x14ac:dyDescent="0.3">
      <c r="A378" s="44">
        <v>375</v>
      </c>
      <c r="B378" s="14">
        <v>6</v>
      </c>
      <c r="C378" s="4">
        <v>12</v>
      </c>
      <c r="D378" s="3" t="str">
        <f>VLOOKUP($C378,Overall!$K$5:$T$36,2)</f>
        <v>Overflow</v>
      </c>
      <c r="E378" s="3">
        <f ca="1">VLOOKUP($C378,Overall!$K$5:$T$36,10)</f>
        <v>-6.8056469327705772E+38</v>
      </c>
      <c r="F378" s="9" t="str">
        <f>VLOOKUP($C378,Overall!$K$5:$T$36,6)</f>
        <v>11111111111111111111111111111111</v>
      </c>
      <c r="G378" s="8">
        <v>23</v>
      </c>
      <c r="H378" s="3" t="str">
        <f>VLOOKUP($G378,Overall!$K$5:$T$36,2)</f>
        <v>Normal</v>
      </c>
      <c r="I378" s="3">
        <f ca="1">VLOOKUP($G378,Overall!$K$5:$T$36,10)</f>
        <v>3.4028234663852886E+38</v>
      </c>
      <c r="J378" s="62" t="str">
        <f>VLOOKUP($G378,Overall!$K$5:$T$36,6)</f>
        <v>01111111011111111111111111111111</v>
      </c>
      <c r="K378" s="8">
        <f t="shared" ca="1" si="45"/>
        <v>-2.3158415086764783E+77</v>
      </c>
      <c r="L378" s="62">
        <f>VLOOKUP($B378,Overall!$B$5:$I$13,8)</f>
        <v>0</v>
      </c>
      <c r="M378" s="58"/>
      <c r="N378" s="3" t="str">
        <f t="shared" si="46"/>
        <v/>
      </c>
      <c r="O378" s="3" t="str">
        <f t="shared" si="47"/>
        <v/>
      </c>
      <c r="P378" s="3" t="str">
        <f t="shared" si="48"/>
        <v/>
      </c>
      <c r="Q378" s="3">
        <f t="shared" si="49"/>
        <v>0</v>
      </c>
      <c r="R378" s="3">
        <f t="shared" si="50"/>
        <v>0</v>
      </c>
      <c r="S378" s="3" t="e" cm="1">
        <f t="array" aca="1" ref="S378" ca="1">SUMPRODUCT(MID($P378,ROW(INDIRECT("1:23")),1)*2^(-ROW(INDIRECT("1:23"))))</f>
        <v>#VALUE!</v>
      </c>
      <c r="T378" s="3" t="e">
        <f t="shared" ca="1" si="51"/>
        <v>#VALUE!</v>
      </c>
      <c r="U378" s="3" t="e">
        <f t="shared" ca="1" si="52"/>
        <v>#VALUE!</v>
      </c>
      <c r="V378" s="73"/>
      <c r="W378" s="9" t="str">
        <f t="shared" si="53"/>
        <v>OK</v>
      </c>
    </row>
    <row r="379" spans="1:23" x14ac:dyDescent="0.3">
      <c r="A379" s="44">
        <v>376</v>
      </c>
      <c r="B379" s="14">
        <v>6</v>
      </c>
      <c r="C379" s="4">
        <v>12</v>
      </c>
      <c r="D379" s="3" t="str">
        <f>VLOOKUP($C379,Overall!$K$5:$T$36,2)</f>
        <v>Overflow</v>
      </c>
      <c r="E379" s="3">
        <f ca="1">VLOOKUP($C379,Overall!$K$5:$T$36,10)</f>
        <v>-6.8056469327705772E+38</v>
      </c>
      <c r="F379" s="9" t="str">
        <f>VLOOKUP($C379,Overall!$K$5:$T$36,6)</f>
        <v>11111111111111111111111111111111</v>
      </c>
      <c r="G379" s="8">
        <v>24</v>
      </c>
      <c r="H379" s="3" t="str">
        <f>VLOOKUP($G379,Overall!$K$5:$T$36,2)</f>
        <v>Normal</v>
      </c>
      <c r="I379" s="3">
        <f ca="1">VLOOKUP($G379,Overall!$K$5:$T$36,10)</f>
        <v>-1.1754943508222875E-38</v>
      </c>
      <c r="J379" s="62" t="str">
        <f>VLOOKUP($G379,Overall!$K$5:$T$36,6)</f>
        <v>10000000100000000000000000000000</v>
      </c>
      <c r="K379" s="8">
        <f t="shared" ca="1" si="45"/>
        <v>7.9999995231628418</v>
      </c>
      <c r="L379" s="62">
        <f>VLOOKUP($B379,Overall!$B$5:$I$13,8)</f>
        <v>0</v>
      </c>
      <c r="M379" s="58"/>
      <c r="N379" s="3" t="str">
        <f t="shared" si="46"/>
        <v/>
      </c>
      <c r="O379" s="3" t="str">
        <f t="shared" si="47"/>
        <v/>
      </c>
      <c r="P379" s="3" t="str">
        <f t="shared" si="48"/>
        <v/>
      </c>
      <c r="Q379" s="3">
        <f t="shared" si="49"/>
        <v>0</v>
      </c>
      <c r="R379" s="3">
        <f t="shared" si="50"/>
        <v>0</v>
      </c>
      <c r="S379" s="3" t="e" cm="1">
        <f t="array" aca="1" ref="S379" ca="1">SUMPRODUCT(MID($P379,ROW(INDIRECT("1:23")),1)*2^(-ROW(INDIRECT("1:23"))))</f>
        <v>#VALUE!</v>
      </c>
      <c r="T379" s="3" t="e">
        <f t="shared" ca="1" si="51"/>
        <v>#VALUE!</v>
      </c>
      <c r="U379" s="3" t="e">
        <f t="shared" ca="1" si="52"/>
        <v>#VALUE!</v>
      </c>
      <c r="V379" s="73"/>
      <c r="W379" s="9" t="str">
        <f t="shared" si="53"/>
        <v>OK</v>
      </c>
    </row>
    <row r="380" spans="1:23" x14ac:dyDescent="0.3">
      <c r="A380" s="44">
        <v>377</v>
      </c>
      <c r="B380" s="14">
        <v>6</v>
      </c>
      <c r="C380" s="4">
        <v>12</v>
      </c>
      <c r="D380" s="3" t="str">
        <f>VLOOKUP($C380,Overall!$K$5:$T$36,2)</f>
        <v>Overflow</v>
      </c>
      <c r="E380" s="3">
        <f ca="1">VLOOKUP($C380,Overall!$K$5:$T$36,10)</f>
        <v>-6.8056469327705772E+38</v>
      </c>
      <c r="F380" s="9" t="str">
        <f>VLOOKUP($C380,Overall!$K$5:$T$36,6)</f>
        <v>11111111111111111111111111111111</v>
      </c>
      <c r="G380" s="8">
        <v>25</v>
      </c>
      <c r="H380" s="3" t="str">
        <f>VLOOKUP($G380,Overall!$K$5:$T$36,2)</f>
        <v>Normal</v>
      </c>
      <c r="I380" s="3">
        <f ca="1">VLOOKUP($G380,Overall!$K$5:$T$36,10)</f>
        <v>-1.1754944909521339E-38</v>
      </c>
      <c r="J380" s="62" t="str">
        <f>VLOOKUP($G380,Overall!$K$5:$T$36,6)</f>
        <v>10000000100000000000000000000001</v>
      </c>
      <c r="K380" s="8">
        <f t="shared" ca="1" si="45"/>
        <v>8.0000004768371014</v>
      </c>
      <c r="L380" s="62">
        <f>VLOOKUP($B380,Overall!$B$5:$I$13,8)</f>
        <v>0</v>
      </c>
      <c r="M380" s="58"/>
      <c r="N380" s="3" t="str">
        <f t="shared" si="46"/>
        <v/>
      </c>
      <c r="O380" s="3" t="str">
        <f t="shared" si="47"/>
        <v/>
      </c>
      <c r="P380" s="3" t="str">
        <f t="shared" si="48"/>
        <v/>
      </c>
      <c r="Q380" s="3">
        <f t="shared" si="49"/>
        <v>0</v>
      </c>
      <c r="R380" s="3">
        <f t="shared" si="50"/>
        <v>0</v>
      </c>
      <c r="S380" s="3" t="e" cm="1">
        <f t="array" aca="1" ref="S380" ca="1">SUMPRODUCT(MID($P380,ROW(INDIRECT("1:23")),1)*2^(-ROW(INDIRECT("1:23"))))</f>
        <v>#VALUE!</v>
      </c>
      <c r="T380" s="3" t="e">
        <f t="shared" ca="1" si="51"/>
        <v>#VALUE!</v>
      </c>
      <c r="U380" s="3" t="e">
        <f t="shared" ca="1" si="52"/>
        <v>#VALUE!</v>
      </c>
      <c r="V380" s="73"/>
      <c r="W380" s="9" t="str">
        <f t="shared" si="53"/>
        <v>OK</v>
      </c>
    </row>
    <row r="381" spans="1:23" x14ac:dyDescent="0.3">
      <c r="A381" s="44">
        <v>378</v>
      </c>
      <c r="B381" s="14">
        <v>6</v>
      </c>
      <c r="C381" s="4">
        <v>12</v>
      </c>
      <c r="D381" s="3" t="str">
        <f>VLOOKUP($C381,Overall!$K$5:$T$36,2)</f>
        <v>Overflow</v>
      </c>
      <c r="E381" s="3">
        <f ca="1">VLOOKUP($C381,Overall!$K$5:$T$36,10)</f>
        <v>-6.8056469327705772E+38</v>
      </c>
      <c r="F381" s="9" t="str">
        <f>VLOOKUP($C381,Overall!$K$5:$T$36,6)</f>
        <v>11111111111111111111111111111111</v>
      </c>
      <c r="G381" s="8">
        <v>26</v>
      </c>
      <c r="H381" s="3" t="str">
        <f>VLOOKUP($G381,Overall!$K$5:$T$36,2)</f>
        <v>Normal</v>
      </c>
      <c r="I381" s="3">
        <f ca="1">VLOOKUP($G381,Overall!$K$5:$T$36,10)</f>
        <v>-0.5</v>
      </c>
      <c r="J381" s="62" t="str">
        <f>VLOOKUP($G381,Overall!$K$5:$T$36,6)</f>
        <v>10111111000000000000000000000000</v>
      </c>
      <c r="K381" s="8">
        <f t="shared" ca="1" si="45"/>
        <v>3.4028234663852886E+38</v>
      </c>
      <c r="L381" s="62">
        <f>VLOOKUP($B381,Overall!$B$5:$I$13,8)</f>
        <v>0</v>
      </c>
      <c r="M381" s="58"/>
      <c r="N381" s="3" t="str">
        <f t="shared" si="46"/>
        <v/>
      </c>
      <c r="O381" s="3" t="str">
        <f t="shared" si="47"/>
        <v/>
      </c>
      <c r="P381" s="3" t="str">
        <f t="shared" si="48"/>
        <v/>
      </c>
      <c r="Q381" s="3">
        <f t="shared" si="49"/>
        <v>0</v>
      </c>
      <c r="R381" s="3">
        <f t="shared" si="50"/>
        <v>0</v>
      </c>
      <c r="S381" s="3" t="e" cm="1">
        <f t="array" aca="1" ref="S381" ca="1">SUMPRODUCT(MID($P381,ROW(INDIRECT("1:23")),1)*2^(-ROW(INDIRECT("1:23"))))</f>
        <v>#VALUE!</v>
      </c>
      <c r="T381" s="3" t="e">
        <f t="shared" ca="1" si="51"/>
        <v>#VALUE!</v>
      </c>
      <c r="U381" s="3" t="e">
        <f t="shared" ca="1" si="52"/>
        <v>#VALUE!</v>
      </c>
      <c r="V381" s="73"/>
      <c r="W381" s="9" t="str">
        <f t="shared" si="53"/>
        <v>OK</v>
      </c>
    </row>
    <row r="382" spans="1:23" x14ac:dyDescent="0.3">
      <c r="A382" s="44">
        <v>379</v>
      </c>
      <c r="B382" s="14">
        <v>6</v>
      </c>
      <c r="C382" s="4">
        <v>12</v>
      </c>
      <c r="D382" s="3" t="str">
        <f>VLOOKUP($C382,Overall!$K$5:$T$36,2)</f>
        <v>Overflow</v>
      </c>
      <c r="E382" s="3">
        <f ca="1">VLOOKUP($C382,Overall!$K$5:$T$36,10)</f>
        <v>-6.8056469327705772E+38</v>
      </c>
      <c r="F382" s="9" t="str">
        <f>VLOOKUP($C382,Overall!$K$5:$T$36,6)</f>
        <v>11111111111111111111111111111111</v>
      </c>
      <c r="G382" s="8">
        <v>27</v>
      </c>
      <c r="H382" s="3" t="str">
        <f>VLOOKUP($G382,Overall!$K$5:$T$36,2)</f>
        <v>Normal</v>
      </c>
      <c r="I382" s="3">
        <f ca="1">VLOOKUP($G382,Overall!$K$5:$T$36,10)</f>
        <v>-1</v>
      </c>
      <c r="J382" s="62" t="str">
        <f>VLOOKUP($G382,Overall!$K$5:$T$36,6)</f>
        <v>10111111100000000000000000000000</v>
      </c>
      <c r="K382" s="8">
        <f t="shared" ca="1" si="45"/>
        <v>6.8056469327705772E+38</v>
      </c>
      <c r="L382" s="62">
        <f>VLOOKUP($B382,Overall!$B$5:$I$13,8)</f>
        <v>0</v>
      </c>
      <c r="M382" s="58"/>
      <c r="N382" s="3" t="str">
        <f t="shared" si="46"/>
        <v/>
      </c>
      <c r="O382" s="3" t="str">
        <f t="shared" si="47"/>
        <v/>
      </c>
      <c r="P382" s="3" t="str">
        <f t="shared" si="48"/>
        <v/>
      </c>
      <c r="Q382" s="3">
        <f t="shared" si="49"/>
        <v>0</v>
      </c>
      <c r="R382" s="3">
        <f t="shared" si="50"/>
        <v>0</v>
      </c>
      <c r="S382" s="3" t="e" cm="1">
        <f t="array" aca="1" ref="S382" ca="1">SUMPRODUCT(MID($P382,ROW(INDIRECT("1:23")),1)*2^(-ROW(INDIRECT("1:23"))))</f>
        <v>#VALUE!</v>
      </c>
      <c r="T382" s="3" t="e">
        <f t="shared" ca="1" si="51"/>
        <v>#VALUE!</v>
      </c>
      <c r="U382" s="3" t="e">
        <f t="shared" ca="1" si="52"/>
        <v>#VALUE!</v>
      </c>
      <c r="V382" s="73"/>
      <c r="W382" s="9" t="str">
        <f t="shared" si="53"/>
        <v>OK</v>
      </c>
    </row>
    <row r="383" spans="1:23" x14ac:dyDescent="0.3">
      <c r="A383" s="44">
        <v>380</v>
      </c>
      <c r="B383" s="14">
        <v>6</v>
      </c>
      <c r="C383" s="4">
        <v>12</v>
      </c>
      <c r="D383" s="3" t="str">
        <f>VLOOKUP($C383,Overall!$K$5:$T$36,2)</f>
        <v>Overflow</v>
      </c>
      <c r="E383" s="3">
        <f ca="1">VLOOKUP($C383,Overall!$K$5:$T$36,10)</f>
        <v>-6.8056469327705772E+38</v>
      </c>
      <c r="F383" s="9" t="str">
        <f>VLOOKUP($C383,Overall!$K$5:$T$36,6)</f>
        <v>11111111111111111111111111111111</v>
      </c>
      <c r="G383" s="8">
        <v>28</v>
      </c>
      <c r="H383" s="3" t="str">
        <f>VLOOKUP($G383,Overall!$K$5:$T$36,2)</f>
        <v>Normal</v>
      </c>
      <c r="I383" s="3">
        <f ca="1">VLOOKUP($G383,Overall!$K$5:$T$36,10)</f>
        <v>-1.5</v>
      </c>
      <c r="J383" s="62" t="str">
        <f>VLOOKUP($G383,Overall!$K$5:$T$36,6)</f>
        <v>10111111110000000000000000000000</v>
      </c>
      <c r="K383" s="8">
        <f t="shared" ca="1" si="45"/>
        <v>1.0208470399155866E+39</v>
      </c>
      <c r="L383" s="62">
        <f>VLOOKUP($B383,Overall!$B$5:$I$13,8)</f>
        <v>0</v>
      </c>
      <c r="M383" s="58"/>
      <c r="N383" s="3" t="str">
        <f t="shared" si="46"/>
        <v/>
      </c>
      <c r="O383" s="3" t="str">
        <f t="shared" si="47"/>
        <v/>
      </c>
      <c r="P383" s="3" t="str">
        <f t="shared" si="48"/>
        <v/>
      </c>
      <c r="Q383" s="3">
        <f t="shared" si="49"/>
        <v>0</v>
      </c>
      <c r="R383" s="3">
        <f t="shared" si="50"/>
        <v>0</v>
      </c>
      <c r="S383" s="3" t="e" cm="1">
        <f t="array" aca="1" ref="S383" ca="1">SUMPRODUCT(MID($P383,ROW(INDIRECT("1:23")),1)*2^(-ROW(INDIRECT("1:23"))))</f>
        <v>#VALUE!</v>
      </c>
      <c r="T383" s="3" t="e">
        <f t="shared" ca="1" si="51"/>
        <v>#VALUE!</v>
      </c>
      <c r="U383" s="3" t="e">
        <f t="shared" ca="1" si="52"/>
        <v>#VALUE!</v>
      </c>
      <c r="V383" s="73"/>
      <c r="W383" s="9" t="str">
        <f t="shared" si="53"/>
        <v>OK</v>
      </c>
    </row>
    <row r="384" spans="1:23" x14ac:dyDescent="0.3">
      <c r="A384" s="44">
        <v>381</v>
      </c>
      <c r="B384" s="14">
        <v>6</v>
      </c>
      <c r="C384" s="4">
        <v>12</v>
      </c>
      <c r="D384" s="3" t="str">
        <f>VLOOKUP($C384,Overall!$K$5:$T$36,2)</f>
        <v>Overflow</v>
      </c>
      <c r="E384" s="3">
        <f ca="1">VLOOKUP($C384,Overall!$K$5:$T$36,10)</f>
        <v>-6.8056469327705772E+38</v>
      </c>
      <c r="F384" s="9" t="str">
        <f>VLOOKUP($C384,Overall!$K$5:$T$36,6)</f>
        <v>11111111111111111111111111111111</v>
      </c>
      <c r="G384" s="8">
        <v>29</v>
      </c>
      <c r="H384" s="3" t="str">
        <f>VLOOKUP($G384,Overall!$K$5:$T$36,2)</f>
        <v>Normal</v>
      </c>
      <c r="I384" s="3">
        <f ca="1">VLOOKUP($G384,Overall!$K$5:$T$36,10)</f>
        <v>-12345.6787109375</v>
      </c>
      <c r="J384" s="62" t="str">
        <f>VLOOKUP($G384,Overall!$K$5:$T$36,6)</f>
        <v>101000110010000001110011010110111</v>
      </c>
      <c r="K384" s="8">
        <f t="shared" ca="1" si="45"/>
        <v>8.402033045206281E+42</v>
      </c>
      <c r="L384" s="62">
        <f>VLOOKUP($B384,Overall!$B$5:$I$13,8)</f>
        <v>0</v>
      </c>
      <c r="M384" s="58"/>
      <c r="N384" s="3" t="str">
        <f t="shared" si="46"/>
        <v/>
      </c>
      <c r="O384" s="3" t="str">
        <f t="shared" si="47"/>
        <v/>
      </c>
      <c r="P384" s="3" t="str">
        <f t="shared" si="48"/>
        <v/>
      </c>
      <c r="Q384" s="3">
        <f t="shared" si="49"/>
        <v>0</v>
      </c>
      <c r="R384" s="3">
        <f t="shared" si="50"/>
        <v>0</v>
      </c>
      <c r="S384" s="3" t="e" cm="1">
        <f t="array" aca="1" ref="S384" ca="1">SUMPRODUCT(MID($P384,ROW(INDIRECT("1:23")),1)*2^(-ROW(INDIRECT("1:23"))))</f>
        <v>#VALUE!</v>
      </c>
      <c r="T384" s="3" t="e">
        <f t="shared" ca="1" si="51"/>
        <v>#VALUE!</v>
      </c>
      <c r="U384" s="3" t="e">
        <f t="shared" ca="1" si="52"/>
        <v>#VALUE!</v>
      </c>
      <c r="V384" s="73"/>
      <c r="W384" s="9" t="str">
        <f t="shared" si="53"/>
        <v>OK</v>
      </c>
    </row>
    <row r="385" spans="1:23" x14ac:dyDescent="0.3">
      <c r="A385" s="44">
        <v>382</v>
      </c>
      <c r="B385" s="14">
        <v>6</v>
      </c>
      <c r="C385" s="4">
        <v>12</v>
      </c>
      <c r="D385" s="3" t="str">
        <f>VLOOKUP($C385,Overall!$K$5:$T$36,2)</f>
        <v>Overflow</v>
      </c>
      <c r="E385" s="3">
        <f ca="1">VLOOKUP($C385,Overall!$K$5:$T$36,10)</f>
        <v>-6.8056469327705772E+38</v>
      </c>
      <c r="F385" s="9" t="str">
        <f>VLOOKUP($C385,Overall!$K$5:$T$36,6)</f>
        <v>11111111111111111111111111111111</v>
      </c>
      <c r="G385" s="8">
        <v>30</v>
      </c>
      <c r="H385" s="3" t="str">
        <f>VLOOKUP($G385,Overall!$K$5:$T$36,2)</f>
        <v>Normal</v>
      </c>
      <c r="I385" s="3">
        <f ca="1">VLOOKUP($G385,Overall!$K$5:$T$36,10)</f>
        <v>-2.345678924830959E+38</v>
      </c>
      <c r="J385" s="62" t="str">
        <f>VLOOKUP($G385,Overall!$K$5:$T$36,6)</f>
        <v>11111111001100000111100000100010</v>
      </c>
      <c r="K385" s="8">
        <f t="shared" ca="1" si="45"/>
        <v>1.5963862580040401E+77</v>
      </c>
      <c r="L385" s="62">
        <f>VLOOKUP($B385,Overall!$B$5:$I$13,8)</f>
        <v>0</v>
      </c>
      <c r="M385" s="58"/>
      <c r="N385" s="3" t="str">
        <f t="shared" si="46"/>
        <v/>
      </c>
      <c r="O385" s="3" t="str">
        <f t="shared" si="47"/>
        <v/>
      </c>
      <c r="P385" s="3" t="str">
        <f t="shared" si="48"/>
        <v/>
      </c>
      <c r="Q385" s="3">
        <f t="shared" si="49"/>
        <v>0</v>
      </c>
      <c r="R385" s="3">
        <f t="shared" si="50"/>
        <v>0</v>
      </c>
      <c r="S385" s="3" t="e" cm="1">
        <f t="array" aca="1" ref="S385" ca="1">SUMPRODUCT(MID($P385,ROW(INDIRECT("1:23")),1)*2^(-ROW(INDIRECT("1:23"))))</f>
        <v>#VALUE!</v>
      </c>
      <c r="T385" s="3" t="e">
        <f t="shared" ca="1" si="51"/>
        <v>#VALUE!</v>
      </c>
      <c r="U385" s="3" t="e">
        <f t="shared" ca="1" si="52"/>
        <v>#VALUE!</v>
      </c>
      <c r="V385" s="73"/>
      <c r="W385" s="9" t="str">
        <f t="shared" si="53"/>
        <v>OK</v>
      </c>
    </row>
    <row r="386" spans="1:23" x14ac:dyDescent="0.3">
      <c r="A386" s="44">
        <v>383</v>
      </c>
      <c r="B386" s="14">
        <v>6</v>
      </c>
      <c r="C386" s="4">
        <v>12</v>
      </c>
      <c r="D386" s="3" t="str">
        <f>VLOOKUP($C386,Overall!$K$5:$T$36,2)</f>
        <v>Overflow</v>
      </c>
      <c r="E386" s="3">
        <f ca="1">VLOOKUP($C386,Overall!$K$5:$T$36,10)</f>
        <v>-6.8056469327705772E+38</v>
      </c>
      <c r="F386" s="9" t="str">
        <f>VLOOKUP($C386,Overall!$K$5:$T$36,6)</f>
        <v>11111111111111111111111111111111</v>
      </c>
      <c r="G386" s="8">
        <v>31</v>
      </c>
      <c r="H386" s="3" t="str">
        <f>VLOOKUP($G386,Overall!$K$5:$T$36,2)</f>
        <v>Normal</v>
      </c>
      <c r="I386" s="3">
        <f ca="1">VLOOKUP($G386,Overall!$K$5:$T$36,10)</f>
        <v>-3.4028232635611926E+38</v>
      </c>
      <c r="J386" s="62" t="str">
        <f>VLOOKUP($G386,Overall!$K$5:$T$36,6)</f>
        <v>11111111011111111111111111111110</v>
      </c>
      <c r="K386" s="8">
        <f t="shared" ca="1" si="45"/>
        <v>2.3158413706415596E+77</v>
      </c>
      <c r="L386" s="62">
        <f>VLOOKUP($B386,Overall!$B$5:$I$13,8)</f>
        <v>0</v>
      </c>
      <c r="M386" s="58"/>
      <c r="N386" s="3" t="str">
        <f t="shared" si="46"/>
        <v/>
      </c>
      <c r="O386" s="3" t="str">
        <f t="shared" si="47"/>
        <v/>
      </c>
      <c r="P386" s="3" t="str">
        <f t="shared" si="48"/>
        <v/>
      </c>
      <c r="Q386" s="3">
        <f t="shared" si="49"/>
        <v>0</v>
      </c>
      <c r="R386" s="3">
        <f t="shared" si="50"/>
        <v>0</v>
      </c>
      <c r="S386" s="3" t="e" cm="1">
        <f t="array" aca="1" ref="S386" ca="1">SUMPRODUCT(MID($P386,ROW(INDIRECT("1:23")),1)*2^(-ROW(INDIRECT("1:23"))))</f>
        <v>#VALUE!</v>
      </c>
      <c r="T386" s="3" t="e">
        <f t="shared" ca="1" si="51"/>
        <v>#VALUE!</v>
      </c>
      <c r="U386" s="3" t="e">
        <f t="shared" ca="1" si="52"/>
        <v>#VALUE!</v>
      </c>
      <c r="V386" s="73"/>
      <c r="W386" s="9" t="str">
        <f t="shared" si="53"/>
        <v>OK</v>
      </c>
    </row>
    <row r="387" spans="1:23" x14ac:dyDescent="0.3">
      <c r="A387" s="44">
        <v>384</v>
      </c>
      <c r="B387" s="14">
        <v>6</v>
      </c>
      <c r="C387" s="4">
        <v>12</v>
      </c>
      <c r="D387" s="3" t="str">
        <f>VLOOKUP($C387,Overall!$K$5:$T$36,2)</f>
        <v>Overflow</v>
      </c>
      <c r="E387" s="3">
        <f ca="1">VLOOKUP($C387,Overall!$K$5:$T$36,10)</f>
        <v>-6.8056469327705772E+38</v>
      </c>
      <c r="F387" s="9" t="str">
        <f>VLOOKUP($C387,Overall!$K$5:$T$36,6)</f>
        <v>11111111111111111111111111111111</v>
      </c>
      <c r="G387" s="8">
        <v>32</v>
      </c>
      <c r="H387" s="3" t="str">
        <f>VLOOKUP($G387,Overall!$K$5:$T$36,2)</f>
        <v>Normal</v>
      </c>
      <c r="I387" s="3">
        <f ca="1">VLOOKUP($G387,Overall!$K$5:$T$36,10)</f>
        <v>-3.4028234663852886E+38</v>
      </c>
      <c r="J387" s="62" t="str">
        <f>VLOOKUP($G387,Overall!$K$5:$T$36,6)</f>
        <v>11111111011111111111111111111111</v>
      </c>
      <c r="K387" s="8">
        <f t="shared" ca="1" si="45"/>
        <v>2.3158415086764783E+77</v>
      </c>
      <c r="L387" s="62">
        <f>VLOOKUP($B387,Overall!$B$5:$I$13,8)</f>
        <v>0</v>
      </c>
      <c r="M387" s="58"/>
      <c r="N387" s="3" t="str">
        <f t="shared" si="46"/>
        <v/>
      </c>
      <c r="O387" s="3" t="str">
        <f t="shared" si="47"/>
        <v/>
      </c>
      <c r="P387" s="3" t="str">
        <f t="shared" si="48"/>
        <v/>
      </c>
      <c r="Q387" s="3">
        <f t="shared" si="49"/>
        <v>0</v>
      </c>
      <c r="R387" s="3">
        <f t="shared" si="50"/>
        <v>0</v>
      </c>
      <c r="S387" s="3" t="e" cm="1">
        <f t="array" aca="1" ref="S387" ca="1">SUMPRODUCT(MID($P387,ROW(INDIRECT("1:23")),1)*2^(-ROW(INDIRECT("1:23"))))</f>
        <v>#VALUE!</v>
      </c>
      <c r="T387" s="3" t="e">
        <f t="shared" ca="1" si="51"/>
        <v>#VALUE!</v>
      </c>
      <c r="U387" s="3" t="e">
        <f t="shared" ca="1" si="52"/>
        <v>#VALUE!</v>
      </c>
      <c r="V387" s="73"/>
      <c r="W387" s="9" t="str">
        <f t="shared" si="53"/>
        <v>OK</v>
      </c>
    </row>
    <row r="388" spans="1:23" x14ac:dyDescent="0.3">
      <c r="A388" s="44">
        <v>385</v>
      </c>
      <c r="B388" s="14">
        <v>7</v>
      </c>
      <c r="C388" s="4">
        <v>13</v>
      </c>
      <c r="D388" s="3" t="str">
        <f>VLOOKUP($C388,Overall!$K$5:$T$36,2)</f>
        <v>Normal</v>
      </c>
      <c r="E388" s="3">
        <f ca="1">VLOOKUP($C388,Overall!$K$5:$T$36,10)</f>
        <v>0</v>
      </c>
      <c r="F388" s="9" t="str">
        <f>VLOOKUP($C388,Overall!$K$5:$T$36,6)</f>
        <v>00000000000000000000000000000000</v>
      </c>
      <c r="G388" s="8">
        <v>1</v>
      </c>
      <c r="H388" s="3" t="str">
        <f>VLOOKUP($G388,Overall!$K$5:$T$36,2)</f>
        <v>Underflow</v>
      </c>
      <c r="I388" s="3">
        <f ca="1">VLOOKUP($G388,Overall!$K$5:$T$36,10)</f>
        <v>1.4012984643248171E-45</v>
      </c>
      <c r="J388" s="62" t="str">
        <f>VLOOKUP($G388,Overall!$K$5:$T$36,6)</f>
        <v>00000000000000000000000000000001</v>
      </c>
      <c r="K388" s="8">
        <f t="shared" ca="1" si="45"/>
        <v>0</v>
      </c>
      <c r="L388" s="62">
        <f>VLOOKUP($B388,Overall!$B$5:$I$13,8)</f>
        <v>0</v>
      </c>
      <c r="M388" s="58"/>
      <c r="N388" s="3" t="str">
        <f t="shared" si="46"/>
        <v/>
      </c>
      <c r="O388" s="3" t="str">
        <f t="shared" si="47"/>
        <v/>
      </c>
      <c r="P388" s="3" t="str">
        <f t="shared" si="48"/>
        <v/>
      </c>
      <c r="Q388" s="3">
        <f t="shared" si="49"/>
        <v>0</v>
      </c>
      <c r="R388" s="3">
        <f t="shared" si="50"/>
        <v>0</v>
      </c>
      <c r="S388" s="3" t="e" cm="1">
        <f t="array" aca="1" ref="S388" ca="1">SUMPRODUCT(MID($P388,ROW(INDIRECT("1:23")),1)*2^(-ROW(INDIRECT("1:23"))))</f>
        <v>#VALUE!</v>
      </c>
      <c r="T388" s="3" t="e">
        <f t="shared" ca="1" si="51"/>
        <v>#VALUE!</v>
      </c>
      <c r="U388" s="3" t="e">
        <f t="shared" ca="1" si="52"/>
        <v>#VALUE!</v>
      </c>
      <c r="V388" s="73"/>
      <c r="W388" s="9" t="str">
        <f t="shared" si="53"/>
        <v>OK</v>
      </c>
    </row>
    <row r="389" spans="1:23" x14ac:dyDescent="0.3">
      <c r="A389" s="44">
        <v>386</v>
      </c>
      <c r="B389" s="14">
        <v>7</v>
      </c>
      <c r="C389" s="4">
        <v>13</v>
      </c>
      <c r="D389" s="3" t="str">
        <f>VLOOKUP($C389,Overall!$K$5:$T$36,2)</f>
        <v>Normal</v>
      </c>
      <c r="E389" s="3">
        <f ca="1">VLOOKUP($C389,Overall!$K$5:$T$36,10)</f>
        <v>0</v>
      </c>
      <c r="F389" s="9" t="str">
        <f>VLOOKUP($C389,Overall!$K$5:$T$36,6)</f>
        <v>00000000000000000000000000000000</v>
      </c>
      <c r="G389" s="8">
        <v>2</v>
      </c>
      <c r="H389" s="3" t="str">
        <f>VLOOKUP($G389,Overall!$K$5:$T$36,2)</f>
        <v>Underflow</v>
      </c>
      <c r="I389" s="3">
        <f ca="1">VLOOKUP($G389,Overall!$K$5:$T$36,10)</f>
        <v>2.9387386796526474E-39</v>
      </c>
      <c r="J389" s="62" t="str">
        <f>VLOOKUP($G389,Overall!$K$5:$T$36,6)</f>
        <v>00000000001000000000000000000010</v>
      </c>
      <c r="K389" s="8">
        <f t="shared" ref="K389:K452" ca="1" si="54">E389*I389</f>
        <v>0</v>
      </c>
      <c r="L389" s="62">
        <f>VLOOKUP($B389,Overall!$B$5:$I$13,8)</f>
        <v>0</v>
      </c>
      <c r="M389" s="58"/>
      <c r="N389" s="3" t="str">
        <f t="shared" ref="N389:N452" si="55">LEFT($M389,1)</f>
        <v/>
      </c>
      <c r="O389" s="3" t="str">
        <f t="shared" ref="O389:O452" si="56">MID($M389,2,8)</f>
        <v/>
      </c>
      <c r="P389" s="3" t="str">
        <f t="shared" ref="P389:P452" si="57">MID($M389,10,23)</f>
        <v/>
      </c>
      <c r="Q389" s="3">
        <f t="shared" ref="Q389:Q452" si="58">BIN2DEC($N389)</f>
        <v>0</v>
      </c>
      <c r="R389" s="3">
        <f t="shared" ref="R389:R452" si="59">BIN2DEC($O389)</f>
        <v>0</v>
      </c>
      <c r="S389" s="3" t="e" cm="1">
        <f t="array" aca="1" ref="S389" ca="1">SUMPRODUCT(MID($P389,ROW(INDIRECT("1:23")),1)*2^(-ROW(INDIRECT("1:23"))))</f>
        <v>#VALUE!</v>
      </c>
      <c r="T389" s="3" t="e">
        <f t="shared" ref="T389:T452" ca="1" si="60">IF($R389=0,
   (-1)^$Q389 * $S389 * 2^(-126),
   (-1)^$Q389 * (1 + $S389) * 2^($R389 - 127)
)</f>
        <v>#VALUE!</v>
      </c>
      <c r="U389" s="3" t="e">
        <f t="shared" ref="U389:U452" ca="1" si="61">$T389-$K389</f>
        <v>#VALUE!</v>
      </c>
      <c r="V389" s="73"/>
      <c r="W389" s="9" t="str">
        <f t="shared" ref="W389:W452" si="62">IF(L389=V389,"OK","NG")</f>
        <v>OK</v>
      </c>
    </row>
    <row r="390" spans="1:23" x14ac:dyDescent="0.3">
      <c r="A390" s="44">
        <v>387</v>
      </c>
      <c r="B390" s="14">
        <v>7</v>
      </c>
      <c r="C390" s="4">
        <v>13</v>
      </c>
      <c r="D390" s="3" t="str">
        <f>VLOOKUP($C390,Overall!$K$5:$T$36,2)</f>
        <v>Normal</v>
      </c>
      <c r="E390" s="3">
        <f ca="1">VLOOKUP($C390,Overall!$K$5:$T$36,10)</f>
        <v>0</v>
      </c>
      <c r="F390" s="9" t="str">
        <f>VLOOKUP($C390,Overall!$K$5:$T$36,6)</f>
        <v>00000000000000000000000000000000</v>
      </c>
      <c r="G390" s="8">
        <v>3</v>
      </c>
      <c r="H390" s="3" t="str">
        <f>VLOOKUP($G390,Overall!$K$5:$T$36,2)</f>
        <v>Underflow</v>
      </c>
      <c r="I390" s="3">
        <f ca="1">VLOOKUP($G390,Overall!$K$5:$T$36,10)</f>
        <v>1.1754942106924411E-38</v>
      </c>
      <c r="J390" s="62" t="str">
        <f>VLOOKUP($G390,Overall!$K$5:$T$36,6)</f>
        <v>00000000011111111111111111111111</v>
      </c>
      <c r="K390" s="8">
        <f t="shared" ca="1" si="54"/>
        <v>0</v>
      </c>
      <c r="L390" s="62">
        <f>VLOOKUP($B390,Overall!$B$5:$I$13,8)</f>
        <v>0</v>
      </c>
      <c r="M390" s="58"/>
      <c r="N390" s="3" t="str">
        <f t="shared" si="55"/>
        <v/>
      </c>
      <c r="O390" s="3" t="str">
        <f t="shared" si="56"/>
        <v/>
      </c>
      <c r="P390" s="3" t="str">
        <f t="shared" si="57"/>
        <v/>
      </c>
      <c r="Q390" s="3">
        <f t="shared" si="58"/>
        <v>0</v>
      </c>
      <c r="R390" s="3">
        <f t="shared" si="59"/>
        <v>0</v>
      </c>
      <c r="S390" s="3" t="e" cm="1">
        <f t="array" aca="1" ref="S390" ca="1">SUMPRODUCT(MID($P390,ROW(INDIRECT("1:23")),1)*2^(-ROW(INDIRECT("1:23"))))</f>
        <v>#VALUE!</v>
      </c>
      <c r="T390" s="3" t="e">
        <f t="shared" ca="1" si="60"/>
        <v>#VALUE!</v>
      </c>
      <c r="U390" s="3" t="e">
        <f t="shared" ca="1" si="61"/>
        <v>#VALUE!</v>
      </c>
      <c r="V390" s="73"/>
      <c r="W390" s="9" t="str">
        <f t="shared" si="62"/>
        <v>OK</v>
      </c>
    </row>
    <row r="391" spans="1:23" x14ac:dyDescent="0.3">
      <c r="A391" s="44">
        <v>388</v>
      </c>
      <c r="B391" s="14">
        <v>7</v>
      </c>
      <c r="C391" s="4">
        <v>13</v>
      </c>
      <c r="D391" s="3" t="str">
        <f>VLOOKUP($C391,Overall!$K$5:$T$36,2)</f>
        <v>Normal</v>
      </c>
      <c r="E391" s="3">
        <f ca="1">VLOOKUP($C391,Overall!$K$5:$T$36,10)</f>
        <v>0</v>
      </c>
      <c r="F391" s="9" t="str">
        <f>VLOOKUP($C391,Overall!$K$5:$T$36,6)</f>
        <v>00000000000000000000000000000000</v>
      </c>
      <c r="G391" s="8">
        <v>4</v>
      </c>
      <c r="H391" s="3" t="str">
        <f>VLOOKUP($G391,Overall!$K$5:$T$36,2)</f>
        <v>Underflow</v>
      </c>
      <c r="I391" s="3">
        <f ca="1">VLOOKUP($G391,Overall!$K$5:$T$36,10)</f>
        <v>-1.4012984643248171E-45</v>
      </c>
      <c r="J391" s="62" t="str">
        <f>VLOOKUP($G391,Overall!$K$5:$T$36,6)</f>
        <v>10000000000000000000000000000001</v>
      </c>
      <c r="K391" s="8">
        <f t="shared" ca="1" si="54"/>
        <v>0</v>
      </c>
      <c r="L391" s="62">
        <f>VLOOKUP($B391,Overall!$B$5:$I$13,8)</f>
        <v>0</v>
      </c>
      <c r="M391" s="58"/>
      <c r="N391" s="3" t="str">
        <f t="shared" si="55"/>
        <v/>
      </c>
      <c r="O391" s="3" t="str">
        <f t="shared" si="56"/>
        <v/>
      </c>
      <c r="P391" s="3" t="str">
        <f t="shared" si="57"/>
        <v/>
      </c>
      <c r="Q391" s="3">
        <f t="shared" si="58"/>
        <v>0</v>
      </c>
      <c r="R391" s="3">
        <f t="shared" si="59"/>
        <v>0</v>
      </c>
      <c r="S391" s="3" t="e" cm="1">
        <f t="array" aca="1" ref="S391" ca="1">SUMPRODUCT(MID($P391,ROW(INDIRECT("1:23")),1)*2^(-ROW(INDIRECT("1:23"))))</f>
        <v>#VALUE!</v>
      </c>
      <c r="T391" s="3" t="e">
        <f t="shared" ca="1" si="60"/>
        <v>#VALUE!</v>
      </c>
      <c r="U391" s="3" t="e">
        <f t="shared" ca="1" si="61"/>
        <v>#VALUE!</v>
      </c>
      <c r="V391" s="73"/>
      <c r="W391" s="9" t="str">
        <f t="shared" si="62"/>
        <v>OK</v>
      </c>
    </row>
    <row r="392" spans="1:23" x14ac:dyDescent="0.3">
      <c r="A392" s="44">
        <v>389</v>
      </c>
      <c r="B392" s="14">
        <v>7</v>
      </c>
      <c r="C392" s="4">
        <v>13</v>
      </c>
      <c r="D392" s="3" t="str">
        <f>VLOOKUP($C392,Overall!$K$5:$T$36,2)</f>
        <v>Normal</v>
      </c>
      <c r="E392" s="3">
        <f ca="1">VLOOKUP($C392,Overall!$K$5:$T$36,10)</f>
        <v>0</v>
      </c>
      <c r="F392" s="9" t="str">
        <f>VLOOKUP($C392,Overall!$K$5:$T$36,6)</f>
        <v>00000000000000000000000000000000</v>
      </c>
      <c r="G392" s="8">
        <v>5</v>
      </c>
      <c r="H392" s="3" t="str">
        <f>VLOOKUP($G392,Overall!$K$5:$T$36,2)</f>
        <v>Underflow</v>
      </c>
      <c r="I392" s="3">
        <f ca="1">VLOOKUP($G392,Overall!$K$5:$T$36,10)</f>
        <v>-2.9387386796526474E-39</v>
      </c>
      <c r="J392" s="62" t="str">
        <f>VLOOKUP($G392,Overall!$K$5:$T$36,6)</f>
        <v>10000000001000000000000000000010</v>
      </c>
      <c r="K392" s="8">
        <f t="shared" ca="1" si="54"/>
        <v>0</v>
      </c>
      <c r="L392" s="62">
        <f>VLOOKUP($B392,Overall!$B$5:$I$13,8)</f>
        <v>0</v>
      </c>
      <c r="M392" s="58"/>
      <c r="N392" s="3" t="str">
        <f t="shared" si="55"/>
        <v/>
      </c>
      <c r="O392" s="3" t="str">
        <f t="shared" si="56"/>
        <v/>
      </c>
      <c r="P392" s="3" t="str">
        <f t="shared" si="57"/>
        <v/>
      </c>
      <c r="Q392" s="3">
        <f t="shared" si="58"/>
        <v>0</v>
      </c>
      <c r="R392" s="3">
        <f t="shared" si="59"/>
        <v>0</v>
      </c>
      <c r="S392" s="3" t="e" cm="1">
        <f t="array" aca="1" ref="S392" ca="1">SUMPRODUCT(MID($P392,ROW(INDIRECT("1:23")),1)*2^(-ROW(INDIRECT("1:23"))))</f>
        <v>#VALUE!</v>
      </c>
      <c r="T392" s="3" t="e">
        <f t="shared" ca="1" si="60"/>
        <v>#VALUE!</v>
      </c>
      <c r="U392" s="3" t="e">
        <f t="shared" ca="1" si="61"/>
        <v>#VALUE!</v>
      </c>
      <c r="V392" s="73"/>
      <c r="W392" s="9" t="str">
        <f t="shared" si="62"/>
        <v>OK</v>
      </c>
    </row>
    <row r="393" spans="1:23" x14ac:dyDescent="0.3">
      <c r="A393" s="44">
        <v>390</v>
      </c>
      <c r="B393" s="14">
        <v>7</v>
      </c>
      <c r="C393" s="4">
        <v>13</v>
      </c>
      <c r="D393" s="3" t="str">
        <f>VLOOKUP($C393,Overall!$K$5:$T$36,2)</f>
        <v>Normal</v>
      </c>
      <c r="E393" s="3">
        <f ca="1">VLOOKUP($C393,Overall!$K$5:$T$36,10)</f>
        <v>0</v>
      </c>
      <c r="F393" s="9" t="str">
        <f>VLOOKUP($C393,Overall!$K$5:$T$36,6)</f>
        <v>00000000000000000000000000000000</v>
      </c>
      <c r="G393" s="8">
        <v>6</v>
      </c>
      <c r="H393" s="3" t="str">
        <f>VLOOKUP($G393,Overall!$K$5:$T$36,2)</f>
        <v>Underflow</v>
      </c>
      <c r="I393" s="3">
        <f ca="1">VLOOKUP($G393,Overall!$K$5:$T$36,10)</f>
        <v>-1.1754942106924411E-38</v>
      </c>
      <c r="J393" s="62" t="str">
        <f>VLOOKUP($G393,Overall!$K$5:$T$36,6)</f>
        <v>10000000011111111111111111111111</v>
      </c>
      <c r="K393" s="8">
        <f t="shared" ca="1" si="54"/>
        <v>0</v>
      </c>
      <c r="L393" s="62">
        <f>VLOOKUP($B393,Overall!$B$5:$I$13,8)</f>
        <v>0</v>
      </c>
      <c r="M393" s="58"/>
      <c r="N393" s="3" t="str">
        <f t="shared" si="55"/>
        <v/>
      </c>
      <c r="O393" s="3" t="str">
        <f t="shared" si="56"/>
        <v/>
      </c>
      <c r="P393" s="3" t="str">
        <f t="shared" si="57"/>
        <v/>
      </c>
      <c r="Q393" s="3">
        <f t="shared" si="58"/>
        <v>0</v>
      </c>
      <c r="R393" s="3">
        <f t="shared" si="59"/>
        <v>0</v>
      </c>
      <c r="S393" s="3" t="e" cm="1">
        <f t="array" aca="1" ref="S393" ca="1">SUMPRODUCT(MID($P393,ROW(INDIRECT("1:23")),1)*2^(-ROW(INDIRECT("1:23"))))</f>
        <v>#VALUE!</v>
      </c>
      <c r="T393" s="3" t="e">
        <f t="shared" ca="1" si="60"/>
        <v>#VALUE!</v>
      </c>
      <c r="U393" s="3" t="e">
        <f t="shared" ca="1" si="61"/>
        <v>#VALUE!</v>
      </c>
      <c r="V393" s="73"/>
      <c r="W393" s="9" t="str">
        <f t="shared" si="62"/>
        <v>OK</v>
      </c>
    </row>
    <row r="394" spans="1:23" x14ac:dyDescent="0.3">
      <c r="A394" s="44">
        <v>391</v>
      </c>
      <c r="B394" s="14">
        <v>7</v>
      </c>
      <c r="C394" s="4">
        <v>14</v>
      </c>
      <c r="D394" s="3" t="str">
        <f>VLOOKUP($C394,Overall!$K$5:$T$36,2)</f>
        <v>Normal</v>
      </c>
      <c r="E394" s="3">
        <f ca="1">VLOOKUP($C394,Overall!$K$5:$T$36,10)</f>
        <v>0</v>
      </c>
      <c r="F394" s="9" t="str">
        <f>VLOOKUP($C394,Overall!$K$5:$T$36,6)</f>
        <v>10000000000000000000000000000000</v>
      </c>
      <c r="G394" s="8">
        <v>1</v>
      </c>
      <c r="H394" s="3" t="str">
        <f>VLOOKUP($G394,Overall!$K$5:$T$36,2)</f>
        <v>Underflow</v>
      </c>
      <c r="I394" s="3">
        <f ca="1">VLOOKUP($G394,Overall!$K$5:$T$36,10)</f>
        <v>1.4012984643248171E-45</v>
      </c>
      <c r="J394" s="62" t="str">
        <f>VLOOKUP($G394,Overall!$K$5:$T$36,6)</f>
        <v>00000000000000000000000000000001</v>
      </c>
      <c r="K394" s="8">
        <f t="shared" ca="1" si="54"/>
        <v>0</v>
      </c>
      <c r="L394" s="62">
        <f>VLOOKUP($B394,Overall!$B$5:$I$13,8)</f>
        <v>0</v>
      </c>
      <c r="M394" s="58"/>
      <c r="N394" s="3" t="str">
        <f t="shared" si="55"/>
        <v/>
      </c>
      <c r="O394" s="3" t="str">
        <f t="shared" si="56"/>
        <v/>
      </c>
      <c r="P394" s="3" t="str">
        <f t="shared" si="57"/>
        <v/>
      </c>
      <c r="Q394" s="3">
        <f t="shared" si="58"/>
        <v>0</v>
      </c>
      <c r="R394" s="3">
        <f t="shared" si="59"/>
        <v>0</v>
      </c>
      <c r="S394" s="3" t="e" cm="1">
        <f t="array" aca="1" ref="S394" ca="1">SUMPRODUCT(MID($P394,ROW(INDIRECT("1:23")),1)*2^(-ROW(INDIRECT("1:23"))))</f>
        <v>#VALUE!</v>
      </c>
      <c r="T394" s="3" t="e">
        <f t="shared" ca="1" si="60"/>
        <v>#VALUE!</v>
      </c>
      <c r="U394" s="3" t="e">
        <f t="shared" ca="1" si="61"/>
        <v>#VALUE!</v>
      </c>
      <c r="V394" s="73"/>
      <c r="W394" s="9" t="str">
        <f t="shared" si="62"/>
        <v>OK</v>
      </c>
    </row>
    <row r="395" spans="1:23" x14ac:dyDescent="0.3">
      <c r="A395" s="44">
        <v>392</v>
      </c>
      <c r="B395" s="14">
        <v>7</v>
      </c>
      <c r="C395" s="4">
        <v>14</v>
      </c>
      <c r="D395" s="3" t="str">
        <f>VLOOKUP($C395,Overall!$K$5:$T$36,2)</f>
        <v>Normal</v>
      </c>
      <c r="E395" s="3">
        <f ca="1">VLOOKUP($C395,Overall!$K$5:$T$36,10)</f>
        <v>0</v>
      </c>
      <c r="F395" s="9" t="str">
        <f>VLOOKUP($C395,Overall!$K$5:$T$36,6)</f>
        <v>10000000000000000000000000000000</v>
      </c>
      <c r="G395" s="8">
        <v>2</v>
      </c>
      <c r="H395" s="3" t="str">
        <f>VLOOKUP($G395,Overall!$K$5:$T$36,2)</f>
        <v>Underflow</v>
      </c>
      <c r="I395" s="3">
        <f ca="1">VLOOKUP($G395,Overall!$K$5:$T$36,10)</f>
        <v>2.9387386796526474E-39</v>
      </c>
      <c r="J395" s="62" t="str">
        <f>VLOOKUP($G395,Overall!$K$5:$T$36,6)</f>
        <v>00000000001000000000000000000010</v>
      </c>
      <c r="K395" s="8">
        <f t="shared" ca="1" si="54"/>
        <v>0</v>
      </c>
      <c r="L395" s="62">
        <f>VLOOKUP($B395,Overall!$B$5:$I$13,8)</f>
        <v>0</v>
      </c>
      <c r="M395" s="58"/>
      <c r="N395" s="3" t="str">
        <f t="shared" si="55"/>
        <v/>
      </c>
      <c r="O395" s="3" t="str">
        <f t="shared" si="56"/>
        <v/>
      </c>
      <c r="P395" s="3" t="str">
        <f t="shared" si="57"/>
        <v/>
      </c>
      <c r="Q395" s="3">
        <f t="shared" si="58"/>
        <v>0</v>
      </c>
      <c r="R395" s="3">
        <f t="shared" si="59"/>
        <v>0</v>
      </c>
      <c r="S395" s="3" t="e" cm="1">
        <f t="array" aca="1" ref="S395" ca="1">SUMPRODUCT(MID($P395,ROW(INDIRECT("1:23")),1)*2^(-ROW(INDIRECT("1:23"))))</f>
        <v>#VALUE!</v>
      </c>
      <c r="T395" s="3" t="e">
        <f t="shared" ca="1" si="60"/>
        <v>#VALUE!</v>
      </c>
      <c r="U395" s="3" t="e">
        <f t="shared" ca="1" si="61"/>
        <v>#VALUE!</v>
      </c>
      <c r="V395" s="73"/>
      <c r="W395" s="9" t="str">
        <f t="shared" si="62"/>
        <v>OK</v>
      </c>
    </row>
    <row r="396" spans="1:23" x14ac:dyDescent="0.3">
      <c r="A396" s="44">
        <v>393</v>
      </c>
      <c r="B396" s="14">
        <v>7</v>
      </c>
      <c r="C396" s="4">
        <v>14</v>
      </c>
      <c r="D396" s="3" t="str">
        <f>VLOOKUP($C396,Overall!$K$5:$T$36,2)</f>
        <v>Normal</v>
      </c>
      <c r="E396" s="3">
        <f ca="1">VLOOKUP($C396,Overall!$K$5:$T$36,10)</f>
        <v>0</v>
      </c>
      <c r="F396" s="9" t="str">
        <f>VLOOKUP($C396,Overall!$K$5:$T$36,6)</f>
        <v>10000000000000000000000000000000</v>
      </c>
      <c r="G396" s="8">
        <v>3</v>
      </c>
      <c r="H396" s="3" t="str">
        <f>VLOOKUP($G396,Overall!$K$5:$T$36,2)</f>
        <v>Underflow</v>
      </c>
      <c r="I396" s="3">
        <f ca="1">VLOOKUP($G396,Overall!$K$5:$T$36,10)</f>
        <v>1.1754942106924411E-38</v>
      </c>
      <c r="J396" s="62" t="str">
        <f>VLOOKUP($G396,Overall!$K$5:$T$36,6)</f>
        <v>00000000011111111111111111111111</v>
      </c>
      <c r="K396" s="8">
        <f t="shared" ca="1" si="54"/>
        <v>0</v>
      </c>
      <c r="L396" s="62">
        <f>VLOOKUP($B396,Overall!$B$5:$I$13,8)</f>
        <v>0</v>
      </c>
      <c r="M396" s="58"/>
      <c r="N396" s="3" t="str">
        <f t="shared" si="55"/>
        <v/>
      </c>
      <c r="O396" s="3" t="str">
        <f t="shared" si="56"/>
        <v/>
      </c>
      <c r="P396" s="3" t="str">
        <f t="shared" si="57"/>
        <v/>
      </c>
      <c r="Q396" s="3">
        <f t="shared" si="58"/>
        <v>0</v>
      </c>
      <c r="R396" s="3">
        <f t="shared" si="59"/>
        <v>0</v>
      </c>
      <c r="S396" s="3" t="e" cm="1">
        <f t="array" aca="1" ref="S396" ca="1">SUMPRODUCT(MID($P396,ROW(INDIRECT("1:23")),1)*2^(-ROW(INDIRECT("1:23"))))</f>
        <v>#VALUE!</v>
      </c>
      <c r="T396" s="3" t="e">
        <f t="shared" ca="1" si="60"/>
        <v>#VALUE!</v>
      </c>
      <c r="U396" s="3" t="e">
        <f t="shared" ca="1" si="61"/>
        <v>#VALUE!</v>
      </c>
      <c r="V396" s="73"/>
      <c r="W396" s="9" t="str">
        <f t="shared" si="62"/>
        <v>OK</v>
      </c>
    </row>
    <row r="397" spans="1:23" x14ac:dyDescent="0.3">
      <c r="A397" s="44">
        <v>394</v>
      </c>
      <c r="B397" s="14">
        <v>7</v>
      </c>
      <c r="C397" s="4">
        <v>14</v>
      </c>
      <c r="D397" s="3" t="str">
        <f>VLOOKUP($C397,Overall!$K$5:$T$36,2)</f>
        <v>Normal</v>
      </c>
      <c r="E397" s="3">
        <f ca="1">VLOOKUP($C397,Overall!$K$5:$T$36,10)</f>
        <v>0</v>
      </c>
      <c r="F397" s="9" t="str">
        <f>VLOOKUP($C397,Overall!$K$5:$T$36,6)</f>
        <v>10000000000000000000000000000000</v>
      </c>
      <c r="G397" s="8">
        <v>4</v>
      </c>
      <c r="H397" s="3" t="str">
        <f>VLOOKUP($G397,Overall!$K$5:$T$36,2)</f>
        <v>Underflow</v>
      </c>
      <c r="I397" s="3">
        <f ca="1">VLOOKUP($G397,Overall!$K$5:$T$36,10)</f>
        <v>-1.4012984643248171E-45</v>
      </c>
      <c r="J397" s="62" t="str">
        <f>VLOOKUP($G397,Overall!$K$5:$T$36,6)</f>
        <v>10000000000000000000000000000001</v>
      </c>
      <c r="K397" s="8">
        <f t="shared" ca="1" si="54"/>
        <v>0</v>
      </c>
      <c r="L397" s="62">
        <f>VLOOKUP($B397,Overall!$B$5:$I$13,8)</f>
        <v>0</v>
      </c>
      <c r="M397" s="58"/>
      <c r="N397" s="3" t="str">
        <f t="shared" si="55"/>
        <v/>
      </c>
      <c r="O397" s="3" t="str">
        <f t="shared" si="56"/>
        <v/>
      </c>
      <c r="P397" s="3" t="str">
        <f t="shared" si="57"/>
        <v/>
      </c>
      <c r="Q397" s="3">
        <f t="shared" si="58"/>
        <v>0</v>
      </c>
      <c r="R397" s="3">
        <f t="shared" si="59"/>
        <v>0</v>
      </c>
      <c r="S397" s="3" t="e" cm="1">
        <f t="array" aca="1" ref="S397" ca="1">SUMPRODUCT(MID($P397,ROW(INDIRECT("1:23")),1)*2^(-ROW(INDIRECT("1:23"))))</f>
        <v>#VALUE!</v>
      </c>
      <c r="T397" s="3" t="e">
        <f t="shared" ca="1" si="60"/>
        <v>#VALUE!</v>
      </c>
      <c r="U397" s="3" t="e">
        <f t="shared" ca="1" si="61"/>
        <v>#VALUE!</v>
      </c>
      <c r="V397" s="73"/>
      <c r="W397" s="9" t="str">
        <f t="shared" si="62"/>
        <v>OK</v>
      </c>
    </row>
    <row r="398" spans="1:23" x14ac:dyDescent="0.3">
      <c r="A398" s="44">
        <v>395</v>
      </c>
      <c r="B398" s="14">
        <v>7</v>
      </c>
      <c r="C398" s="4">
        <v>14</v>
      </c>
      <c r="D398" s="3" t="str">
        <f>VLOOKUP($C398,Overall!$K$5:$T$36,2)</f>
        <v>Normal</v>
      </c>
      <c r="E398" s="3">
        <f ca="1">VLOOKUP($C398,Overall!$K$5:$T$36,10)</f>
        <v>0</v>
      </c>
      <c r="F398" s="9" t="str">
        <f>VLOOKUP($C398,Overall!$K$5:$T$36,6)</f>
        <v>10000000000000000000000000000000</v>
      </c>
      <c r="G398" s="8">
        <v>5</v>
      </c>
      <c r="H398" s="3" t="str">
        <f>VLOOKUP($G398,Overall!$K$5:$T$36,2)</f>
        <v>Underflow</v>
      </c>
      <c r="I398" s="3">
        <f ca="1">VLOOKUP($G398,Overall!$K$5:$T$36,10)</f>
        <v>-2.9387386796526474E-39</v>
      </c>
      <c r="J398" s="62" t="str">
        <f>VLOOKUP($G398,Overall!$K$5:$T$36,6)</f>
        <v>10000000001000000000000000000010</v>
      </c>
      <c r="K398" s="8">
        <f t="shared" ca="1" si="54"/>
        <v>0</v>
      </c>
      <c r="L398" s="62">
        <f>VLOOKUP($B398,Overall!$B$5:$I$13,8)</f>
        <v>0</v>
      </c>
      <c r="M398" s="58"/>
      <c r="N398" s="3" t="str">
        <f t="shared" si="55"/>
        <v/>
      </c>
      <c r="O398" s="3" t="str">
        <f t="shared" si="56"/>
        <v/>
      </c>
      <c r="P398" s="3" t="str">
        <f t="shared" si="57"/>
        <v/>
      </c>
      <c r="Q398" s="3">
        <f t="shared" si="58"/>
        <v>0</v>
      </c>
      <c r="R398" s="3">
        <f t="shared" si="59"/>
        <v>0</v>
      </c>
      <c r="S398" s="3" t="e" cm="1">
        <f t="array" aca="1" ref="S398" ca="1">SUMPRODUCT(MID($P398,ROW(INDIRECT("1:23")),1)*2^(-ROW(INDIRECT("1:23"))))</f>
        <v>#VALUE!</v>
      </c>
      <c r="T398" s="3" t="e">
        <f t="shared" ca="1" si="60"/>
        <v>#VALUE!</v>
      </c>
      <c r="U398" s="3" t="e">
        <f t="shared" ca="1" si="61"/>
        <v>#VALUE!</v>
      </c>
      <c r="V398" s="73"/>
      <c r="W398" s="9" t="str">
        <f t="shared" si="62"/>
        <v>OK</v>
      </c>
    </row>
    <row r="399" spans="1:23" x14ac:dyDescent="0.3">
      <c r="A399" s="44">
        <v>396</v>
      </c>
      <c r="B399" s="14">
        <v>7</v>
      </c>
      <c r="C399" s="4">
        <v>14</v>
      </c>
      <c r="D399" s="3" t="str">
        <f>VLOOKUP($C399,Overall!$K$5:$T$36,2)</f>
        <v>Normal</v>
      </c>
      <c r="E399" s="3">
        <f ca="1">VLOOKUP($C399,Overall!$K$5:$T$36,10)</f>
        <v>0</v>
      </c>
      <c r="F399" s="9" t="str">
        <f>VLOOKUP($C399,Overall!$K$5:$T$36,6)</f>
        <v>10000000000000000000000000000000</v>
      </c>
      <c r="G399" s="8">
        <v>6</v>
      </c>
      <c r="H399" s="3" t="str">
        <f>VLOOKUP($G399,Overall!$K$5:$T$36,2)</f>
        <v>Underflow</v>
      </c>
      <c r="I399" s="3">
        <f ca="1">VLOOKUP($G399,Overall!$K$5:$T$36,10)</f>
        <v>-1.1754942106924411E-38</v>
      </c>
      <c r="J399" s="62" t="str">
        <f>VLOOKUP($G399,Overall!$K$5:$T$36,6)</f>
        <v>10000000011111111111111111111111</v>
      </c>
      <c r="K399" s="8">
        <f t="shared" ca="1" si="54"/>
        <v>0</v>
      </c>
      <c r="L399" s="62">
        <f>VLOOKUP($B399,Overall!$B$5:$I$13,8)</f>
        <v>0</v>
      </c>
      <c r="M399" s="58"/>
      <c r="N399" s="3" t="str">
        <f t="shared" si="55"/>
        <v/>
      </c>
      <c r="O399" s="3" t="str">
        <f t="shared" si="56"/>
        <v/>
      </c>
      <c r="P399" s="3" t="str">
        <f t="shared" si="57"/>
        <v/>
      </c>
      <c r="Q399" s="3">
        <f t="shared" si="58"/>
        <v>0</v>
      </c>
      <c r="R399" s="3">
        <f t="shared" si="59"/>
        <v>0</v>
      </c>
      <c r="S399" s="3" t="e" cm="1">
        <f t="array" aca="1" ref="S399" ca="1">SUMPRODUCT(MID($P399,ROW(INDIRECT("1:23")),1)*2^(-ROW(INDIRECT("1:23"))))</f>
        <v>#VALUE!</v>
      </c>
      <c r="T399" s="3" t="e">
        <f t="shared" ca="1" si="60"/>
        <v>#VALUE!</v>
      </c>
      <c r="U399" s="3" t="e">
        <f t="shared" ca="1" si="61"/>
        <v>#VALUE!</v>
      </c>
      <c r="V399" s="73"/>
      <c r="W399" s="9" t="str">
        <f t="shared" si="62"/>
        <v>OK</v>
      </c>
    </row>
    <row r="400" spans="1:23" x14ac:dyDescent="0.3">
      <c r="A400" s="44">
        <v>397</v>
      </c>
      <c r="B400" s="14">
        <v>7</v>
      </c>
      <c r="C400" s="4">
        <v>15</v>
      </c>
      <c r="D400" s="3" t="str">
        <f>VLOOKUP($C400,Overall!$K$5:$T$36,2)</f>
        <v>Normal</v>
      </c>
      <c r="E400" s="3">
        <f ca="1">VLOOKUP($C400,Overall!$K$5:$T$36,10)</f>
        <v>1.1754943508222875E-38</v>
      </c>
      <c r="F400" s="9" t="str">
        <f>VLOOKUP($C400,Overall!$K$5:$T$36,6)</f>
        <v>00000000100000000000000000000000</v>
      </c>
      <c r="G400" s="8">
        <v>1</v>
      </c>
      <c r="H400" s="3" t="str">
        <f>VLOOKUP($G400,Overall!$K$5:$T$36,2)</f>
        <v>Underflow</v>
      </c>
      <c r="I400" s="3">
        <f ca="1">VLOOKUP($G400,Overall!$K$5:$T$36,10)</f>
        <v>1.4012984643248171E-45</v>
      </c>
      <c r="J400" s="62" t="str">
        <f>VLOOKUP($G400,Overall!$K$5:$T$36,6)</f>
        <v>00000000000000000000000000000001</v>
      </c>
      <c r="K400" s="8">
        <f t="shared" ca="1" si="54"/>
        <v>1.6472184286297693E-83</v>
      </c>
      <c r="L400" s="62">
        <f>VLOOKUP($B400,Overall!$B$5:$I$13,8)</f>
        <v>0</v>
      </c>
      <c r="M400" s="58"/>
      <c r="N400" s="3" t="str">
        <f t="shared" si="55"/>
        <v/>
      </c>
      <c r="O400" s="3" t="str">
        <f t="shared" si="56"/>
        <v/>
      </c>
      <c r="P400" s="3" t="str">
        <f t="shared" si="57"/>
        <v/>
      </c>
      <c r="Q400" s="3">
        <f t="shared" si="58"/>
        <v>0</v>
      </c>
      <c r="R400" s="3">
        <f t="shared" si="59"/>
        <v>0</v>
      </c>
      <c r="S400" s="3" t="e" cm="1">
        <f t="array" aca="1" ref="S400" ca="1">SUMPRODUCT(MID($P400,ROW(INDIRECT("1:23")),1)*2^(-ROW(INDIRECT("1:23"))))</f>
        <v>#VALUE!</v>
      </c>
      <c r="T400" s="3" t="e">
        <f t="shared" ca="1" si="60"/>
        <v>#VALUE!</v>
      </c>
      <c r="U400" s="3" t="e">
        <f t="shared" ca="1" si="61"/>
        <v>#VALUE!</v>
      </c>
      <c r="V400" s="73"/>
      <c r="W400" s="9" t="str">
        <f t="shared" si="62"/>
        <v>OK</v>
      </c>
    </row>
    <row r="401" spans="1:23" x14ac:dyDescent="0.3">
      <c r="A401" s="44">
        <v>398</v>
      </c>
      <c r="B401" s="14">
        <v>7</v>
      </c>
      <c r="C401" s="4">
        <v>15</v>
      </c>
      <c r="D401" s="3" t="str">
        <f>VLOOKUP($C401,Overall!$K$5:$T$36,2)</f>
        <v>Normal</v>
      </c>
      <c r="E401" s="3">
        <f ca="1">VLOOKUP($C401,Overall!$K$5:$T$36,10)</f>
        <v>1.1754943508222875E-38</v>
      </c>
      <c r="F401" s="9" t="str">
        <f>VLOOKUP($C401,Overall!$K$5:$T$36,6)</f>
        <v>00000000100000000000000000000000</v>
      </c>
      <c r="G401" s="8">
        <v>2</v>
      </c>
      <c r="H401" s="3" t="str">
        <f>VLOOKUP($G401,Overall!$K$5:$T$36,2)</f>
        <v>Underflow</v>
      </c>
      <c r="I401" s="3">
        <f ca="1">VLOOKUP($G401,Overall!$K$5:$T$36,10)</f>
        <v>2.9387386796526474E-39</v>
      </c>
      <c r="J401" s="62" t="str">
        <f>VLOOKUP($G401,Overall!$K$5:$T$36,6)</f>
        <v>00000000001000000000000000000010</v>
      </c>
      <c r="K401" s="8">
        <f t="shared" ca="1" si="54"/>
        <v>3.4544707164746351E-77</v>
      </c>
      <c r="L401" s="62">
        <f>VLOOKUP($B401,Overall!$B$5:$I$13,8)</f>
        <v>0</v>
      </c>
      <c r="M401" s="58"/>
      <c r="N401" s="3" t="str">
        <f t="shared" si="55"/>
        <v/>
      </c>
      <c r="O401" s="3" t="str">
        <f t="shared" si="56"/>
        <v/>
      </c>
      <c r="P401" s="3" t="str">
        <f t="shared" si="57"/>
        <v/>
      </c>
      <c r="Q401" s="3">
        <f t="shared" si="58"/>
        <v>0</v>
      </c>
      <c r="R401" s="3">
        <f t="shared" si="59"/>
        <v>0</v>
      </c>
      <c r="S401" s="3" t="e" cm="1">
        <f t="array" aca="1" ref="S401" ca="1">SUMPRODUCT(MID($P401,ROW(INDIRECT("1:23")),1)*2^(-ROW(INDIRECT("1:23"))))</f>
        <v>#VALUE!</v>
      </c>
      <c r="T401" s="3" t="e">
        <f t="shared" ca="1" si="60"/>
        <v>#VALUE!</v>
      </c>
      <c r="U401" s="3" t="e">
        <f t="shared" ca="1" si="61"/>
        <v>#VALUE!</v>
      </c>
      <c r="V401" s="73"/>
      <c r="W401" s="9" t="str">
        <f t="shared" si="62"/>
        <v>OK</v>
      </c>
    </row>
    <row r="402" spans="1:23" x14ac:dyDescent="0.3">
      <c r="A402" s="44">
        <v>399</v>
      </c>
      <c r="B402" s="14">
        <v>7</v>
      </c>
      <c r="C402" s="4">
        <v>15</v>
      </c>
      <c r="D402" s="3" t="str">
        <f>VLOOKUP($C402,Overall!$K$5:$T$36,2)</f>
        <v>Normal</v>
      </c>
      <c r="E402" s="3">
        <f ca="1">VLOOKUP($C402,Overall!$K$5:$T$36,10)</f>
        <v>1.1754943508222875E-38</v>
      </c>
      <c r="F402" s="9" t="str">
        <f>VLOOKUP($C402,Overall!$K$5:$T$36,6)</f>
        <v>00000000100000000000000000000000</v>
      </c>
      <c r="G402" s="8">
        <v>3</v>
      </c>
      <c r="H402" s="3" t="str">
        <f>VLOOKUP($G402,Overall!$K$5:$T$36,2)</f>
        <v>Underflow</v>
      </c>
      <c r="I402" s="3">
        <f ca="1">VLOOKUP($G402,Overall!$K$5:$T$36,10)</f>
        <v>1.1754942106924411E-38</v>
      </c>
      <c r="J402" s="62" t="str">
        <f>VLOOKUP($G402,Overall!$K$5:$T$36,6)</f>
        <v>00000000011111111111111111111111</v>
      </c>
      <c r="K402" s="8">
        <f t="shared" ca="1" si="54"/>
        <v>1.3817868040932683E-76</v>
      </c>
      <c r="L402" s="62">
        <f>VLOOKUP($B402,Overall!$B$5:$I$13,8)</f>
        <v>0</v>
      </c>
      <c r="M402" s="58"/>
      <c r="N402" s="3" t="str">
        <f t="shared" si="55"/>
        <v/>
      </c>
      <c r="O402" s="3" t="str">
        <f t="shared" si="56"/>
        <v/>
      </c>
      <c r="P402" s="3" t="str">
        <f t="shared" si="57"/>
        <v/>
      </c>
      <c r="Q402" s="3">
        <f t="shared" si="58"/>
        <v>0</v>
      </c>
      <c r="R402" s="3">
        <f t="shared" si="59"/>
        <v>0</v>
      </c>
      <c r="S402" s="3" t="e" cm="1">
        <f t="array" aca="1" ref="S402" ca="1">SUMPRODUCT(MID($P402,ROW(INDIRECT("1:23")),1)*2^(-ROW(INDIRECT("1:23"))))</f>
        <v>#VALUE!</v>
      </c>
      <c r="T402" s="3" t="e">
        <f t="shared" ca="1" si="60"/>
        <v>#VALUE!</v>
      </c>
      <c r="U402" s="3" t="e">
        <f t="shared" ca="1" si="61"/>
        <v>#VALUE!</v>
      </c>
      <c r="V402" s="73"/>
      <c r="W402" s="9" t="str">
        <f t="shared" si="62"/>
        <v>OK</v>
      </c>
    </row>
    <row r="403" spans="1:23" x14ac:dyDescent="0.3">
      <c r="A403" s="44">
        <v>400</v>
      </c>
      <c r="B403" s="14">
        <v>7</v>
      </c>
      <c r="C403" s="4">
        <v>15</v>
      </c>
      <c r="D403" s="3" t="str">
        <f>VLOOKUP($C403,Overall!$K$5:$T$36,2)</f>
        <v>Normal</v>
      </c>
      <c r="E403" s="3">
        <f ca="1">VLOOKUP($C403,Overall!$K$5:$T$36,10)</f>
        <v>1.1754943508222875E-38</v>
      </c>
      <c r="F403" s="9" t="str">
        <f>VLOOKUP($C403,Overall!$K$5:$T$36,6)</f>
        <v>00000000100000000000000000000000</v>
      </c>
      <c r="G403" s="8">
        <v>4</v>
      </c>
      <c r="H403" s="3" t="str">
        <f>VLOOKUP($G403,Overall!$K$5:$T$36,2)</f>
        <v>Underflow</v>
      </c>
      <c r="I403" s="3">
        <f ca="1">VLOOKUP($G403,Overall!$K$5:$T$36,10)</f>
        <v>-1.4012984643248171E-45</v>
      </c>
      <c r="J403" s="62" t="str">
        <f>VLOOKUP($G403,Overall!$K$5:$T$36,6)</f>
        <v>10000000000000000000000000000001</v>
      </c>
      <c r="K403" s="8">
        <f t="shared" ca="1" si="54"/>
        <v>-1.6472184286297693E-83</v>
      </c>
      <c r="L403" s="62">
        <f>VLOOKUP($B403,Overall!$B$5:$I$13,8)</f>
        <v>0</v>
      </c>
      <c r="M403" s="58"/>
      <c r="N403" s="3" t="str">
        <f t="shared" si="55"/>
        <v/>
      </c>
      <c r="O403" s="3" t="str">
        <f t="shared" si="56"/>
        <v/>
      </c>
      <c r="P403" s="3" t="str">
        <f t="shared" si="57"/>
        <v/>
      </c>
      <c r="Q403" s="3">
        <f t="shared" si="58"/>
        <v>0</v>
      </c>
      <c r="R403" s="3">
        <f t="shared" si="59"/>
        <v>0</v>
      </c>
      <c r="S403" s="3" t="e" cm="1">
        <f t="array" aca="1" ref="S403" ca="1">SUMPRODUCT(MID($P403,ROW(INDIRECT("1:23")),1)*2^(-ROW(INDIRECT("1:23"))))</f>
        <v>#VALUE!</v>
      </c>
      <c r="T403" s="3" t="e">
        <f t="shared" ca="1" si="60"/>
        <v>#VALUE!</v>
      </c>
      <c r="U403" s="3" t="e">
        <f t="shared" ca="1" si="61"/>
        <v>#VALUE!</v>
      </c>
      <c r="V403" s="73"/>
      <c r="W403" s="9" t="str">
        <f t="shared" si="62"/>
        <v>OK</v>
      </c>
    </row>
    <row r="404" spans="1:23" x14ac:dyDescent="0.3">
      <c r="A404" s="44">
        <v>401</v>
      </c>
      <c r="B404" s="14">
        <v>7</v>
      </c>
      <c r="C404" s="4">
        <v>15</v>
      </c>
      <c r="D404" s="3" t="str">
        <f>VLOOKUP($C404,Overall!$K$5:$T$36,2)</f>
        <v>Normal</v>
      </c>
      <c r="E404" s="3">
        <f ca="1">VLOOKUP($C404,Overall!$K$5:$T$36,10)</f>
        <v>1.1754943508222875E-38</v>
      </c>
      <c r="F404" s="9" t="str">
        <f>VLOOKUP($C404,Overall!$K$5:$T$36,6)</f>
        <v>00000000100000000000000000000000</v>
      </c>
      <c r="G404" s="8">
        <v>5</v>
      </c>
      <c r="H404" s="3" t="str">
        <f>VLOOKUP($G404,Overall!$K$5:$T$36,2)</f>
        <v>Underflow</v>
      </c>
      <c r="I404" s="3">
        <f ca="1">VLOOKUP($G404,Overall!$K$5:$T$36,10)</f>
        <v>-2.9387386796526474E-39</v>
      </c>
      <c r="J404" s="62" t="str">
        <f>VLOOKUP($G404,Overall!$K$5:$T$36,6)</f>
        <v>10000000001000000000000000000010</v>
      </c>
      <c r="K404" s="8">
        <f t="shared" ca="1" si="54"/>
        <v>-3.4544707164746351E-77</v>
      </c>
      <c r="L404" s="62">
        <f>VLOOKUP($B404,Overall!$B$5:$I$13,8)</f>
        <v>0</v>
      </c>
      <c r="M404" s="58"/>
      <c r="N404" s="3" t="str">
        <f t="shared" si="55"/>
        <v/>
      </c>
      <c r="O404" s="3" t="str">
        <f t="shared" si="56"/>
        <v/>
      </c>
      <c r="P404" s="3" t="str">
        <f t="shared" si="57"/>
        <v/>
      </c>
      <c r="Q404" s="3">
        <f t="shared" si="58"/>
        <v>0</v>
      </c>
      <c r="R404" s="3">
        <f t="shared" si="59"/>
        <v>0</v>
      </c>
      <c r="S404" s="3" t="e" cm="1">
        <f t="array" aca="1" ref="S404" ca="1">SUMPRODUCT(MID($P404,ROW(INDIRECT("1:23")),1)*2^(-ROW(INDIRECT("1:23"))))</f>
        <v>#VALUE!</v>
      </c>
      <c r="T404" s="3" t="e">
        <f t="shared" ca="1" si="60"/>
        <v>#VALUE!</v>
      </c>
      <c r="U404" s="3" t="e">
        <f t="shared" ca="1" si="61"/>
        <v>#VALUE!</v>
      </c>
      <c r="V404" s="73"/>
      <c r="W404" s="9" t="str">
        <f t="shared" si="62"/>
        <v>OK</v>
      </c>
    </row>
    <row r="405" spans="1:23" x14ac:dyDescent="0.3">
      <c r="A405" s="44">
        <v>402</v>
      </c>
      <c r="B405" s="14">
        <v>7</v>
      </c>
      <c r="C405" s="4">
        <v>15</v>
      </c>
      <c r="D405" s="3" t="str">
        <f>VLOOKUP($C405,Overall!$K$5:$T$36,2)</f>
        <v>Normal</v>
      </c>
      <c r="E405" s="3">
        <f ca="1">VLOOKUP($C405,Overall!$K$5:$T$36,10)</f>
        <v>1.1754943508222875E-38</v>
      </c>
      <c r="F405" s="9" t="str">
        <f>VLOOKUP($C405,Overall!$K$5:$T$36,6)</f>
        <v>00000000100000000000000000000000</v>
      </c>
      <c r="G405" s="8">
        <v>6</v>
      </c>
      <c r="H405" s="3" t="str">
        <f>VLOOKUP($G405,Overall!$K$5:$T$36,2)</f>
        <v>Underflow</v>
      </c>
      <c r="I405" s="3">
        <f ca="1">VLOOKUP($G405,Overall!$K$5:$T$36,10)</f>
        <v>-1.1754942106924411E-38</v>
      </c>
      <c r="J405" s="62" t="str">
        <f>VLOOKUP($G405,Overall!$K$5:$T$36,6)</f>
        <v>10000000011111111111111111111111</v>
      </c>
      <c r="K405" s="8">
        <f t="shared" ca="1" si="54"/>
        <v>-1.3817868040932683E-76</v>
      </c>
      <c r="L405" s="62">
        <f>VLOOKUP($B405,Overall!$B$5:$I$13,8)</f>
        <v>0</v>
      </c>
      <c r="M405" s="58"/>
      <c r="N405" s="3" t="str">
        <f t="shared" si="55"/>
        <v/>
      </c>
      <c r="O405" s="3" t="str">
        <f t="shared" si="56"/>
        <v/>
      </c>
      <c r="P405" s="3" t="str">
        <f t="shared" si="57"/>
        <v/>
      </c>
      <c r="Q405" s="3">
        <f t="shared" si="58"/>
        <v>0</v>
      </c>
      <c r="R405" s="3">
        <f t="shared" si="59"/>
        <v>0</v>
      </c>
      <c r="S405" s="3" t="e" cm="1">
        <f t="array" aca="1" ref="S405" ca="1">SUMPRODUCT(MID($P405,ROW(INDIRECT("1:23")),1)*2^(-ROW(INDIRECT("1:23"))))</f>
        <v>#VALUE!</v>
      </c>
      <c r="T405" s="3" t="e">
        <f t="shared" ca="1" si="60"/>
        <v>#VALUE!</v>
      </c>
      <c r="U405" s="3" t="e">
        <f t="shared" ca="1" si="61"/>
        <v>#VALUE!</v>
      </c>
      <c r="V405" s="73"/>
      <c r="W405" s="9" t="str">
        <f t="shared" si="62"/>
        <v>OK</v>
      </c>
    </row>
    <row r="406" spans="1:23" x14ac:dyDescent="0.3">
      <c r="A406" s="44">
        <v>403</v>
      </c>
      <c r="B406" s="14">
        <v>7</v>
      </c>
      <c r="C406" s="4">
        <v>16</v>
      </c>
      <c r="D406" s="3" t="str">
        <f>VLOOKUP($C406,Overall!$K$5:$T$36,2)</f>
        <v>Normal</v>
      </c>
      <c r="E406" s="3">
        <f ca="1">VLOOKUP($C406,Overall!$K$5:$T$36,10)</f>
        <v>1.1754944909521339E-38</v>
      </c>
      <c r="F406" s="9" t="str">
        <f>VLOOKUP($C406,Overall!$K$5:$T$36,6)</f>
        <v>00000000100000000000000000000001</v>
      </c>
      <c r="G406" s="8">
        <v>1</v>
      </c>
      <c r="H406" s="3" t="str">
        <f>VLOOKUP($G406,Overall!$K$5:$T$36,2)</f>
        <v>Underflow</v>
      </c>
      <c r="I406" s="3">
        <f ca="1">VLOOKUP($G406,Overall!$K$5:$T$36,10)</f>
        <v>1.4012984643248171E-45</v>
      </c>
      <c r="J406" s="62" t="str">
        <f>VLOOKUP($G406,Overall!$K$5:$T$36,6)</f>
        <v>00000000000000000000000000000001</v>
      </c>
      <c r="K406" s="8">
        <f t="shared" ca="1" si="54"/>
        <v>1.6472186249935079E-83</v>
      </c>
      <c r="L406" s="62">
        <f>VLOOKUP($B406,Overall!$B$5:$I$13,8)</f>
        <v>0</v>
      </c>
      <c r="M406" s="58"/>
      <c r="N406" s="3" t="str">
        <f t="shared" si="55"/>
        <v/>
      </c>
      <c r="O406" s="3" t="str">
        <f t="shared" si="56"/>
        <v/>
      </c>
      <c r="P406" s="3" t="str">
        <f t="shared" si="57"/>
        <v/>
      </c>
      <c r="Q406" s="3">
        <f t="shared" si="58"/>
        <v>0</v>
      </c>
      <c r="R406" s="3">
        <f t="shared" si="59"/>
        <v>0</v>
      </c>
      <c r="S406" s="3" t="e" cm="1">
        <f t="array" aca="1" ref="S406" ca="1">SUMPRODUCT(MID($P406,ROW(INDIRECT("1:23")),1)*2^(-ROW(INDIRECT("1:23"))))</f>
        <v>#VALUE!</v>
      </c>
      <c r="T406" s="3" t="e">
        <f t="shared" ca="1" si="60"/>
        <v>#VALUE!</v>
      </c>
      <c r="U406" s="3" t="e">
        <f t="shared" ca="1" si="61"/>
        <v>#VALUE!</v>
      </c>
      <c r="V406" s="73"/>
      <c r="W406" s="9" t="str">
        <f t="shared" si="62"/>
        <v>OK</v>
      </c>
    </row>
    <row r="407" spans="1:23" x14ac:dyDescent="0.3">
      <c r="A407" s="44">
        <v>404</v>
      </c>
      <c r="B407" s="14">
        <v>7</v>
      </c>
      <c r="C407" s="4">
        <v>16</v>
      </c>
      <c r="D407" s="3" t="str">
        <f>VLOOKUP($C407,Overall!$K$5:$T$36,2)</f>
        <v>Normal</v>
      </c>
      <c r="E407" s="3">
        <f ca="1">VLOOKUP($C407,Overall!$K$5:$T$36,10)</f>
        <v>1.1754944909521339E-38</v>
      </c>
      <c r="F407" s="9" t="str">
        <f>VLOOKUP($C407,Overall!$K$5:$T$36,6)</f>
        <v>00000000100000000000000000000001</v>
      </c>
      <c r="G407" s="8">
        <v>2</v>
      </c>
      <c r="H407" s="3" t="str">
        <f>VLOOKUP($G407,Overall!$K$5:$T$36,2)</f>
        <v>Underflow</v>
      </c>
      <c r="I407" s="3">
        <f ca="1">VLOOKUP($G407,Overall!$K$5:$T$36,10)</f>
        <v>2.9387386796526474E-39</v>
      </c>
      <c r="J407" s="62" t="str">
        <f>VLOOKUP($G407,Overall!$K$5:$T$36,6)</f>
        <v>00000000001000000000000000000010</v>
      </c>
      <c r="K407" s="8">
        <f t="shared" ca="1" si="54"/>
        <v>3.454471128279635E-77</v>
      </c>
      <c r="L407" s="62">
        <f>VLOOKUP($B407,Overall!$B$5:$I$13,8)</f>
        <v>0</v>
      </c>
      <c r="M407" s="58"/>
      <c r="N407" s="3" t="str">
        <f t="shared" si="55"/>
        <v/>
      </c>
      <c r="O407" s="3" t="str">
        <f t="shared" si="56"/>
        <v/>
      </c>
      <c r="P407" s="3" t="str">
        <f t="shared" si="57"/>
        <v/>
      </c>
      <c r="Q407" s="3">
        <f t="shared" si="58"/>
        <v>0</v>
      </c>
      <c r="R407" s="3">
        <f t="shared" si="59"/>
        <v>0</v>
      </c>
      <c r="S407" s="3" t="e" cm="1">
        <f t="array" aca="1" ref="S407" ca="1">SUMPRODUCT(MID($P407,ROW(INDIRECT("1:23")),1)*2^(-ROW(INDIRECT("1:23"))))</f>
        <v>#VALUE!</v>
      </c>
      <c r="T407" s="3" t="e">
        <f t="shared" ca="1" si="60"/>
        <v>#VALUE!</v>
      </c>
      <c r="U407" s="3" t="e">
        <f t="shared" ca="1" si="61"/>
        <v>#VALUE!</v>
      </c>
      <c r="V407" s="73"/>
      <c r="W407" s="9" t="str">
        <f t="shared" si="62"/>
        <v>OK</v>
      </c>
    </row>
    <row r="408" spans="1:23" x14ac:dyDescent="0.3">
      <c r="A408" s="44">
        <v>405</v>
      </c>
      <c r="B408" s="14">
        <v>7</v>
      </c>
      <c r="C408" s="4">
        <v>16</v>
      </c>
      <c r="D408" s="3" t="str">
        <f>VLOOKUP($C408,Overall!$K$5:$T$36,2)</f>
        <v>Normal</v>
      </c>
      <c r="E408" s="3">
        <f ca="1">VLOOKUP($C408,Overall!$K$5:$T$36,10)</f>
        <v>1.1754944909521339E-38</v>
      </c>
      <c r="F408" s="9" t="str">
        <f>VLOOKUP($C408,Overall!$K$5:$T$36,6)</f>
        <v>00000000100000000000000000000001</v>
      </c>
      <c r="G408" s="8">
        <v>3</v>
      </c>
      <c r="H408" s="3" t="str">
        <f>VLOOKUP($G408,Overall!$K$5:$T$36,2)</f>
        <v>Underflow</v>
      </c>
      <c r="I408" s="3">
        <f ca="1">VLOOKUP($G408,Overall!$K$5:$T$36,10)</f>
        <v>1.1754942106924411E-38</v>
      </c>
      <c r="J408" s="62" t="str">
        <f>VLOOKUP($G408,Overall!$K$5:$T$36,6)</f>
        <v>00000000011111111111111111111111</v>
      </c>
      <c r="K408" s="8">
        <f t="shared" ca="1" si="54"/>
        <v>1.3817869688150915E-76</v>
      </c>
      <c r="L408" s="62">
        <f>VLOOKUP($B408,Overall!$B$5:$I$13,8)</f>
        <v>0</v>
      </c>
      <c r="M408" s="58"/>
      <c r="N408" s="3" t="str">
        <f t="shared" si="55"/>
        <v/>
      </c>
      <c r="O408" s="3" t="str">
        <f t="shared" si="56"/>
        <v/>
      </c>
      <c r="P408" s="3" t="str">
        <f t="shared" si="57"/>
        <v/>
      </c>
      <c r="Q408" s="3">
        <f t="shared" si="58"/>
        <v>0</v>
      </c>
      <c r="R408" s="3">
        <f t="shared" si="59"/>
        <v>0</v>
      </c>
      <c r="S408" s="3" t="e" cm="1">
        <f t="array" aca="1" ref="S408" ca="1">SUMPRODUCT(MID($P408,ROW(INDIRECT("1:23")),1)*2^(-ROW(INDIRECT("1:23"))))</f>
        <v>#VALUE!</v>
      </c>
      <c r="T408" s="3" t="e">
        <f t="shared" ca="1" si="60"/>
        <v>#VALUE!</v>
      </c>
      <c r="U408" s="3" t="e">
        <f t="shared" ca="1" si="61"/>
        <v>#VALUE!</v>
      </c>
      <c r="V408" s="73"/>
      <c r="W408" s="9" t="str">
        <f t="shared" si="62"/>
        <v>OK</v>
      </c>
    </row>
    <row r="409" spans="1:23" x14ac:dyDescent="0.3">
      <c r="A409" s="44">
        <v>406</v>
      </c>
      <c r="B409" s="14">
        <v>7</v>
      </c>
      <c r="C409" s="4">
        <v>16</v>
      </c>
      <c r="D409" s="3" t="str">
        <f>VLOOKUP($C409,Overall!$K$5:$T$36,2)</f>
        <v>Normal</v>
      </c>
      <c r="E409" s="3">
        <f ca="1">VLOOKUP($C409,Overall!$K$5:$T$36,10)</f>
        <v>1.1754944909521339E-38</v>
      </c>
      <c r="F409" s="9" t="str">
        <f>VLOOKUP($C409,Overall!$K$5:$T$36,6)</f>
        <v>00000000100000000000000000000001</v>
      </c>
      <c r="G409" s="8">
        <v>4</v>
      </c>
      <c r="H409" s="3" t="str">
        <f>VLOOKUP($G409,Overall!$K$5:$T$36,2)</f>
        <v>Underflow</v>
      </c>
      <c r="I409" s="3">
        <f ca="1">VLOOKUP($G409,Overall!$K$5:$T$36,10)</f>
        <v>-1.4012984643248171E-45</v>
      </c>
      <c r="J409" s="62" t="str">
        <f>VLOOKUP($G409,Overall!$K$5:$T$36,6)</f>
        <v>10000000000000000000000000000001</v>
      </c>
      <c r="K409" s="8">
        <f t="shared" ca="1" si="54"/>
        <v>-1.6472186249935079E-83</v>
      </c>
      <c r="L409" s="62">
        <f>VLOOKUP($B409,Overall!$B$5:$I$13,8)</f>
        <v>0</v>
      </c>
      <c r="M409" s="58"/>
      <c r="N409" s="3" t="str">
        <f t="shared" si="55"/>
        <v/>
      </c>
      <c r="O409" s="3" t="str">
        <f t="shared" si="56"/>
        <v/>
      </c>
      <c r="P409" s="3" t="str">
        <f t="shared" si="57"/>
        <v/>
      </c>
      <c r="Q409" s="3">
        <f t="shared" si="58"/>
        <v>0</v>
      </c>
      <c r="R409" s="3">
        <f t="shared" si="59"/>
        <v>0</v>
      </c>
      <c r="S409" s="3" t="e" cm="1">
        <f t="array" aca="1" ref="S409" ca="1">SUMPRODUCT(MID($P409,ROW(INDIRECT("1:23")),1)*2^(-ROW(INDIRECT("1:23"))))</f>
        <v>#VALUE!</v>
      </c>
      <c r="T409" s="3" t="e">
        <f t="shared" ca="1" si="60"/>
        <v>#VALUE!</v>
      </c>
      <c r="U409" s="3" t="e">
        <f t="shared" ca="1" si="61"/>
        <v>#VALUE!</v>
      </c>
      <c r="V409" s="73"/>
      <c r="W409" s="9" t="str">
        <f t="shared" si="62"/>
        <v>OK</v>
      </c>
    </row>
    <row r="410" spans="1:23" x14ac:dyDescent="0.3">
      <c r="A410" s="44">
        <v>407</v>
      </c>
      <c r="B410" s="14">
        <v>7</v>
      </c>
      <c r="C410" s="4">
        <v>16</v>
      </c>
      <c r="D410" s="3" t="str">
        <f>VLOOKUP($C410,Overall!$K$5:$T$36,2)</f>
        <v>Normal</v>
      </c>
      <c r="E410" s="3">
        <f ca="1">VLOOKUP($C410,Overall!$K$5:$T$36,10)</f>
        <v>1.1754944909521339E-38</v>
      </c>
      <c r="F410" s="9" t="str">
        <f>VLOOKUP($C410,Overall!$K$5:$T$36,6)</f>
        <v>00000000100000000000000000000001</v>
      </c>
      <c r="G410" s="8">
        <v>5</v>
      </c>
      <c r="H410" s="3" t="str">
        <f>VLOOKUP($G410,Overall!$K$5:$T$36,2)</f>
        <v>Underflow</v>
      </c>
      <c r="I410" s="3">
        <f ca="1">VLOOKUP($G410,Overall!$K$5:$T$36,10)</f>
        <v>-2.9387386796526474E-39</v>
      </c>
      <c r="J410" s="62" t="str">
        <f>VLOOKUP($G410,Overall!$K$5:$T$36,6)</f>
        <v>10000000001000000000000000000010</v>
      </c>
      <c r="K410" s="8">
        <f t="shared" ca="1" si="54"/>
        <v>-3.454471128279635E-77</v>
      </c>
      <c r="L410" s="62">
        <f>VLOOKUP($B410,Overall!$B$5:$I$13,8)</f>
        <v>0</v>
      </c>
      <c r="M410" s="58"/>
      <c r="N410" s="3" t="str">
        <f t="shared" si="55"/>
        <v/>
      </c>
      <c r="O410" s="3" t="str">
        <f t="shared" si="56"/>
        <v/>
      </c>
      <c r="P410" s="3" t="str">
        <f t="shared" si="57"/>
        <v/>
      </c>
      <c r="Q410" s="3">
        <f t="shared" si="58"/>
        <v>0</v>
      </c>
      <c r="R410" s="3">
        <f t="shared" si="59"/>
        <v>0</v>
      </c>
      <c r="S410" s="3" t="e" cm="1">
        <f t="array" aca="1" ref="S410" ca="1">SUMPRODUCT(MID($P410,ROW(INDIRECT("1:23")),1)*2^(-ROW(INDIRECT("1:23"))))</f>
        <v>#VALUE!</v>
      </c>
      <c r="T410" s="3" t="e">
        <f t="shared" ca="1" si="60"/>
        <v>#VALUE!</v>
      </c>
      <c r="U410" s="3" t="e">
        <f t="shared" ca="1" si="61"/>
        <v>#VALUE!</v>
      </c>
      <c r="V410" s="73"/>
      <c r="W410" s="9" t="str">
        <f t="shared" si="62"/>
        <v>OK</v>
      </c>
    </row>
    <row r="411" spans="1:23" x14ac:dyDescent="0.3">
      <c r="A411" s="44">
        <v>408</v>
      </c>
      <c r="B411" s="14">
        <v>7</v>
      </c>
      <c r="C411" s="4">
        <v>16</v>
      </c>
      <c r="D411" s="3" t="str">
        <f>VLOOKUP($C411,Overall!$K$5:$T$36,2)</f>
        <v>Normal</v>
      </c>
      <c r="E411" s="3">
        <f ca="1">VLOOKUP($C411,Overall!$K$5:$T$36,10)</f>
        <v>1.1754944909521339E-38</v>
      </c>
      <c r="F411" s="9" t="str">
        <f>VLOOKUP($C411,Overall!$K$5:$T$36,6)</f>
        <v>00000000100000000000000000000001</v>
      </c>
      <c r="G411" s="8">
        <v>6</v>
      </c>
      <c r="H411" s="3" t="str">
        <f>VLOOKUP($G411,Overall!$K$5:$T$36,2)</f>
        <v>Underflow</v>
      </c>
      <c r="I411" s="3">
        <f ca="1">VLOOKUP($G411,Overall!$K$5:$T$36,10)</f>
        <v>-1.1754942106924411E-38</v>
      </c>
      <c r="J411" s="62" t="str">
        <f>VLOOKUP($G411,Overall!$K$5:$T$36,6)</f>
        <v>10000000011111111111111111111111</v>
      </c>
      <c r="K411" s="8">
        <f t="shared" ca="1" si="54"/>
        <v>-1.3817869688150915E-76</v>
      </c>
      <c r="L411" s="62">
        <f>VLOOKUP($B411,Overall!$B$5:$I$13,8)</f>
        <v>0</v>
      </c>
      <c r="M411" s="58"/>
      <c r="N411" s="3" t="str">
        <f t="shared" si="55"/>
        <v/>
      </c>
      <c r="O411" s="3" t="str">
        <f t="shared" si="56"/>
        <v/>
      </c>
      <c r="P411" s="3" t="str">
        <f t="shared" si="57"/>
        <v/>
      </c>
      <c r="Q411" s="3">
        <f t="shared" si="58"/>
        <v>0</v>
      </c>
      <c r="R411" s="3">
        <f t="shared" si="59"/>
        <v>0</v>
      </c>
      <c r="S411" s="3" t="e" cm="1">
        <f t="array" aca="1" ref="S411" ca="1">SUMPRODUCT(MID($P411,ROW(INDIRECT("1:23")),1)*2^(-ROW(INDIRECT("1:23"))))</f>
        <v>#VALUE!</v>
      </c>
      <c r="T411" s="3" t="e">
        <f t="shared" ca="1" si="60"/>
        <v>#VALUE!</v>
      </c>
      <c r="U411" s="3" t="e">
        <f t="shared" ca="1" si="61"/>
        <v>#VALUE!</v>
      </c>
      <c r="V411" s="73"/>
      <c r="W411" s="9" t="str">
        <f t="shared" si="62"/>
        <v>OK</v>
      </c>
    </row>
    <row r="412" spans="1:23" x14ac:dyDescent="0.3">
      <c r="A412" s="44">
        <v>409</v>
      </c>
      <c r="B412" s="14">
        <v>7</v>
      </c>
      <c r="C412" s="4">
        <v>17</v>
      </c>
      <c r="D412" s="3" t="str">
        <f>VLOOKUP($C412,Overall!$K$5:$T$36,2)</f>
        <v>Normal</v>
      </c>
      <c r="E412" s="3">
        <f ca="1">VLOOKUP($C412,Overall!$K$5:$T$36,10)</f>
        <v>0.5</v>
      </c>
      <c r="F412" s="9" t="str">
        <f>VLOOKUP($C412,Overall!$K$5:$T$36,6)</f>
        <v>00111111000000000000000000000000</v>
      </c>
      <c r="G412" s="8">
        <v>1</v>
      </c>
      <c r="H412" s="3" t="str">
        <f>VLOOKUP($G412,Overall!$K$5:$T$36,2)</f>
        <v>Underflow</v>
      </c>
      <c r="I412" s="3">
        <f ca="1">VLOOKUP($G412,Overall!$K$5:$T$36,10)</f>
        <v>1.4012984643248171E-45</v>
      </c>
      <c r="J412" s="62" t="str">
        <f>VLOOKUP($G412,Overall!$K$5:$T$36,6)</f>
        <v>00000000000000000000000000000001</v>
      </c>
      <c r="K412" s="8">
        <f t="shared" ca="1" si="54"/>
        <v>7.0064923216240854E-46</v>
      </c>
      <c r="L412" s="62">
        <f>VLOOKUP($B412,Overall!$B$5:$I$13,8)</f>
        <v>0</v>
      </c>
      <c r="M412" s="58"/>
      <c r="N412" s="3" t="str">
        <f t="shared" si="55"/>
        <v/>
      </c>
      <c r="O412" s="3" t="str">
        <f t="shared" si="56"/>
        <v/>
      </c>
      <c r="P412" s="3" t="str">
        <f t="shared" si="57"/>
        <v/>
      </c>
      <c r="Q412" s="3">
        <f t="shared" si="58"/>
        <v>0</v>
      </c>
      <c r="R412" s="3">
        <f t="shared" si="59"/>
        <v>0</v>
      </c>
      <c r="S412" s="3" t="e" cm="1">
        <f t="array" aca="1" ref="S412" ca="1">SUMPRODUCT(MID($P412,ROW(INDIRECT("1:23")),1)*2^(-ROW(INDIRECT("1:23"))))</f>
        <v>#VALUE!</v>
      </c>
      <c r="T412" s="3" t="e">
        <f t="shared" ca="1" si="60"/>
        <v>#VALUE!</v>
      </c>
      <c r="U412" s="3" t="e">
        <f t="shared" ca="1" si="61"/>
        <v>#VALUE!</v>
      </c>
      <c r="V412" s="73"/>
      <c r="W412" s="9" t="str">
        <f t="shared" si="62"/>
        <v>OK</v>
      </c>
    </row>
    <row r="413" spans="1:23" x14ac:dyDescent="0.3">
      <c r="A413" s="44">
        <v>410</v>
      </c>
      <c r="B413" s="14">
        <v>7</v>
      </c>
      <c r="C413" s="4">
        <v>17</v>
      </c>
      <c r="D413" s="3" t="str">
        <f>VLOOKUP($C413,Overall!$K$5:$T$36,2)</f>
        <v>Normal</v>
      </c>
      <c r="E413" s="3">
        <f ca="1">VLOOKUP($C413,Overall!$K$5:$T$36,10)</f>
        <v>0.5</v>
      </c>
      <c r="F413" s="9" t="str">
        <f>VLOOKUP($C413,Overall!$K$5:$T$36,6)</f>
        <v>00111111000000000000000000000000</v>
      </c>
      <c r="G413" s="8">
        <v>2</v>
      </c>
      <c r="H413" s="3" t="str">
        <f>VLOOKUP($G413,Overall!$K$5:$T$36,2)</f>
        <v>Underflow</v>
      </c>
      <c r="I413" s="3">
        <f ca="1">VLOOKUP($G413,Overall!$K$5:$T$36,10)</f>
        <v>2.9387386796526474E-39</v>
      </c>
      <c r="J413" s="62" t="str">
        <f>VLOOKUP($G413,Overall!$K$5:$T$36,6)</f>
        <v>00000000001000000000000000000010</v>
      </c>
      <c r="K413" s="8">
        <f t="shared" ca="1" si="54"/>
        <v>1.4693693398263237E-39</v>
      </c>
      <c r="L413" s="62">
        <f>VLOOKUP($B413,Overall!$B$5:$I$13,8)</f>
        <v>0</v>
      </c>
      <c r="M413" s="58"/>
      <c r="N413" s="3" t="str">
        <f t="shared" si="55"/>
        <v/>
      </c>
      <c r="O413" s="3" t="str">
        <f t="shared" si="56"/>
        <v/>
      </c>
      <c r="P413" s="3" t="str">
        <f t="shared" si="57"/>
        <v/>
      </c>
      <c r="Q413" s="3">
        <f t="shared" si="58"/>
        <v>0</v>
      </c>
      <c r="R413" s="3">
        <f t="shared" si="59"/>
        <v>0</v>
      </c>
      <c r="S413" s="3" t="e" cm="1">
        <f t="array" aca="1" ref="S413" ca="1">SUMPRODUCT(MID($P413,ROW(INDIRECT("1:23")),1)*2^(-ROW(INDIRECT("1:23"))))</f>
        <v>#VALUE!</v>
      </c>
      <c r="T413" s="3" t="e">
        <f t="shared" ca="1" si="60"/>
        <v>#VALUE!</v>
      </c>
      <c r="U413" s="3" t="e">
        <f t="shared" ca="1" si="61"/>
        <v>#VALUE!</v>
      </c>
      <c r="V413" s="73"/>
      <c r="W413" s="9" t="str">
        <f t="shared" si="62"/>
        <v>OK</v>
      </c>
    </row>
    <row r="414" spans="1:23" x14ac:dyDescent="0.3">
      <c r="A414" s="44">
        <v>411</v>
      </c>
      <c r="B414" s="14">
        <v>7</v>
      </c>
      <c r="C414" s="4">
        <v>17</v>
      </c>
      <c r="D414" s="3" t="str">
        <f>VLOOKUP($C414,Overall!$K$5:$T$36,2)</f>
        <v>Normal</v>
      </c>
      <c r="E414" s="3">
        <f ca="1">VLOOKUP($C414,Overall!$K$5:$T$36,10)</f>
        <v>0.5</v>
      </c>
      <c r="F414" s="9" t="str">
        <f>VLOOKUP($C414,Overall!$K$5:$T$36,6)</f>
        <v>00111111000000000000000000000000</v>
      </c>
      <c r="G414" s="8">
        <v>3</v>
      </c>
      <c r="H414" s="3" t="str">
        <f>VLOOKUP($G414,Overall!$K$5:$T$36,2)</f>
        <v>Underflow</v>
      </c>
      <c r="I414" s="3">
        <f ca="1">VLOOKUP($G414,Overall!$K$5:$T$36,10)</f>
        <v>1.1754942106924411E-38</v>
      </c>
      <c r="J414" s="62" t="str">
        <f>VLOOKUP($G414,Overall!$K$5:$T$36,6)</f>
        <v>00000000011111111111111111111111</v>
      </c>
      <c r="K414" s="8">
        <f t="shared" ca="1" si="54"/>
        <v>5.8774710534622054E-39</v>
      </c>
      <c r="L414" s="62">
        <f>VLOOKUP($B414,Overall!$B$5:$I$13,8)</f>
        <v>0</v>
      </c>
      <c r="M414" s="58"/>
      <c r="N414" s="3" t="str">
        <f t="shared" si="55"/>
        <v/>
      </c>
      <c r="O414" s="3" t="str">
        <f t="shared" si="56"/>
        <v/>
      </c>
      <c r="P414" s="3" t="str">
        <f t="shared" si="57"/>
        <v/>
      </c>
      <c r="Q414" s="3">
        <f t="shared" si="58"/>
        <v>0</v>
      </c>
      <c r="R414" s="3">
        <f t="shared" si="59"/>
        <v>0</v>
      </c>
      <c r="S414" s="3" t="e" cm="1">
        <f t="array" aca="1" ref="S414" ca="1">SUMPRODUCT(MID($P414,ROW(INDIRECT("1:23")),1)*2^(-ROW(INDIRECT("1:23"))))</f>
        <v>#VALUE!</v>
      </c>
      <c r="T414" s="3" t="e">
        <f t="shared" ca="1" si="60"/>
        <v>#VALUE!</v>
      </c>
      <c r="U414" s="3" t="e">
        <f t="shared" ca="1" si="61"/>
        <v>#VALUE!</v>
      </c>
      <c r="V414" s="73"/>
      <c r="W414" s="9" t="str">
        <f t="shared" si="62"/>
        <v>OK</v>
      </c>
    </row>
    <row r="415" spans="1:23" x14ac:dyDescent="0.3">
      <c r="A415" s="44">
        <v>412</v>
      </c>
      <c r="B415" s="14">
        <v>7</v>
      </c>
      <c r="C415" s="4">
        <v>17</v>
      </c>
      <c r="D415" s="3" t="str">
        <f>VLOOKUP($C415,Overall!$K$5:$T$36,2)</f>
        <v>Normal</v>
      </c>
      <c r="E415" s="3">
        <f ca="1">VLOOKUP($C415,Overall!$K$5:$T$36,10)</f>
        <v>0.5</v>
      </c>
      <c r="F415" s="9" t="str">
        <f>VLOOKUP($C415,Overall!$K$5:$T$36,6)</f>
        <v>00111111000000000000000000000000</v>
      </c>
      <c r="G415" s="8">
        <v>4</v>
      </c>
      <c r="H415" s="3" t="str">
        <f>VLOOKUP($G415,Overall!$K$5:$T$36,2)</f>
        <v>Underflow</v>
      </c>
      <c r="I415" s="3">
        <f ca="1">VLOOKUP($G415,Overall!$K$5:$T$36,10)</f>
        <v>-1.4012984643248171E-45</v>
      </c>
      <c r="J415" s="62" t="str">
        <f>VLOOKUP($G415,Overall!$K$5:$T$36,6)</f>
        <v>10000000000000000000000000000001</v>
      </c>
      <c r="K415" s="8">
        <f t="shared" ca="1" si="54"/>
        <v>-7.0064923216240854E-46</v>
      </c>
      <c r="L415" s="62">
        <f>VLOOKUP($B415,Overall!$B$5:$I$13,8)</f>
        <v>0</v>
      </c>
      <c r="M415" s="58"/>
      <c r="N415" s="3" t="str">
        <f t="shared" si="55"/>
        <v/>
      </c>
      <c r="O415" s="3" t="str">
        <f t="shared" si="56"/>
        <v/>
      </c>
      <c r="P415" s="3" t="str">
        <f t="shared" si="57"/>
        <v/>
      </c>
      <c r="Q415" s="3">
        <f t="shared" si="58"/>
        <v>0</v>
      </c>
      <c r="R415" s="3">
        <f t="shared" si="59"/>
        <v>0</v>
      </c>
      <c r="S415" s="3" t="e" cm="1">
        <f t="array" aca="1" ref="S415" ca="1">SUMPRODUCT(MID($P415,ROW(INDIRECT("1:23")),1)*2^(-ROW(INDIRECT("1:23"))))</f>
        <v>#VALUE!</v>
      </c>
      <c r="T415" s="3" t="e">
        <f t="shared" ca="1" si="60"/>
        <v>#VALUE!</v>
      </c>
      <c r="U415" s="3" t="e">
        <f t="shared" ca="1" si="61"/>
        <v>#VALUE!</v>
      </c>
      <c r="V415" s="73"/>
      <c r="W415" s="9" t="str">
        <f t="shared" si="62"/>
        <v>OK</v>
      </c>
    </row>
    <row r="416" spans="1:23" x14ac:dyDescent="0.3">
      <c r="A416" s="44">
        <v>413</v>
      </c>
      <c r="B416" s="14">
        <v>7</v>
      </c>
      <c r="C416" s="4">
        <v>17</v>
      </c>
      <c r="D416" s="3" t="str">
        <f>VLOOKUP($C416,Overall!$K$5:$T$36,2)</f>
        <v>Normal</v>
      </c>
      <c r="E416" s="3">
        <f ca="1">VLOOKUP($C416,Overall!$K$5:$T$36,10)</f>
        <v>0.5</v>
      </c>
      <c r="F416" s="9" t="str">
        <f>VLOOKUP($C416,Overall!$K$5:$T$36,6)</f>
        <v>00111111000000000000000000000000</v>
      </c>
      <c r="G416" s="8">
        <v>5</v>
      </c>
      <c r="H416" s="3" t="str">
        <f>VLOOKUP($G416,Overall!$K$5:$T$36,2)</f>
        <v>Underflow</v>
      </c>
      <c r="I416" s="3">
        <f ca="1">VLOOKUP($G416,Overall!$K$5:$T$36,10)</f>
        <v>-2.9387386796526474E-39</v>
      </c>
      <c r="J416" s="62" t="str">
        <f>VLOOKUP($G416,Overall!$K$5:$T$36,6)</f>
        <v>10000000001000000000000000000010</v>
      </c>
      <c r="K416" s="8">
        <f t="shared" ca="1" si="54"/>
        <v>-1.4693693398263237E-39</v>
      </c>
      <c r="L416" s="62">
        <f>VLOOKUP($B416,Overall!$B$5:$I$13,8)</f>
        <v>0</v>
      </c>
      <c r="M416" s="58"/>
      <c r="N416" s="3" t="str">
        <f t="shared" si="55"/>
        <v/>
      </c>
      <c r="O416" s="3" t="str">
        <f t="shared" si="56"/>
        <v/>
      </c>
      <c r="P416" s="3" t="str">
        <f t="shared" si="57"/>
        <v/>
      </c>
      <c r="Q416" s="3">
        <f t="shared" si="58"/>
        <v>0</v>
      </c>
      <c r="R416" s="3">
        <f t="shared" si="59"/>
        <v>0</v>
      </c>
      <c r="S416" s="3" t="e" cm="1">
        <f t="array" aca="1" ref="S416" ca="1">SUMPRODUCT(MID($P416,ROW(INDIRECT("1:23")),1)*2^(-ROW(INDIRECT("1:23"))))</f>
        <v>#VALUE!</v>
      </c>
      <c r="T416" s="3" t="e">
        <f t="shared" ca="1" si="60"/>
        <v>#VALUE!</v>
      </c>
      <c r="U416" s="3" t="e">
        <f t="shared" ca="1" si="61"/>
        <v>#VALUE!</v>
      </c>
      <c r="V416" s="73"/>
      <c r="W416" s="9" t="str">
        <f t="shared" si="62"/>
        <v>OK</v>
      </c>
    </row>
    <row r="417" spans="1:23" x14ac:dyDescent="0.3">
      <c r="A417" s="44">
        <v>414</v>
      </c>
      <c r="B417" s="14">
        <v>7</v>
      </c>
      <c r="C417" s="4">
        <v>17</v>
      </c>
      <c r="D417" s="3" t="str">
        <f>VLOOKUP($C417,Overall!$K$5:$T$36,2)</f>
        <v>Normal</v>
      </c>
      <c r="E417" s="3">
        <f ca="1">VLOOKUP($C417,Overall!$K$5:$T$36,10)</f>
        <v>0.5</v>
      </c>
      <c r="F417" s="9" t="str">
        <f>VLOOKUP($C417,Overall!$K$5:$T$36,6)</f>
        <v>00111111000000000000000000000000</v>
      </c>
      <c r="G417" s="8">
        <v>6</v>
      </c>
      <c r="H417" s="3" t="str">
        <f>VLOOKUP($G417,Overall!$K$5:$T$36,2)</f>
        <v>Underflow</v>
      </c>
      <c r="I417" s="3">
        <f ca="1">VLOOKUP($G417,Overall!$K$5:$T$36,10)</f>
        <v>-1.1754942106924411E-38</v>
      </c>
      <c r="J417" s="62" t="str">
        <f>VLOOKUP($G417,Overall!$K$5:$T$36,6)</f>
        <v>10000000011111111111111111111111</v>
      </c>
      <c r="K417" s="8">
        <f t="shared" ca="1" si="54"/>
        <v>-5.8774710534622054E-39</v>
      </c>
      <c r="L417" s="62">
        <f>VLOOKUP($B417,Overall!$B$5:$I$13,8)</f>
        <v>0</v>
      </c>
      <c r="M417" s="58"/>
      <c r="N417" s="3" t="str">
        <f t="shared" si="55"/>
        <v/>
      </c>
      <c r="O417" s="3" t="str">
        <f t="shared" si="56"/>
        <v/>
      </c>
      <c r="P417" s="3" t="str">
        <f t="shared" si="57"/>
        <v/>
      </c>
      <c r="Q417" s="3">
        <f t="shared" si="58"/>
        <v>0</v>
      </c>
      <c r="R417" s="3">
        <f t="shared" si="59"/>
        <v>0</v>
      </c>
      <c r="S417" s="3" t="e" cm="1">
        <f t="array" aca="1" ref="S417" ca="1">SUMPRODUCT(MID($P417,ROW(INDIRECT("1:23")),1)*2^(-ROW(INDIRECT("1:23"))))</f>
        <v>#VALUE!</v>
      </c>
      <c r="T417" s="3" t="e">
        <f t="shared" ca="1" si="60"/>
        <v>#VALUE!</v>
      </c>
      <c r="U417" s="3" t="e">
        <f t="shared" ca="1" si="61"/>
        <v>#VALUE!</v>
      </c>
      <c r="V417" s="73"/>
      <c r="W417" s="9" t="str">
        <f t="shared" si="62"/>
        <v>OK</v>
      </c>
    </row>
    <row r="418" spans="1:23" x14ac:dyDescent="0.3">
      <c r="A418" s="44">
        <v>415</v>
      </c>
      <c r="B418" s="14">
        <v>7</v>
      </c>
      <c r="C418" s="4">
        <v>18</v>
      </c>
      <c r="D418" s="3" t="str">
        <f>VLOOKUP($C418,Overall!$K$5:$T$36,2)</f>
        <v>Normal</v>
      </c>
      <c r="E418" s="3">
        <f ca="1">VLOOKUP($C418,Overall!$K$5:$T$36,10)</f>
        <v>1</v>
      </c>
      <c r="F418" s="9" t="str">
        <f>VLOOKUP($C418,Overall!$K$5:$T$36,6)</f>
        <v>00111111100000000000000000000000</v>
      </c>
      <c r="G418" s="8">
        <v>1</v>
      </c>
      <c r="H418" s="3" t="str">
        <f>VLOOKUP($G418,Overall!$K$5:$T$36,2)</f>
        <v>Underflow</v>
      </c>
      <c r="I418" s="3">
        <f ca="1">VLOOKUP($G418,Overall!$K$5:$T$36,10)</f>
        <v>1.4012984643248171E-45</v>
      </c>
      <c r="J418" s="62" t="str">
        <f>VLOOKUP($G418,Overall!$K$5:$T$36,6)</f>
        <v>00000000000000000000000000000001</v>
      </c>
      <c r="K418" s="8">
        <f t="shared" ca="1" si="54"/>
        <v>1.4012984643248171E-45</v>
      </c>
      <c r="L418" s="62">
        <f>VLOOKUP($B418,Overall!$B$5:$I$13,8)</f>
        <v>0</v>
      </c>
      <c r="M418" s="58"/>
      <c r="N418" s="3" t="str">
        <f t="shared" si="55"/>
        <v/>
      </c>
      <c r="O418" s="3" t="str">
        <f t="shared" si="56"/>
        <v/>
      </c>
      <c r="P418" s="3" t="str">
        <f t="shared" si="57"/>
        <v/>
      </c>
      <c r="Q418" s="3">
        <f t="shared" si="58"/>
        <v>0</v>
      </c>
      <c r="R418" s="3">
        <f t="shared" si="59"/>
        <v>0</v>
      </c>
      <c r="S418" s="3" t="e" cm="1">
        <f t="array" aca="1" ref="S418" ca="1">SUMPRODUCT(MID($P418,ROW(INDIRECT("1:23")),1)*2^(-ROW(INDIRECT("1:23"))))</f>
        <v>#VALUE!</v>
      </c>
      <c r="T418" s="3" t="e">
        <f t="shared" ca="1" si="60"/>
        <v>#VALUE!</v>
      </c>
      <c r="U418" s="3" t="e">
        <f t="shared" ca="1" si="61"/>
        <v>#VALUE!</v>
      </c>
      <c r="V418" s="73"/>
      <c r="W418" s="9" t="str">
        <f t="shared" si="62"/>
        <v>OK</v>
      </c>
    </row>
    <row r="419" spans="1:23" x14ac:dyDescent="0.3">
      <c r="A419" s="44">
        <v>416</v>
      </c>
      <c r="B419" s="14">
        <v>7</v>
      </c>
      <c r="C419" s="4">
        <v>18</v>
      </c>
      <c r="D419" s="3" t="str">
        <f>VLOOKUP($C419,Overall!$K$5:$T$36,2)</f>
        <v>Normal</v>
      </c>
      <c r="E419" s="3">
        <f ca="1">VLOOKUP($C419,Overall!$K$5:$T$36,10)</f>
        <v>1</v>
      </c>
      <c r="F419" s="9" t="str">
        <f>VLOOKUP($C419,Overall!$K$5:$T$36,6)</f>
        <v>00111111100000000000000000000000</v>
      </c>
      <c r="G419" s="8">
        <v>2</v>
      </c>
      <c r="H419" s="3" t="str">
        <f>VLOOKUP($G419,Overall!$K$5:$T$36,2)</f>
        <v>Underflow</v>
      </c>
      <c r="I419" s="3">
        <f ca="1">VLOOKUP($G419,Overall!$K$5:$T$36,10)</f>
        <v>2.9387386796526474E-39</v>
      </c>
      <c r="J419" s="62" t="str">
        <f>VLOOKUP($G419,Overall!$K$5:$T$36,6)</f>
        <v>00000000001000000000000000000010</v>
      </c>
      <c r="K419" s="8">
        <f t="shared" ca="1" si="54"/>
        <v>2.9387386796526474E-39</v>
      </c>
      <c r="L419" s="62">
        <f>VLOOKUP($B419,Overall!$B$5:$I$13,8)</f>
        <v>0</v>
      </c>
      <c r="M419" s="58"/>
      <c r="N419" s="3" t="str">
        <f t="shared" si="55"/>
        <v/>
      </c>
      <c r="O419" s="3" t="str">
        <f t="shared" si="56"/>
        <v/>
      </c>
      <c r="P419" s="3" t="str">
        <f t="shared" si="57"/>
        <v/>
      </c>
      <c r="Q419" s="3">
        <f t="shared" si="58"/>
        <v>0</v>
      </c>
      <c r="R419" s="3">
        <f t="shared" si="59"/>
        <v>0</v>
      </c>
      <c r="S419" s="3" t="e" cm="1">
        <f t="array" aca="1" ref="S419" ca="1">SUMPRODUCT(MID($P419,ROW(INDIRECT("1:23")),1)*2^(-ROW(INDIRECT("1:23"))))</f>
        <v>#VALUE!</v>
      </c>
      <c r="T419" s="3" t="e">
        <f t="shared" ca="1" si="60"/>
        <v>#VALUE!</v>
      </c>
      <c r="U419" s="3" t="e">
        <f t="shared" ca="1" si="61"/>
        <v>#VALUE!</v>
      </c>
      <c r="V419" s="73"/>
      <c r="W419" s="9" t="str">
        <f t="shared" si="62"/>
        <v>OK</v>
      </c>
    </row>
    <row r="420" spans="1:23" x14ac:dyDescent="0.3">
      <c r="A420" s="44">
        <v>417</v>
      </c>
      <c r="B420" s="14">
        <v>7</v>
      </c>
      <c r="C420" s="4">
        <v>18</v>
      </c>
      <c r="D420" s="3" t="str">
        <f>VLOOKUP($C420,Overall!$K$5:$T$36,2)</f>
        <v>Normal</v>
      </c>
      <c r="E420" s="3">
        <f ca="1">VLOOKUP($C420,Overall!$K$5:$T$36,10)</f>
        <v>1</v>
      </c>
      <c r="F420" s="9" t="str">
        <f>VLOOKUP($C420,Overall!$K$5:$T$36,6)</f>
        <v>00111111100000000000000000000000</v>
      </c>
      <c r="G420" s="8">
        <v>3</v>
      </c>
      <c r="H420" s="3" t="str">
        <f>VLOOKUP($G420,Overall!$K$5:$T$36,2)</f>
        <v>Underflow</v>
      </c>
      <c r="I420" s="3">
        <f ca="1">VLOOKUP($G420,Overall!$K$5:$T$36,10)</f>
        <v>1.1754942106924411E-38</v>
      </c>
      <c r="J420" s="62" t="str">
        <f>VLOOKUP($G420,Overall!$K$5:$T$36,6)</f>
        <v>00000000011111111111111111111111</v>
      </c>
      <c r="K420" s="8">
        <f t="shared" ca="1" si="54"/>
        <v>1.1754942106924411E-38</v>
      </c>
      <c r="L420" s="62">
        <f>VLOOKUP($B420,Overall!$B$5:$I$13,8)</f>
        <v>0</v>
      </c>
      <c r="M420" s="58"/>
      <c r="N420" s="3" t="str">
        <f t="shared" si="55"/>
        <v/>
      </c>
      <c r="O420" s="3" t="str">
        <f t="shared" si="56"/>
        <v/>
      </c>
      <c r="P420" s="3" t="str">
        <f t="shared" si="57"/>
        <v/>
      </c>
      <c r="Q420" s="3">
        <f t="shared" si="58"/>
        <v>0</v>
      </c>
      <c r="R420" s="3">
        <f t="shared" si="59"/>
        <v>0</v>
      </c>
      <c r="S420" s="3" t="e" cm="1">
        <f t="array" aca="1" ref="S420" ca="1">SUMPRODUCT(MID($P420,ROW(INDIRECT("1:23")),1)*2^(-ROW(INDIRECT("1:23"))))</f>
        <v>#VALUE!</v>
      </c>
      <c r="T420" s="3" t="e">
        <f t="shared" ca="1" si="60"/>
        <v>#VALUE!</v>
      </c>
      <c r="U420" s="3" t="e">
        <f t="shared" ca="1" si="61"/>
        <v>#VALUE!</v>
      </c>
      <c r="V420" s="73"/>
      <c r="W420" s="9" t="str">
        <f t="shared" si="62"/>
        <v>OK</v>
      </c>
    </row>
    <row r="421" spans="1:23" x14ac:dyDescent="0.3">
      <c r="A421" s="44">
        <v>418</v>
      </c>
      <c r="B421" s="14">
        <v>7</v>
      </c>
      <c r="C421" s="4">
        <v>18</v>
      </c>
      <c r="D421" s="3" t="str">
        <f>VLOOKUP($C421,Overall!$K$5:$T$36,2)</f>
        <v>Normal</v>
      </c>
      <c r="E421" s="3">
        <f ca="1">VLOOKUP($C421,Overall!$K$5:$T$36,10)</f>
        <v>1</v>
      </c>
      <c r="F421" s="9" t="str">
        <f>VLOOKUP($C421,Overall!$K$5:$T$36,6)</f>
        <v>00111111100000000000000000000000</v>
      </c>
      <c r="G421" s="8">
        <v>4</v>
      </c>
      <c r="H421" s="3" t="str">
        <f>VLOOKUP($G421,Overall!$K$5:$T$36,2)</f>
        <v>Underflow</v>
      </c>
      <c r="I421" s="3">
        <f ca="1">VLOOKUP($G421,Overall!$K$5:$T$36,10)</f>
        <v>-1.4012984643248171E-45</v>
      </c>
      <c r="J421" s="62" t="str">
        <f>VLOOKUP($G421,Overall!$K$5:$T$36,6)</f>
        <v>10000000000000000000000000000001</v>
      </c>
      <c r="K421" s="8">
        <f t="shared" ca="1" si="54"/>
        <v>-1.4012984643248171E-45</v>
      </c>
      <c r="L421" s="62">
        <f>VLOOKUP($B421,Overall!$B$5:$I$13,8)</f>
        <v>0</v>
      </c>
      <c r="M421" s="58"/>
      <c r="N421" s="3" t="str">
        <f t="shared" si="55"/>
        <v/>
      </c>
      <c r="O421" s="3" t="str">
        <f t="shared" si="56"/>
        <v/>
      </c>
      <c r="P421" s="3" t="str">
        <f t="shared" si="57"/>
        <v/>
      </c>
      <c r="Q421" s="3">
        <f t="shared" si="58"/>
        <v>0</v>
      </c>
      <c r="R421" s="3">
        <f t="shared" si="59"/>
        <v>0</v>
      </c>
      <c r="S421" s="3" t="e" cm="1">
        <f t="array" aca="1" ref="S421" ca="1">SUMPRODUCT(MID($P421,ROW(INDIRECT("1:23")),1)*2^(-ROW(INDIRECT("1:23"))))</f>
        <v>#VALUE!</v>
      </c>
      <c r="T421" s="3" t="e">
        <f t="shared" ca="1" si="60"/>
        <v>#VALUE!</v>
      </c>
      <c r="U421" s="3" t="e">
        <f t="shared" ca="1" si="61"/>
        <v>#VALUE!</v>
      </c>
      <c r="V421" s="73"/>
      <c r="W421" s="9" t="str">
        <f t="shared" si="62"/>
        <v>OK</v>
      </c>
    </row>
    <row r="422" spans="1:23" x14ac:dyDescent="0.3">
      <c r="A422" s="44">
        <v>419</v>
      </c>
      <c r="B422" s="14">
        <v>7</v>
      </c>
      <c r="C422" s="4">
        <v>18</v>
      </c>
      <c r="D422" s="3" t="str">
        <f>VLOOKUP($C422,Overall!$K$5:$T$36,2)</f>
        <v>Normal</v>
      </c>
      <c r="E422" s="3">
        <f ca="1">VLOOKUP($C422,Overall!$K$5:$T$36,10)</f>
        <v>1</v>
      </c>
      <c r="F422" s="9" t="str">
        <f>VLOOKUP($C422,Overall!$K$5:$T$36,6)</f>
        <v>00111111100000000000000000000000</v>
      </c>
      <c r="G422" s="8">
        <v>5</v>
      </c>
      <c r="H422" s="3" t="str">
        <f>VLOOKUP($G422,Overall!$K$5:$T$36,2)</f>
        <v>Underflow</v>
      </c>
      <c r="I422" s="3">
        <f ca="1">VLOOKUP($G422,Overall!$K$5:$T$36,10)</f>
        <v>-2.9387386796526474E-39</v>
      </c>
      <c r="J422" s="62" t="str">
        <f>VLOOKUP($G422,Overall!$K$5:$T$36,6)</f>
        <v>10000000001000000000000000000010</v>
      </c>
      <c r="K422" s="8">
        <f t="shared" ca="1" si="54"/>
        <v>-2.9387386796526474E-39</v>
      </c>
      <c r="L422" s="62">
        <f>VLOOKUP($B422,Overall!$B$5:$I$13,8)</f>
        <v>0</v>
      </c>
      <c r="M422" s="58"/>
      <c r="N422" s="3" t="str">
        <f t="shared" si="55"/>
        <v/>
      </c>
      <c r="O422" s="3" t="str">
        <f t="shared" si="56"/>
        <v/>
      </c>
      <c r="P422" s="3" t="str">
        <f t="shared" si="57"/>
        <v/>
      </c>
      <c r="Q422" s="3">
        <f t="shared" si="58"/>
        <v>0</v>
      </c>
      <c r="R422" s="3">
        <f t="shared" si="59"/>
        <v>0</v>
      </c>
      <c r="S422" s="3" t="e" cm="1">
        <f t="array" aca="1" ref="S422" ca="1">SUMPRODUCT(MID($P422,ROW(INDIRECT("1:23")),1)*2^(-ROW(INDIRECT("1:23"))))</f>
        <v>#VALUE!</v>
      </c>
      <c r="T422" s="3" t="e">
        <f t="shared" ca="1" si="60"/>
        <v>#VALUE!</v>
      </c>
      <c r="U422" s="3" t="e">
        <f t="shared" ca="1" si="61"/>
        <v>#VALUE!</v>
      </c>
      <c r="V422" s="73"/>
      <c r="W422" s="9" t="str">
        <f t="shared" si="62"/>
        <v>OK</v>
      </c>
    </row>
    <row r="423" spans="1:23" x14ac:dyDescent="0.3">
      <c r="A423" s="44">
        <v>420</v>
      </c>
      <c r="B423" s="14">
        <v>7</v>
      </c>
      <c r="C423" s="4">
        <v>18</v>
      </c>
      <c r="D423" s="3" t="str">
        <f>VLOOKUP($C423,Overall!$K$5:$T$36,2)</f>
        <v>Normal</v>
      </c>
      <c r="E423" s="3">
        <f ca="1">VLOOKUP($C423,Overall!$K$5:$T$36,10)</f>
        <v>1</v>
      </c>
      <c r="F423" s="9" t="str">
        <f>VLOOKUP($C423,Overall!$K$5:$T$36,6)</f>
        <v>00111111100000000000000000000000</v>
      </c>
      <c r="G423" s="8">
        <v>6</v>
      </c>
      <c r="H423" s="3" t="str">
        <f>VLOOKUP($G423,Overall!$K$5:$T$36,2)</f>
        <v>Underflow</v>
      </c>
      <c r="I423" s="3">
        <f ca="1">VLOOKUP($G423,Overall!$K$5:$T$36,10)</f>
        <v>-1.1754942106924411E-38</v>
      </c>
      <c r="J423" s="62" t="str">
        <f>VLOOKUP($G423,Overall!$K$5:$T$36,6)</f>
        <v>10000000011111111111111111111111</v>
      </c>
      <c r="K423" s="8">
        <f t="shared" ca="1" si="54"/>
        <v>-1.1754942106924411E-38</v>
      </c>
      <c r="L423" s="62">
        <f>VLOOKUP($B423,Overall!$B$5:$I$13,8)</f>
        <v>0</v>
      </c>
      <c r="M423" s="58"/>
      <c r="N423" s="3" t="str">
        <f t="shared" si="55"/>
        <v/>
      </c>
      <c r="O423" s="3" t="str">
        <f t="shared" si="56"/>
        <v/>
      </c>
      <c r="P423" s="3" t="str">
        <f t="shared" si="57"/>
        <v/>
      </c>
      <c r="Q423" s="3">
        <f t="shared" si="58"/>
        <v>0</v>
      </c>
      <c r="R423" s="3">
        <f t="shared" si="59"/>
        <v>0</v>
      </c>
      <c r="S423" s="3" t="e" cm="1">
        <f t="array" aca="1" ref="S423" ca="1">SUMPRODUCT(MID($P423,ROW(INDIRECT("1:23")),1)*2^(-ROW(INDIRECT("1:23"))))</f>
        <v>#VALUE!</v>
      </c>
      <c r="T423" s="3" t="e">
        <f t="shared" ca="1" si="60"/>
        <v>#VALUE!</v>
      </c>
      <c r="U423" s="3" t="e">
        <f t="shared" ca="1" si="61"/>
        <v>#VALUE!</v>
      </c>
      <c r="V423" s="73"/>
      <c r="W423" s="9" t="str">
        <f t="shared" si="62"/>
        <v>OK</v>
      </c>
    </row>
    <row r="424" spans="1:23" x14ac:dyDescent="0.3">
      <c r="A424" s="44">
        <v>421</v>
      </c>
      <c r="B424" s="14">
        <v>7</v>
      </c>
      <c r="C424" s="4">
        <v>19</v>
      </c>
      <c r="D424" s="3" t="str">
        <f>VLOOKUP($C424,Overall!$K$5:$T$36,2)</f>
        <v>Normal</v>
      </c>
      <c r="E424" s="3">
        <f ca="1">VLOOKUP($C424,Overall!$K$5:$T$36,10)</f>
        <v>1.5</v>
      </c>
      <c r="F424" s="9" t="str">
        <f>VLOOKUP($C424,Overall!$K$5:$T$36,6)</f>
        <v>00111111110000000000000000000000</v>
      </c>
      <c r="G424" s="8">
        <v>1</v>
      </c>
      <c r="H424" s="3" t="str">
        <f>VLOOKUP($G424,Overall!$K$5:$T$36,2)</f>
        <v>Underflow</v>
      </c>
      <c r="I424" s="3">
        <f ca="1">VLOOKUP($G424,Overall!$K$5:$T$36,10)</f>
        <v>1.4012984643248171E-45</v>
      </c>
      <c r="J424" s="62" t="str">
        <f>VLOOKUP($G424,Overall!$K$5:$T$36,6)</f>
        <v>00000000000000000000000000000001</v>
      </c>
      <c r="K424" s="8">
        <f t="shared" ca="1" si="54"/>
        <v>2.1019476964872256E-45</v>
      </c>
      <c r="L424" s="62">
        <f>VLOOKUP($B424,Overall!$B$5:$I$13,8)</f>
        <v>0</v>
      </c>
      <c r="M424" s="58"/>
      <c r="N424" s="3" t="str">
        <f t="shared" si="55"/>
        <v/>
      </c>
      <c r="O424" s="3" t="str">
        <f t="shared" si="56"/>
        <v/>
      </c>
      <c r="P424" s="3" t="str">
        <f t="shared" si="57"/>
        <v/>
      </c>
      <c r="Q424" s="3">
        <f t="shared" si="58"/>
        <v>0</v>
      </c>
      <c r="R424" s="3">
        <f t="shared" si="59"/>
        <v>0</v>
      </c>
      <c r="S424" s="3" t="e" cm="1">
        <f t="array" aca="1" ref="S424" ca="1">SUMPRODUCT(MID($P424,ROW(INDIRECT("1:23")),1)*2^(-ROW(INDIRECT("1:23"))))</f>
        <v>#VALUE!</v>
      </c>
      <c r="T424" s="3" t="e">
        <f t="shared" ca="1" si="60"/>
        <v>#VALUE!</v>
      </c>
      <c r="U424" s="3" t="e">
        <f t="shared" ca="1" si="61"/>
        <v>#VALUE!</v>
      </c>
      <c r="V424" s="73"/>
      <c r="W424" s="9" t="str">
        <f t="shared" si="62"/>
        <v>OK</v>
      </c>
    </row>
    <row r="425" spans="1:23" x14ac:dyDescent="0.3">
      <c r="A425" s="44">
        <v>422</v>
      </c>
      <c r="B425" s="14">
        <v>7</v>
      </c>
      <c r="C425" s="4">
        <v>19</v>
      </c>
      <c r="D425" s="3" t="str">
        <f>VLOOKUP($C425,Overall!$K$5:$T$36,2)</f>
        <v>Normal</v>
      </c>
      <c r="E425" s="3">
        <f ca="1">VLOOKUP($C425,Overall!$K$5:$T$36,10)</f>
        <v>1.5</v>
      </c>
      <c r="F425" s="9" t="str">
        <f>VLOOKUP($C425,Overall!$K$5:$T$36,6)</f>
        <v>00111111110000000000000000000000</v>
      </c>
      <c r="G425" s="8">
        <v>2</v>
      </c>
      <c r="H425" s="3" t="str">
        <f>VLOOKUP($G425,Overall!$K$5:$T$36,2)</f>
        <v>Underflow</v>
      </c>
      <c r="I425" s="3">
        <f ca="1">VLOOKUP($G425,Overall!$K$5:$T$36,10)</f>
        <v>2.9387386796526474E-39</v>
      </c>
      <c r="J425" s="62" t="str">
        <f>VLOOKUP($G425,Overall!$K$5:$T$36,6)</f>
        <v>00000000001000000000000000000010</v>
      </c>
      <c r="K425" s="8">
        <f t="shared" ca="1" si="54"/>
        <v>4.4081080194789711E-39</v>
      </c>
      <c r="L425" s="62">
        <f>VLOOKUP($B425,Overall!$B$5:$I$13,8)</f>
        <v>0</v>
      </c>
      <c r="M425" s="58"/>
      <c r="N425" s="3" t="str">
        <f t="shared" si="55"/>
        <v/>
      </c>
      <c r="O425" s="3" t="str">
        <f t="shared" si="56"/>
        <v/>
      </c>
      <c r="P425" s="3" t="str">
        <f t="shared" si="57"/>
        <v/>
      </c>
      <c r="Q425" s="3">
        <f t="shared" si="58"/>
        <v>0</v>
      </c>
      <c r="R425" s="3">
        <f t="shared" si="59"/>
        <v>0</v>
      </c>
      <c r="S425" s="3" t="e" cm="1">
        <f t="array" aca="1" ref="S425" ca="1">SUMPRODUCT(MID($P425,ROW(INDIRECT("1:23")),1)*2^(-ROW(INDIRECT("1:23"))))</f>
        <v>#VALUE!</v>
      </c>
      <c r="T425" s="3" t="e">
        <f t="shared" ca="1" si="60"/>
        <v>#VALUE!</v>
      </c>
      <c r="U425" s="3" t="e">
        <f t="shared" ca="1" si="61"/>
        <v>#VALUE!</v>
      </c>
      <c r="V425" s="73"/>
      <c r="W425" s="9" t="str">
        <f t="shared" si="62"/>
        <v>OK</v>
      </c>
    </row>
    <row r="426" spans="1:23" x14ac:dyDescent="0.3">
      <c r="A426" s="44">
        <v>423</v>
      </c>
      <c r="B426" s="14">
        <v>7</v>
      </c>
      <c r="C426" s="4">
        <v>19</v>
      </c>
      <c r="D426" s="3" t="str">
        <f>VLOOKUP($C426,Overall!$K$5:$T$36,2)</f>
        <v>Normal</v>
      </c>
      <c r="E426" s="3">
        <f ca="1">VLOOKUP($C426,Overall!$K$5:$T$36,10)</f>
        <v>1.5</v>
      </c>
      <c r="F426" s="9" t="str">
        <f>VLOOKUP($C426,Overall!$K$5:$T$36,6)</f>
        <v>00111111110000000000000000000000</v>
      </c>
      <c r="G426" s="8">
        <v>3</v>
      </c>
      <c r="H426" s="3" t="str">
        <f>VLOOKUP($G426,Overall!$K$5:$T$36,2)</f>
        <v>Underflow</v>
      </c>
      <c r="I426" s="3">
        <f ca="1">VLOOKUP($G426,Overall!$K$5:$T$36,10)</f>
        <v>1.1754942106924411E-38</v>
      </c>
      <c r="J426" s="62" t="str">
        <f>VLOOKUP($G426,Overall!$K$5:$T$36,6)</f>
        <v>00000000011111111111111111111111</v>
      </c>
      <c r="K426" s="8">
        <f t="shared" ca="1" si="54"/>
        <v>1.7632413160386616E-38</v>
      </c>
      <c r="L426" s="62">
        <f>VLOOKUP($B426,Overall!$B$5:$I$13,8)</f>
        <v>0</v>
      </c>
      <c r="M426" s="58"/>
      <c r="N426" s="3" t="str">
        <f t="shared" si="55"/>
        <v/>
      </c>
      <c r="O426" s="3" t="str">
        <f t="shared" si="56"/>
        <v/>
      </c>
      <c r="P426" s="3" t="str">
        <f t="shared" si="57"/>
        <v/>
      </c>
      <c r="Q426" s="3">
        <f t="shared" si="58"/>
        <v>0</v>
      </c>
      <c r="R426" s="3">
        <f t="shared" si="59"/>
        <v>0</v>
      </c>
      <c r="S426" s="3" t="e" cm="1">
        <f t="array" aca="1" ref="S426" ca="1">SUMPRODUCT(MID($P426,ROW(INDIRECT("1:23")),1)*2^(-ROW(INDIRECT("1:23"))))</f>
        <v>#VALUE!</v>
      </c>
      <c r="T426" s="3" t="e">
        <f t="shared" ca="1" si="60"/>
        <v>#VALUE!</v>
      </c>
      <c r="U426" s="3" t="e">
        <f t="shared" ca="1" si="61"/>
        <v>#VALUE!</v>
      </c>
      <c r="V426" s="73"/>
      <c r="W426" s="9" t="str">
        <f t="shared" si="62"/>
        <v>OK</v>
      </c>
    </row>
    <row r="427" spans="1:23" x14ac:dyDescent="0.3">
      <c r="A427" s="44">
        <v>424</v>
      </c>
      <c r="B427" s="14">
        <v>7</v>
      </c>
      <c r="C427" s="4">
        <v>19</v>
      </c>
      <c r="D427" s="3" t="str">
        <f>VLOOKUP($C427,Overall!$K$5:$T$36,2)</f>
        <v>Normal</v>
      </c>
      <c r="E427" s="3">
        <f ca="1">VLOOKUP($C427,Overall!$K$5:$T$36,10)</f>
        <v>1.5</v>
      </c>
      <c r="F427" s="9" t="str">
        <f>VLOOKUP($C427,Overall!$K$5:$T$36,6)</f>
        <v>00111111110000000000000000000000</v>
      </c>
      <c r="G427" s="8">
        <v>4</v>
      </c>
      <c r="H427" s="3" t="str">
        <f>VLOOKUP($G427,Overall!$K$5:$T$36,2)</f>
        <v>Underflow</v>
      </c>
      <c r="I427" s="3">
        <f ca="1">VLOOKUP($G427,Overall!$K$5:$T$36,10)</f>
        <v>-1.4012984643248171E-45</v>
      </c>
      <c r="J427" s="62" t="str">
        <f>VLOOKUP($G427,Overall!$K$5:$T$36,6)</f>
        <v>10000000000000000000000000000001</v>
      </c>
      <c r="K427" s="8">
        <f t="shared" ca="1" si="54"/>
        <v>-2.1019476964872256E-45</v>
      </c>
      <c r="L427" s="62">
        <f>VLOOKUP($B427,Overall!$B$5:$I$13,8)</f>
        <v>0</v>
      </c>
      <c r="M427" s="58"/>
      <c r="N427" s="3" t="str">
        <f t="shared" si="55"/>
        <v/>
      </c>
      <c r="O427" s="3" t="str">
        <f t="shared" si="56"/>
        <v/>
      </c>
      <c r="P427" s="3" t="str">
        <f t="shared" si="57"/>
        <v/>
      </c>
      <c r="Q427" s="3">
        <f t="shared" si="58"/>
        <v>0</v>
      </c>
      <c r="R427" s="3">
        <f t="shared" si="59"/>
        <v>0</v>
      </c>
      <c r="S427" s="3" t="e" cm="1">
        <f t="array" aca="1" ref="S427" ca="1">SUMPRODUCT(MID($P427,ROW(INDIRECT("1:23")),1)*2^(-ROW(INDIRECT("1:23"))))</f>
        <v>#VALUE!</v>
      </c>
      <c r="T427" s="3" t="e">
        <f t="shared" ca="1" si="60"/>
        <v>#VALUE!</v>
      </c>
      <c r="U427" s="3" t="e">
        <f t="shared" ca="1" si="61"/>
        <v>#VALUE!</v>
      </c>
      <c r="V427" s="73"/>
      <c r="W427" s="9" t="str">
        <f t="shared" si="62"/>
        <v>OK</v>
      </c>
    </row>
    <row r="428" spans="1:23" x14ac:dyDescent="0.3">
      <c r="A428" s="44">
        <v>425</v>
      </c>
      <c r="B428" s="14">
        <v>7</v>
      </c>
      <c r="C428" s="4">
        <v>19</v>
      </c>
      <c r="D428" s="3" t="str">
        <f>VLOOKUP($C428,Overall!$K$5:$T$36,2)</f>
        <v>Normal</v>
      </c>
      <c r="E428" s="3">
        <f ca="1">VLOOKUP($C428,Overall!$K$5:$T$36,10)</f>
        <v>1.5</v>
      </c>
      <c r="F428" s="9" t="str">
        <f>VLOOKUP($C428,Overall!$K$5:$T$36,6)</f>
        <v>00111111110000000000000000000000</v>
      </c>
      <c r="G428" s="8">
        <v>5</v>
      </c>
      <c r="H428" s="3" t="str">
        <f>VLOOKUP($G428,Overall!$K$5:$T$36,2)</f>
        <v>Underflow</v>
      </c>
      <c r="I428" s="3">
        <f ca="1">VLOOKUP($G428,Overall!$K$5:$T$36,10)</f>
        <v>-2.9387386796526474E-39</v>
      </c>
      <c r="J428" s="62" t="str">
        <f>VLOOKUP($G428,Overall!$K$5:$T$36,6)</f>
        <v>10000000001000000000000000000010</v>
      </c>
      <c r="K428" s="8">
        <f t="shared" ca="1" si="54"/>
        <v>-4.4081080194789711E-39</v>
      </c>
      <c r="L428" s="62">
        <f>VLOOKUP($B428,Overall!$B$5:$I$13,8)</f>
        <v>0</v>
      </c>
      <c r="M428" s="58"/>
      <c r="N428" s="3" t="str">
        <f t="shared" si="55"/>
        <v/>
      </c>
      <c r="O428" s="3" t="str">
        <f t="shared" si="56"/>
        <v/>
      </c>
      <c r="P428" s="3" t="str">
        <f t="shared" si="57"/>
        <v/>
      </c>
      <c r="Q428" s="3">
        <f t="shared" si="58"/>
        <v>0</v>
      </c>
      <c r="R428" s="3">
        <f t="shared" si="59"/>
        <v>0</v>
      </c>
      <c r="S428" s="3" t="e" cm="1">
        <f t="array" aca="1" ref="S428" ca="1">SUMPRODUCT(MID($P428,ROW(INDIRECT("1:23")),1)*2^(-ROW(INDIRECT("1:23"))))</f>
        <v>#VALUE!</v>
      </c>
      <c r="T428" s="3" t="e">
        <f t="shared" ca="1" si="60"/>
        <v>#VALUE!</v>
      </c>
      <c r="U428" s="3" t="e">
        <f t="shared" ca="1" si="61"/>
        <v>#VALUE!</v>
      </c>
      <c r="V428" s="73"/>
      <c r="W428" s="9" t="str">
        <f t="shared" si="62"/>
        <v>OK</v>
      </c>
    </row>
    <row r="429" spans="1:23" x14ac:dyDescent="0.3">
      <c r="A429" s="44">
        <v>426</v>
      </c>
      <c r="B429" s="14">
        <v>7</v>
      </c>
      <c r="C429" s="4">
        <v>19</v>
      </c>
      <c r="D429" s="3" t="str">
        <f>VLOOKUP($C429,Overall!$K$5:$T$36,2)</f>
        <v>Normal</v>
      </c>
      <c r="E429" s="3">
        <f ca="1">VLOOKUP($C429,Overall!$K$5:$T$36,10)</f>
        <v>1.5</v>
      </c>
      <c r="F429" s="9" t="str">
        <f>VLOOKUP($C429,Overall!$K$5:$T$36,6)</f>
        <v>00111111110000000000000000000000</v>
      </c>
      <c r="G429" s="8">
        <v>6</v>
      </c>
      <c r="H429" s="3" t="str">
        <f>VLOOKUP($G429,Overall!$K$5:$T$36,2)</f>
        <v>Underflow</v>
      </c>
      <c r="I429" s="3">
        <f ca="1">VLOOKUP($G429,Overall!$K$5:$T$36,10)</f>
        <v>-1.1754942106924411E-38</v>
      </c>
      <c r="J429" s="62" t="str">
        <f>VLOOKUP($G429,Overall!$K$5:$T$36,6)</f>
        <v>10000000011111111111111111111111</v>
      </c>
      <c r="K429" s="8">
        <f t="shared" ca="1" si="54"/>
        <v>-1.7632413160386616E-38</v>
      </c>
      <c r="L429" s="62">
        <f>VLOOKUP($B429,Overall!$B$5:$I$13,8)</f>
        <v>0</v>
      </c>
      <c r="M429" s="58"/>
      <c r="N429" s="3" t="str">
        <f t="shared" si="55"/>
        <v/>
      </c>
      <c r="O429" s="3" t="str">
        <f t="shared" si="56"/>
        <v/>
      </c>
      <c r="P429" s="3" t="str">
        <f t="shared" si="57"/>
        <v/>
      </c>
      <c r="Q429" s="3">
        <f t="shared" si="58"/>
        <v>0</v>
      </c>
      <c r="R429" s="3">
        <f t="shared" si="59"/>
        <v>0</v>
      </c>
      <c r="S429" s="3" t="e" cm="1">
        <f t="array" aca="1" ref="S429" ca="1">SUMPRODUCT(MID($P429,ROW(INDIRECT("1:23")),1)*2^(-ROW(INDIRECT("1:23"))))</f>
        <v>#VALUE!</v>
      </c>
      <c r="T429" s="3" t="e">
        <f t="shared" ca="1" si="60"/>
        <v>#VALUE!</v>
      </c>
      <c r="U429" s="3" t="e">
        <f t="shared" ca="1" si="61"/>
        <v>#VALUE!</v>
      </c>
      <c r="V429" s="73"/>
      <c r="W429" s="9" t="str">
        <f t="shared" si="62"/>
        <v>OK</v>
      </c>
    </row>
    <row r="430" spans="1:23" x14ac:dyDescent="0.3">
      <c r="A430" s="44">
        <v>427</v>
      </c>
      <c r="B430" s="14">
        <v>7</v>
      </c>
      <c r="C430" s="4">
        <v>20</v>
      </c>
      <c r="D430" s="3" t="str">
        <f>VLOOKUP($C430,Overall!$K$5:$T$36,2)</f>
        <v>Normal</v>
      </c>
      <c r="E430" s="3">
        <f ca="1">VLOOKUP($C430,Overall!$K$5:$T$36,10)</f>
        <v>12345.6787109375</v>
      </c>
      <c r="F430" s="9" t="str">
        <f>VLOOKUP($C430,Overall!$K$5:$T$36,6)</f>
        <v>001000110010000001110011010110111</v>
      </c>
      <c r="G430" s="8">
        <v>1</v>
      </c>
      <c r="H430" s="3" t="str">
        <f>VLOOKUP($G430,Overall!$K$5:$T$36,2)</f>
        <v>Underflow</v>
      </c>
      <c r="I430" s="3">
        <f ca="1">VLOOKUP($G430,Overall!$K$5:$T$36,10)</f>
        <v>1.4012984643248171E-45</v>
      </c>
      <c r="J430" s="62" t="str">
        <f>VLOOKUP($G430,Overall!$K$5:$T$36,6)</f>
        <v>00000000000000000000000000000001</v>
      </c>
      <c r="K430" s="8">
        <f t="shared" ca="1" si="54"/>
        <v>1.7299980618684306E-41</v>
      </c>
      <c r="L430" s="62">
        <f>VLOOKUP($B430,Overall!$B$5:$I$13,8)</f>
        <v>0</v>
      </c>
      <c r="M430" s="58"/>
      <c r="N430" s="3" t="str">
        <f t="shared" si="55"/>
        <v/>
      </c>
      <c r="O430" s="3" t="str">
        <f t="shared" si="56"/>
        <v/>
      </c>
      <c r="P430" s="3" t="str">
        <f t="shared" si="57"/>
        <v/>
      </c>
      <c r="Q430" s="3">
        <f t="shared" si="58"/>
        <v>0</v>
      </c>
      <c r="R430" s="3">
        <f t="shared" si="59"/>
        <v>0</v>
      </c>
      <c r="S430" s="3" t="e" cm="1">
        <f t="array" aca="1" ref="S430" ca="1">SUMPRODUCT(MID($P430,ROW(INDIRECT("1:23")),1)*2^(-ROW(INDIRECT("1:23"))))</f>
        <v>#VALUE!</v>
      </c>
      <c r="T430" s="3" t="e">
        <f t="shared" ca="1" si="60"/>
        <v>#VALUE!</v>
      </c>
      <c r="U430" s="3" t="e">
        <f t="shared" ca="1" si="61"/>
        <v>#VALUE!</v>
      </c>
      <c r="V430" s="73"/>
      <c r="W430" s="9" t="str">
        <f t="shared" si="62"/>
        <v>OK</v>
      </c>
    </row>
    <row r="431" spans="1:23" x14ac:dyDescent="0.3">
      <c r="A431" s="44">
        <v>428</v>
      </c>
      <c r="B431" s="14">
        <v>7</v>
      </c>
      <c r="C431" s="4">
        <v>20</v>
      </c>
      <c r="D431" s="3" t="str">
        <f>VLOOKUP($C431,Overall!$K$5:$T$36,2)</f>
        <v>Normal</v>
      </c>
      <c r="E431" s="3">
        <f ca="1">VLOOKUP($C431,Overall!$K$5:$T$36,10)</f>
        <v>12345.6787109375</v>
      </c>
      <c r="F431" s="9" t="str">
        <f>VLOOKUP($C431,Overall!$K$5:$T$36,6)</f>
        <v>001000110010000001110011010110111</v>
      </c>
      <c r="G431" s="8">
        <v>2</v>
      </c>
      <c r="H431" s="3" t="str">
        <f>VLOOKUP($G431,Overall!$K$5:$T$36,2)</f>
        <v>Underflow</v>
      </c>
      <c r="I431" s="3">
        <f ca="1">VLOOKUP($G431,Overall!$K$5:$T$36,10)</f>
        <v>2.9387386796526474E-39</v>
      </c>
      <c r="J431" s="62" t="str">
        <f>VLOOKUP($G431,Overall!$K$5:$T$36,6)</f>
        <v>00000000001000000000000000000010</v>
      </c>
      <c r="K431" s="8">
        <f t="shared" ca="1" si="54"/>
        <v>3.6280723554396267E-35</v>
      </c>
      <c r="L431" s="62">
        <f>VLOOKUP($B431,Overall!$B$5:$I$13,8)</f>
        <v>0</v>
      </c>
      <c r="M431" s="58"/>
      <c r="N431" s="3" t="str">
        <f t="shared" si="55"/>
        <v/>
      </c>
      <c r="O431" s="3" t="str">
        <f t="shared" si="56"/>
        <v/>
      </c>
      <c r="P431" s="3" t="str">
        <f t="shared" si="57"/>
        <v/>
      </c>
      <c r="Q431" s="3">
        <f t="shared" si="58"/>
        <v>0</v>
      </c>
      <c r="R431" s="3">
        <f t="shared" si="59"/>
        <v>0</v>
      </c>
      <c r="S431" s="3" t="e" cm="1">
        <f t="array" aca="1" ref="S431" ca="1">SUMPRODUCT(MID($P431,ROW(INDIRECT("1:23")),1)*2^(-ROW(INDIRECT("1:23"))))</f>
        <v>#VALUE!</v>
      </c>
      <c r="T431" s="3" t="e">
        <f t="shared" ca="1" si="60"/>
        <v>#VALUE!</v>
      </c>
      <c r="U431" s="3" t="e">
        <f t="shared" ca="1" si="61"/>
        <v>#VALUE!</v>
      </c>
      <c r="V431" s="73"/>
      <c r="W431" s="9" t="str">
        <f t="shared" si="62"/>
        <v>OK</v>
      </c>
    </row>
    <row r="432" spans="1:23" x14ac:dyDescent="0.3">
      <c r="A432" s="44">
        <v>429</v>
      </c>
      <c r="B432" s="14">
        <v>7</v>
      </c>
      <c r="C432" s="4">
        <v>20</v>
      </c>
      <c r="D432" s="3" t="str">
        <f>VLOOKUP($C432,Overall!$K$5:$T$36,2)</f>
        <v>Normal</v>
      </c>
      <c r="E432" s="3">
        <f ca="1">VLOOKUP($C432,Overall!$K$5:$T$36,10)</f>
        <v>12345.6787109375</v>
      </c>
      <c r="F432" s="9" t="str">
        <f>VLOOKUP($C432,Overall!$K$5:$T$36,6)</f>
        <v>001000110010000001110011010110111</v>
      </c>
      <c r="G432" s="8">
        <v>3</v>
      </c>
      <c r="H432" s="3" t="str">
        <f>VLOOKUP($G432,Overall!$K$5:$T$36,2)</f>
        <v>Underflow</v>
      </c>
      <c r="I432" s="3">
        <f ca="1">VLOOKUP($G432,Overall!$K$5:$T$36,10)</f>
        <v>1.1754942106924411E-38</v>
      </c>
      <c r="J432" s="62" t="str">
        <f>VLOOKUP($G432,Overall!$K$5:$T$36,6)</f>
        <v>00000000011111111111111111111111</v>
      </c>
      <c r="K432" s="8">
        <f t="shared" ca="1" si="54"/>
        <v>1.451227385177595E-34</v>
      </c>
      <c r="L432" s="62">
        <f>VLOOKUP($B432,Overall!$B$5:$I$13,8)</f>
        <v>0</v>
      </c>
      <c r="M432" s="58"/>
      <c r="N432" s="3" t="str">
        <f t="shared" si="55"/>
        <v/>
      </c>
      <c r="O432" s="3" t="str">
        <f t="shared" si="56"/>
        <v/>
      </c>
      <c r="P432" s="3" t="str">
        <f t="shared" si="57"/>
        <v/>
      </c>
      <c r="Q432" s="3">
        <f t="shared" si="58"/>
        <v>0</v>
      </c>
      <c r="R432" s="3">
        <f t="shared" si="59"/>
        <v>0</v>
      </c>
      <c r="S432" s="3" t="e" cm="1">
        <f t="array" aca="1" ref="S432" ca="1">SUMPRODUCT(MID($P432,ROW(INDIRECT("1:23")),1)*2^(-ROW(INDIRECT("1:23"))))</f>
        <v>#VALUE!</v>
      </c>
      <c r="T432" s="3" t="e">
        <f t="shared" ca="1" si="60"/>
        <v>#VALUE!</v>
      </c>
      <c r="U432" s="3" t="e">
        <f t="shared" ca="1" si="61"/>
        <v>#VALUE!</v>
      </c>
      <c r="V432" s="73"/>
      <c r="W432" s="9" t="str">
        <f t="shared" si="62"/>
        <v>OK</v>
      </c>
    </row>
    <row r="433" spans="1:23" x14ac:dyDescent="0.3">
      <c r="A433" s="44">
        <v>430</v>
      </c>
      <c r="B433" s="14">
        <v>7</v>
      </c>
      <c r="C433" s="4">
        <v>20</v>
      </c>
      <c r="D433" s="3" t="str">
        <f>VLOOKUP($C433,Overall!$K$5:$T$36,2)</f>
        <v>Normal</v>
      </c>
      <c r="E433" s="3">
        <f ca="1">VLOOKUP($C433,Overall!$K$5:$T$36,10)</f>
        <v>12345.6787109375</v>
      </c>
      <c r="F433" s="9" t="str">
        <f>VLOOKUP($C433,Overall!$K$5:$T$36,6)</f>
        <v>001000110010000001110011010110111</v>
      </c>
      <c r="G433" s="8">
        <v>4</v>
      </c>
      <c r="H433" s="3" t="str">
        <f>VLOOKUP($G433,Overall!$K$5:$T$36,2)</f>
        <v>Underflow</v>
      </c>
      <c r="I433" s="3">
        <f ca="1">VLOOKUP($G433,Overall!$K$5:$T$36,10)</f>
        <v>-1.4012984643248171E-45</v>
      </c>
      <c r="J433" s="62" t="str">
        <f>VLOOKUP($G433,Overall!$K$5:$T$36,6)</f>
        <v>10000000000000000000000000000001</v>
      </c>
      <c r="K433" s="8">
        <f t="shared" ca="1" si="54"/>
        <v>-1.7299980618684306E-41</v>
      </c>
      <c r="L433" s="62">
        <f>VLOOKUP($B433,Overall!$B$5:$I$13,8)</f>
        <v>0</v>
      </c>
      <c r="M433" s="58"/>
      <c r="N433" s="3" t="str">
        <f t="shared" si="55"/>
        <v/>
      </c>
      <c r="O433" s="3" t="str">
        <f t="shared" si="56"/>
        <v/>
      </c>
      <c r="P433" s="3" t="str">
        <f t="shared" si="57"/>
        <v/>
      </c>
      <c r="Q433" s="3">
        <f t="shared" si="58"/>
        <v>0</v>
      </c>
      <c r="R433" s="3">
        <f t="shared" si="59"/>
        <v>0</v>
      </c>
      <c r="S433" s="3" t="e" cm="1">
        <f t="array" aca="1" ref="S433" ca="1">SUMPRODUCT(MID($P433,ROW(INDIRECT("1:23")),1)*2^(-ROW(INDIRECT("1:23"))))</f>
        <v>#VALUE!</v>
      </c>
      <c r="T433" s="3" t="e">
        <f t="shared" ca="1" si="60"/>
        <v>#VALUE!</v>
      </c>
      <c r="U433" s="3" t="e">
        <f t="shared" ca="1" si="61"/>
        <v>#VALUE!</v>
      </c>
      <c r="V433" s="73"/>
      <c r="W433" s="9" t="str">
        <f t="shared" si="62"/>
        <v>OK</v>
      </c>
    </row>
    <row r="434" spans="1:23" x14ac:dyDescent="0.3">
      <c r="A434" s="44">
        <v>431</v>
      </c>
      <c r="B434" s="14">
        <v>7</v>
      </c>
      <c r="C434" s="4">
        <v>20</v>
      </c>
      <c r="D434" s="3" t="str">
        <f>VLOOKUP($C434,Overall!$K$5:$T$36,2)</f>
        <v>Normal</v>
      </c>
      <c r="E434" s="3">
        <f ca="1">VLOOKUP($C434,Overall!$K$5:$T$36,10)</f>
        <v>12345.6787109375</v>
      </c>
      <c r="F434" s="9" t="str">
        <f>VLOOKUP($C434,Overall!$K$5:$T$36,6)</f>
        <v>001000110010000001110011010110111</v>
      </c>
      <c r="G434" s="8">
        <v>5</v>
      </c>
      <c r="H434" s="3" t="str">
        <f>VLOOKUP($G434,Overall!$K$5:$T$36,2)</f>
        <v>Underflow</v>
      </c>
      <c r="I434" s="3">
        <f ca="1">VLOOKUP($G434,Overall!$K$5:$T$36,10)</f>
        <v>-2.9387386796526474E-39</v>
      </c>
      <c r="J434" s="62" t="str">
        <f>VLOOKUP($G434,Overall!$K$5:$T$36,6)</f>
        <v>10000000001000000000000000000010</v>
      </c>
      <c r="K434" s="8">
        <f t="shared" ca="1" si="54"/>
        <v>-3.6280723554396267E-35</v>
      </c>
      <c r="L434" s="62">
        <f>VLOOKUP($B434,Overall!$B$5:$I$13,8)</f>
        <v>0</v>
      </c>
      <c r="M434" s="58"/>
      <c r="N434" s="3" t="str">
        <f t="shared" si="55"/>
        <v/>
      </c>
      <c r="O434" s="3" t="str">
        <f t="shared" si="56"/>
        <v/>
      </c>
      <c r="P434" s="3" t="str">
        <f t="shared" si="57"/>
        <v/>
      </c>
      <c r="Q434" s="3">
        <f t="shared" si="58"/>
        <v>0</v>
      </c>
      <c r="R434" s="3">
        <f t="shared" si="59"/>
        <v>0</v>
      </c>
      <c r="S434" s="3" t="e" cm="1">
        <f t="array" aca="1" ref="S434" ca="1">SUMPRODUCT(MID($P434,ROW(INDIRECT("1:23")),1)*2^(-ROW(INDIRECT("1:23"))))</f>
        <v>#VALUE!</v>
      </c>
      <c r="T434" s="3" t="e">
        <f t="shared" ca="1" si="60"/>
        <v>#VALUE!</v>
      </c>
      <c r="U434" s="3" t="e">
        <f t="shared" ca="1" si="61"/>
        <v>#VALUE!</v>
      </c>
      <c r="V434" s="73"/>
      <c r="W434" s="9" t="str">
        <f t="shared" si="62"/>
        <v>OK</v>
      </c>
    </row>
    <row r="435" spans="1:23" x14ac:dyDescent="0.3">
      <c r="A435" s="44">
        <v>432</v>
      </c>
      <c r="B435" s="14">
        <v>7</v>
      </c>
      <c r="C435" s="4">
        <v>20</v>
      </c>
      <c r="D435" s="3" t="str">
        <f>VLOOKUP($C435,Overall!$K$5:$T$36,2)</f>
        <v>Normal</v>
      </c>
      <c r="E435" s="3">
        <f ca="1">VLOOKUP($C435,Overall!$K$5:$T$36,10)</f>
        <v>12345.6787109375</v>
      </c>
      <c r="F435" s="9" t="str">
        <f>VLOOKUP($C435,Overall!$K$5:$T$36,6)</f>
        <v>001000110010000001110011010110111</v>
      </c>
      <c r="G435" s="8">
        <v>6</v>
      </c>
      <c r="H435" s="3" t="str">
        <f>VLOOKUP($G435,Overall!$K$5:$T$36,2)</f>
        <v>Underflow</v>
      </c>
      <c r="I435" s="3">
        <f ca="1">VLOOKUP($G435,Overall!$K$5:$T$36,10)</f>
        <v>-1.1754942106924411E-38</v>
      </c>
      <c r="J435" s="62" t="str">
        <f>VLOOKUP($G435,Overall!$K$5:$T$36,6)</f>
        <v>10000000011111111111111111111111</v>
      </c>
      <c r="K435" s="8">
        <f t="shared" ca="1" si="54"/>
        <v>-1.451227385177595E-34</v>
      </c>
      <c r="L435" s="62">
        <f>VLOOKUP($B435,Overall!$B$5:$I$13,8)</f>
        <v>0</v>
      </c>
      <c r="M435" s="58"/>
      <c r="N435" s="3" t="str">
        <f t="shared" si="55"/>
        <v/>
      </c>
      <c r="O435" s="3" t="str">
        <f t="shared" si="56"/>
        <v/>
      </c>
      <c r="P435" s="3" t="str">
        <f t="shared" si="57"/>
        <v/>
      </c>
      <c r="Q435" s="3">
        <f t="shared" si="58"/>
        <v>0</v>
      </c>
      <c r="R435" s="3">
        <f t="shared" si="59"/>
        <v>0</v>
      </c>
      <c r="S435" s="3" t="e" cm="1">
        <f t="array" aca="1" ref="S435" ca="1">SUMPRODUCT(MID($P435,ROW(INDIRECT("1:23")),1)*2^(-ROW(INDIRECT("1:23"))))</f>
        <v>#VALUE!</v>
      </c>
      <c r="T435" s="3" t="e">
        <f t="shared" ca="1" si="60"/>
        <v>#VALUE!</v>
      </c>
      <c r="U435" s="3" t="e">
        <f t="shared" ca="1" si="61"/>
        <v>#VALUE!</v>
      </c>
      <c r="V435" s="73"/>
      <c r="W435" s="9" t="str">
        <f t="shared" si="62"/>
        <v>OK</v>
      </c>
    </row>
    <row r="436" spans="1:23" x14ac:dyDescent="0.3">
      <c r="A436" s="44">
        <v>433</v>
      </c>
      <c r="B436" s="14">
        <v>7</v>
      </c>
      <c r="C436" s="4">
        <v>21</v>
      </c>
      <c r="D436" s="3" t="str">
        <f>VLOOKUP($C436,Overall!$K$5:$T$36,2)</f>
        <v>Normal</v>
      </c>
      <c r="E436" s="3">
        <f ca="1">VLOOKUP($C436,Overall!$K$5:$T$36,10)</f>
        <v>2.345678924830959E+38</v>
      </c>
      <c r="F436" s="9" t="str">
        <f>VLOOKUP($C436,Overall!$K$5:$T$36,6)</f>
        <v>01111111001100000111100000100010</v>
      </c>
      <c r="G436" s="8">
        <v>1</v>
      </c>
      <c r="H436" s="3" t="str">
        <f>VLOOKUP($G436,Overall!$K$5:$T$36,2)</f>
        <v>Underflow</v>
      </c>
      <c r="I436" s="3">
        <f ca="1">VLOOKUP($G436,Overall!$K$5:$T$36,10)</f>
        <v>1.4012984643248171E-45</v>
      </c>
      <c r="J436" s="62" t="str">
        <f>VLOOKUP($G436,Overall!$K$5:$T$36,6)</f>
        <v>00000000000000000000000000000001</v>
      </c>
      <c r="K436" s="8">
        <f t="shared" ca="1" si="54"/>
        <v>3.2869962751647108E-7</v>
      </c>
      <c r="L436" s="62">
        <f>VLOOKUP($B436,Overall!$B$5:$I$13,8)</f>
        <v>0</v>
      </c>
      <c r="M436" s="58"/>
      <c r="N436" s="3" t="str">
        <f t="shared" si="55"/>
        <v/>
      </c>
      <c r="O436" s="3" t="str">
        <f t="shared" si="56"/>
        <v/>
      </c>
      <c r="P436" s="3" t="str">
        <f t="shared" si="57"/>
        <v/>
      </c>
      <c r="Q436" s="3">
        <f t="shared" si="58"/>
        <v>0</v>
      </c>
      <c r="R436" s="3">
        <f t="shared" si="59"/>
        <v>0</v>
      </c>
      <c r="S436" s="3" t="e" cm="1">
        <f t="array" aca="1" ref="S436" ca="1">SUMPRODUCT(MID($P436,ROW(INDIRECT("1:23")),1)*2^(-ROW(INDIRECT("1:23"))))</f>
        <v>#VALUE!</v>
      </c>
      <c r="T436" s="3" t="e">
        <f t="shared" ca="1" si="60"/>
        <v>#VALUE!</v>
      </c>
      <c r="U436" s="3" t="e">
        <f t="shared" ca="1" si="61"/>
        <v>#VALUE!</v>
      </c>
      <c r="V436" s="73"/>
      <c r="W436" s="9" t="str">
        <f t="shared" si="62"/>
        <v>OK</v>
      </c>
    </row>
    <row r="437" spans="1:23" x14ac:dyDescent="0.3">
      <c r="A437" s="44">
        <v>434</v>
      </c>
      <c r="B437" s="14">
        <v>7</v>
      </c>
      <c r="C437" s="4">
        <v>21</v>
      </c>
      <c r="D437" s="3" t="str">
        <f>VLOOKUP($C437,Overall!$K$5:$T$36,2)</f>
        <v>Normal</v>
      </c>
      <c r="E437" s="3">
        <f ca="1">VLOOKUP($C437,Overall!$K$5:$T$36,10)</f>
        <v>2.345678924830959E+38</v>
      </c>
      <c r="F437" s="9" t="str">
        <f>VLOOKUP($C437,Overall!$K$5:$T$36,6)</f>
        <v>01111111001100000111100000100010</v>
      </c>
      <c r="G437" s="8">
        <v>2</v>
      </c>
      <c r="H437" s="3" t="str">
        <f>VLOOKUP($G437,Overall!$K$5:$T$36,2)</f>
        <v>Underflow</v>
      </c>
      <c r="I437" s="3">
        <f ca="1">VLOOKUP($G437,Overall!$K$5:$T$36,10)</f>
        <v>2.9387386796526474E-39</v>
      </c>
      <c r="J437" s="62" t="str">
        <f>VLOOKUP($G437,Overall!$K$5:$T$36,6)</f>
        <v>00000000001000000000000000000010</v>
      </c>
      <c r="K437" s="8">
        <f t="shared" ca="1" si="54"/>
        <v>0.6893337386446774</v>
      </c>
      <c r="L437" s="62">
        <f>VLOOKUP($B437,Overall!$B$5:$I$13,8)</f>
        <v>0</v>
      </c>
      <c r="M437" s="58"/>
      <c r="N437" s="3" t="str">
        <f t="shared" si="55"/>
        <v/>
      </c>
      <c r="O437" s="3" t="str">
        <f t="shared" si="56"/>
        <v/>
      </c>
      <c r="P437" s="3" t="str">
        <f t="shared" si="57"/>
        <v/>
      </c>
      <c r="Q437" s="3">
        <f t="shared" si="58"/>
        <v>0</v>
      </c>
      <c r="R437" s="3">
        <f t="shared" si="59"/>
        <v>0</v>
      </c>
      <c r="S437" s="3" t="e" cm="1">
        <f t="array" aca="1" ref="S437" ca="1">SUMPRODUCT(MID($P437,ROW(INDIRECT("1:23")),1)*2^(-ROW(INDIRECT("1:23"))))</f>
        <v>#VALUE!</v>
      </c>
      <c r="T437" s="3" t="e">
        <f t="shared" ca="1" si="60"/>
        <v>#VALUE!</v>
      </c>
      <c r="U437" s="3" t="e">
        <f t="shared" ca="1" si="61"/>
        <v>#VALUE!</v>
      </c>
      <c r="V437" s="73"/>
      <c r="W437" s="9" t="str">
        <f t="shared" si="62"/>
        <v>OK</v>
      </c>
    </row>
    <row r="438" spans="1:23" x14ac:dyDescent="0.3">
      <c r="A438" s="44">
        <v>435</v>
      </c>
      <c r="B438" s="14">
        <v>7</v>
      </c>
      <c r="C438" s="4">
        <v>21</v>
      </c>
      <c r="D438" s="3" t="str">
        <f>VLOOKUP($C438,Overall!$K$5:$T$36,2)</f>
        <v>Normal</v>
      </c>
      <c r="E438" s="3">
        <f ca="1">VLOOKUP($C438,Overall!$K$5:$T$36,10)</f>
        <v>2.345678924830959E+38</v>
      </c>
      <c r="F438" s="9" t="str">
        <f>VLOOKUP($C438,Overall!$K$5:$T$36,6)</f>
        <v>01111111001100000111100000100010</v>
      </c>
      <c r="G438" s="8">
        <v>3</v>
      </c>
      <c r="H438" s="3" t="str">
        <f>VLOOKUP($G438,Overall!$K$5:$T$36,2)</f>
        <v>Underflow</v>
      </c>
      <c r="I438" s="3">
        <f ca="1">VLOOKUP($G438,Overall!$K$5:$T$36,10)</f>
        <v>1.1754942106924411E-38</v>
      </c>
      <c r="J438" s="62" t="str">
        <f>VLOOKUP($G438,Overall!$K$5:$T$36,6)</f>
        <v>00000000011111111111111111111111</v>
      </c>
      <c r="K438" s="8">
        <f t="shared" ca="1" si="54"/>
        <v>2.7573319962820619</v>
      </c>
      <c r="L438" s="62">
        <f>VLOOKUP($B438,Overall!$B$5:$I$13,8)</f>
        <v>0</v>
      </c>
      <c r="M438" s="58"/>
      <c r="N438" s="3" t="str">
        <f t="shared" si="55"/>
        <v/>
      </c>
      <c r="O438" s="3" t="str">
        <f t="shared" si="56"/>
        <v/>
      </c>
      <c r="P438" s="3" t="str">
        <f t="shared" si="57"/>
        <v/>
      </c>
      <c r="Q438" s="3">
        <f t="shared" si="58"/>
        <v>0</v>
      </c>
      <c r="R438" s="3">
        <f t="shared" si="59"/>
        <v>0</v>
      </c>
      <c r="S438" s="3" t="e" cm="1">
        <f t="array" aca="1" ref="S438" ca="1">SUMPRODUCT(MID($P438,ROW(INDIRECT("1:23")),1)*2^(-ROW(INDIRECT("1:23"))))</f>
        <v>#VALUE!</v>
      </c>
      <c r="T438" s="3" t="e">
        <f t="shared" ca="1" si="60"/>
        <v>#VALUE!</v>
      </c>
      <c r="U438" s="3" t="e">
        <f t="shared" ca="1" si="61"/>
        <v>#VALUE!</v>
      </c>
      <c r="V438" s="73"/>
      <c r="W438" s="9" t="str">
        <f t="shared" si="62"/>
        <v>OK</v>
      </c>
    </row>
    <row r="439" spans="1:23" x14ac:dyDescent="0.3">
      <c r="A439" s="44">
        <v>436</v>
      </c>
      <c r="B439" s="14">
        <v>7</v>
      </c>
      <c r="C439" s="4">
        <v>21</v>
      </c>
      <c r="D439" s="3" t="str">
        <f>VLOOKUP($C439,Overall!$K$5:$T$36,2)</f>
        <v>Normal</v>
      </c>
      <c r="E439" s="3">
        <f ca="1">VLOOKUP($C439,Overall!$K$5:$T$36,10)</f>
        <v>2.345678924830959E+38</v>
      </c>
      <c r="F439" s="9" t="str">
        <f>VLOOKUP($C439,Overall!$K$5:$T$36,6)</f>
        <v>01111111001100000111100000100010</v>
      </c>
      <c r="G439" s="8">
        <v>4</v>
      </c>
      <c r="H439" s="3" t="str">
        <f>VLOOKUP($G439,Overall!$K$5:$T$36,2)</f>
        <v>Underflow</v>
      </c>
      <c r="I439" s="3">
        <f ca="1">VLOOKUP($G439,Overall!$K$5:$T$36,10)</f>
        <v>-1.4012984643248171E-45</v>
      </c>
      <c r="J439" s="62" t="str">
        <f>VLOOKUP($G439,Overall!$K$5:$T$36,6)</f>
        <v>10000000000000000000000000000001</v>
      </c>
      <c r="K439" s="8">
        <f t="shared" ca="1" si="54"/>
        <v>-3.2869962751647108E-7</v>
      </c>
      <c r="L439" s="62">
        <f>VLOOKUP($B439,Overall!$B$5:$I$13,8)</f>
        <v>0</v>
      </c>
      <c r="M439" s="58"/>
      <c r="N439" s="3" t="str">
        <f t="shared" si="55"/>
        <v/>
      </c>
      <c r="O439" s="3" t="str">
        <f t="shared" si="56"/>
        <v/>
      </c>
      <c r="P439" s="3" t="str">
        <f t="shared" si="57"/>
        <v/>
      </c>
      <c r="Q439" s="3">
        <f t="shared" si="58"/>
        <v>0</v>
      </c>
      <c r="R439" s="3">
        <f t="shared" si="59"/>
        <v>0</v>
      </c>
      <c r="S439" s="3" t="e" cm="1">
        <f t="array" aca="1" ref="S439" ca="1">SUMPRODUCT(MID($P439,ROW(INDIRECT("1:23")),1)*2^(-ROW(INDIRECT("1:23"))))</f>
        <v>#VALUE!</v>
      </c>
      <c r="T439" s="3" t="e">
        <f t="shared" ca="1" si="60"/>
        <v>#VALUE!</v>
      </c>
      <c r="U439" s="3" t="e">
        <f t="shared" ca="1" si="61"/>
        <v>#VALUE!</v>
      </c>
      <c r="V439" s="73"/>
      <c r="W439" s="9" t="str">
        <f t="shared" si="62"/>
        <v>OK</v>
      </c>
    </row>
    <row r="440" spans="1:23" x14ac:dyDescent="0.3">
      <c r="A440" s="44">
        <v>437</v>
      </c>
      <c r="B440" s="14">
        <v>7</v>
      </c>
      <c r="C440" s="4">
        <v>21</v>
      </c>
      <c r="D440" s="3" t="str">
        <f>VLOOKUP($C440,Overall!$K$5:$T$36,2)</f>
        <v>Normal</v>
      </c>
      <c r="E440" s="3">
        <f ca="1">VLOOKUP($C440,Overall!$K$5:$T$36,10)</f>
        <v>2.345678924830959E+38</v>
      </c>
      <c r="F440" s="9" t="str">
        <f>VLOOKUP($C440,Overall!$K$5:$T$36,6)</f>
        <v>01111111001100000111100000100010</v>
      </c>
      <c r="G440" s="8">
        <v>5</v>
      </c>
      <c r="H440" s="3" t="str">
        <f>VLOOKUP($G440,Overall!$K$5:$T$36,2)</f>
        <v>Underflow</v>
      </c>
      <c r="I440" s="3">
        <f ca="1">VLOOKUP($G440,Overall!$K$5:$T$36,10)</f>
        <v>-2.9387386796526474E-39</v>
      </c>
      <c r="J440" s="62" t="str">
        <f>VLOOKUP($G440,Overall!$K$5:$T$36,6)</f>
        <v>10000000001000000000000000000010</v>
      </c>
      <c r="K440" s="8">
        <f t="shared" ca="1" si="54"/>
        <v>-0.6893337386446774</v>
      </c>
      <c r="L440" s="62">
        <f>VLOOKUP($B440,Overall!$B$5:$I$13,8)</f>
        <v>0</v>
      </c>
      <c r="M440" s="58"/>
      <c r="N440" s="3" t="str">
        <f t="shared" si="55"/>
        <v/>
      </c>
      <c r="O440" s="3" t="str">
        <f t="shared" si="56"/>
        <v/>
      </c>
      <c r="P440" s="3" t="str">
        <f t="shared" si="57"/>
        <v/>
      </c>
      <c r="Q440" s="3">
        <f t="shared" si="58"/>
        <v>0</v>
      </c>
      <c r="R440" s="3">
        <f t="shared" si="59"/>
        <v>0</v>
      </c>
      <c r="S440" s="3" t="e" cm="1">
        <f t="array" aca="1" ref="S440" ca="1">SUMPRODUCT(MID($P440,ROW(INDIRECT("1:23")),1)*2^(-ROW(INDIRECT("1:23"))))</f>
        <v>#VALUE!</v>
      </c>
      <c r="T440" s="3" t="e">
        <f t="shared" ca="1" si="60"/>
        <v>#VALUE!</v>
      </c>
      <c r="U440" s="3" t="e">
        <f t="shared" ca="1" si="61"/>
        <v>#VALUE!</v>
      </c>
      <c r="V440" s="73"/>
      <c r="W440" s="9" t="str">
        <f t="shared" si="62"/>
        <v>OK</v>
      </c>
    </row>
    <row r="441" spans="1:23" x14ac:dyDescent="0.3">
      <c r="A441" s="44">
        <v>438</v>
      </c>
      <c r="B441" s="14">
        <v>7</v>
      </c>
      <c r="C441" s="4">
        <v>21</v>
      </c>
      <c r="D441" s="3" t="str">
        <f>VLOOKUP($C441,Overall!$K$5:$T$36,2)</f>
        <v>Normal</v>
      </c>
      <c r="E441" s="3">
        <f ca="1">VLOOKUP($C441,Overall!$K$5:$T$36,10)</f>
        <v>2.345678924830959E+38</v>
      </c>
      <c r="F441" s="9" t="str">
        <f>VLOOKUP($C441,Overall!$K$5:$T$36,6)</f>
        <v>01111111001100000111100000100010</v>
      </c>
      <c r="G441" s="8">
        <v>6</v>
      </c>
      <c r="H441" s="3" t="str">
        <f>VLOOKUP($G441,Overall!$K$5:$T$36,2)</f>
        <v>Underflow</v>
      </c>
      <c r="I441" s="3">
        <f ca="1">VLOOKUP($G441,Overall!$K$5:$T$36,10)</f>
        <v>-1.1754942106924411E-38</v>
      </c>
      <c r="J441" s="62" t="str">
        <f>VLOOKUP($G441,Overall!$K$5:$T$36,6)</f>
        <v>10000000011111111111111111111111</v>
      </c>
      <c r="K441" s="8">
        <f t="shared" ca="1" si="54"/>
        <v>-2.7573319962820619</v>
      </c>
      <c r="L441" s="62">
        <f>VLOOKUP($B441,Overall!$B$5:$I$13,8)</f>
        <v>0</v>
      </c>
      <c r="M441" s="58"/>
      <c r="N441" s="3" t="str">
        <f t="shared" si="55"/>
        <v/>
      </c>
      <c r="O441" s="3" t="str">
        <f t="shared" si="56"/>
        <v/>
      </c>
      <c r="P441" s="3" t="str">
        <f t="shared" si="57"/>
        <v/>
      </c>
      <c r="Q441" s="3">
        <f t="shared" si="58"/>
        <v>0</v>
      </c>
      <c r="R441" s="3">
        <f t="shared" si="59"/>
        <v>0</v>
      </c>
      <c r="S441" s="3" t="e" cm="1">
        <f t="array" aca="1" ref="S441" ca="1">SUMPRODUCT(MID($P441,ROW(INDIRECT("1:23")),1)*2^(-ROW(INDIRECT("1:23"))))</f>
        <v>#VALUE!</v>
      </c>
      <c r="T441" s="3" t="e">
        <f t="shared" ca="1" si="60"/>
        <v>#VALUE!</v>
      </c>
      <c r="U441" s="3" t="e">
        <f t="shared" ca="1" si="61"/>
        <v>#VALUE!</v>
      </c>
      <c r="V441" s="73"/>
      <c r="W441" s="9" t="str">
        <f t="shared" si="62"/>
        <v>OK</v>
      </c>
    </row>
    <row r="442" spans="1:23" x14ac:dyDescent="0.3">
      <c r="A442" s="44">
        <v>439</v>
      </c>
      <c r="B442" s="14">
        <v>7</v>
      </c>
      <c r="C442" s="4">
        <v>22</v>
      </c>
      <c r="D442" s="3" t="str">
        <f>VLOOKUP($C442,Overall!$K$5:$T$36,2)</f>
        <v>Normal</v>
      </c>
      <c r="E442" s="3">
        <f ca="1">VLOOKUP($C442,Overall!$K$5:$T$36,10)</f>
        <v>3.4028232635611926E+38</v>
      </c>
      <c r="F442" s="9" t="str">
        <f>VLOOKUP($C442,Overall!$K$5:$T$36,6)</f>
        <v>01111111011111111111111111111110</v>
      </c>
      <c r="G442" s="8">
        <v>1</v>
      </c>
      <c r="H442" s="3" t="str">
        <f>VLOOKUP($G442,Overall!$K$5:$T$36,2)</f>
        <v>Underflow</v>
      </c>
      <c r="I442" s="3">
        <f ca="1">VLOOKUP($G442,Overall!$K$5:$T$36,10)</f>
        <v>1.4012984643248171E-45</v>
      </c>
      <c r="J442" s="62" t="str">
        <f>VLOOKUP($G442,Overall!$K$5:$T$36,6)</f>
        <v>00000000000000000000000000000001</v>
      </c>
      <c r="K442" s="8">
        <f t="shared" ca="1" si="54"/>
        <v>4.7683710135970614E-7</v>
      </c>
      <c r="L442" s="62">
        <f>VLOOKUP($B442,Overall!$B$5:$I$13,8)</f>
        <v>0</v>
      </c>
      <c r="M442" s="58"/>
      <c r="N442" s="3" t="str">
        <f t="shared" si="55"/>
        <v/>
      </c>
      <c r="O442" s="3" t="str">
        <f t="shared" si="56"/>
        <v/>
      </c>
      <c r="P442" s="3" t="str">
        <f t="shared" si="57"/>
        <v/>
      </c>
      <c r="Q442" s="3">
        <f t="shared" si="58"/>
        <v>0</v>
      </c>
      <c r="R442" s="3">
        <f t="shared" si="59"/>
        <v>0</v>
      </c>
      <c r="S442" s="3" t="e" cm="1">
        <f t="array" aca="1" ref="S442" ca="1">SUMPRODUCT(MID($P442,ROW(INDIRECT("1:23")),1)*2^(-ROW(INDIRECT("1:23"))))</f>
        <v>#VALUE!</v>
      </c>
      <c r="T442" s="3" t="e">
        <f t="shared" ca="1" si="60"/>
        <v>#VALUE!</v>
      </c>
      <c r="U442" s="3" t="e">
        <f t="shared" ca="1" si="61"/>
        <v>#VALUE!</v>
      </c>
      <c r="V442" s="73"/>
      <c r="W442" s="9" t="str">
        <f t="shared" si="62"/>
        <v>OK</v>
      </c>
    </row>
    <row r="443" spans="1:23" x14ac:dyDescent="0.3">
      <c r="A443" s="44">
        <v>440</v>
      </c>
      <c r="B443" s="14">
        <v>7</v>
      </c>
      <c r="C443" s="4">
        <v>22</v>
      </c>
      <c r="D443" s="3" t="str">
        <f>VLOOKUP($C443,Overall!$K$5:$T$36,2)</f>
        <v>Normal</v>
      </c>
      <c r="E443" s="3">
        <f ca="1">VLOOKUP($C443,Overall!$K$5:$T$36,10)</f>
        <v>3.4028232635611926E+38</v>
      </c>
      <c r="F443" s="9" t="str">
        <f>VLOOKUP($C443,Overall!$K$5:$T$36,6)</f>
        <v>01111111011111111111111111111110</v>
      </c>
      <c r="G443" s="8">
        <v>2</v>
      </c>
      <c r="H443" s="3" t="str">
        <f>VLOOKUP($G443,Overall!$K$5:$T$36,2)</f>
        <v>Underflow</v>
      </c>
      <c r="I443" s="3">
        <f ca="1">VLOOKUP($G443,Overall!$K$5:$T$36,10)</f>
        <v>2.9387386796526474E-39</v>
      </c>
      <c r="J443" s="62" t="str">
        <f>VLOOKUP($G443,Overall!$K$5:$T$36,6)</f>
        <v>00000000001000000000000000000010</v>
      </c>
      <c r="K443" s="8">
        <f t="shared" ca="1" si="54"/>
        <v>1.0000008344649132</v>
      </c>
      <c r="L443" s="62">
        <f>VLOOKUP($B443,Overall!$B$5:$I$13,8)</f>
        <v>0</v>
      </c>
      <c r="M443" s="58"/>
      <c r="N443" s="3" t="str">
        <f t="shared" si="55"/>
        <v/>
      </c>
      <c r="O443" s="3" t="str">
        <f t="shared" si="56"/>
        <v/>
      </c>
      <c r="P443" s="3" t="str">
        <f t="shared" si="57"/>
        <v/>
      </c>
      <c r="Q443" s="3">
        <f t="shared" si="58"/>
        <v>0</v>
      </c>
      <c r="R443" s="3">
        <f t="shared" si="59"/>
        <v>0</v>
      </c>
      <c r="S443" s="3" t="e" cm="1">
        <f t="array" aca="1" ref="S443" ca="1">SUMPRODUCT(MID($P443,ROW(INDIRECT("1:23")),1)*2^(-ROW(INDIRECT("1:23"))))</f>
        <v>#VALUE!</v>
      </c>
      <c r="T443" s="3" t="e">
        <f t="shared" ca="1" si="60"/>
        <v>#VALUE!</v>
      </c>
      <c r="U443" s="3" t="e">
        <f t="shared" ca="1" si="61"/>
        <v>#VALUE!</v>
      </c>
      <c r="V443" s="73"/>
      <c r="W443" s="9" t="str">
        <f t="shared" si="62"/>
        <v>OK</v>
      </c>
    </row>
    <row r="444" spans="1:23" x14ac:dyDescent="0.3">
      <c r="A444" s="44">
        <v>441</v>
      </c>
      <c r="B444" s="14">
        <v>7</v>
      </c>
      <c r="C444" s="4">
        <v>22</v>
      </c>
      <c r="D444" s="3" t="str">
        <f>VLOOKUP($C444,Overall!$K$5:$T$36,2)</f>
        <v>Normal</v>
      </c>
      <c r="E444" s="3">
        <f ca="1">VLOOKUP($C444,Overall!$K$5:$T$36,10)</f>
        <v>3.4028232635611926E+38</v>
      </c>
      <c r="F444" s="9" t="str">
        <f>VLOOKUP($C444,Overall!$K$5:$T$36,6)</f>
        <v>01111111011111111111111111111110</v>
      </c>
      <c r="G444" s="8">
        <v>3</v>
      </c>
      <c r="H444" s="3" t="str">
        <f>VLOOKUP($G444,Overall!$K$5:$T$36,2)</f>
        <v>Underflow</v>
      </c>
      <c r="I444" s="3">
        <f ca="1">VLOOKUP($G444,Overall!$K$5:$T$36,10)</f>
        <v>1.1754942106924411E-38</v>
      </c>
      <c r="J444" s="62" t="str">
        <f>VLOOKUP($G444,Overall!$K$5:$T$36,6)</f>
        <v>00000000011111111111111111111111</v>
      </c>
      <c r="K444" s="8">
        <f t="shared" ca="1" si="54"/>
        <v>3.9999990463257404</v>
      </c>
      <c r="L444" s="62">
        <f>VLOOKUP($B444,Overall!$B$5:$I$13,8)</f>
        <v>0</v>
      </c>
      <c r="M444" s="58"/>
      <c r="N444" s="3" t="str">
        <f t="shared" si="55"/>
        <v/>
      </c>
      <c r="O444" s="3" t="str">
        <f t="shared" si="56"/>
        <v/>
      </c>
      <c r="P444" s="3" t="str">
        <f t="shared" si="57"/>
        <v/>
      </c>
      <c r="Q444" s="3">
        <f t="shared" si="58"/>
        <v>0</v>
      </c>
      <c r="R444" s="3">
        <f t="shared" si="59"/>
        <v>0</v>
      </c>
      <c r="S444" s="3" t="e" cm="1">
        <f t="array" aca="1" ref="S444" ca="1">SUMPRODUCT(MID($P444,ROW(INDIRECT("1:23")),1)*2^(-ROW(INDIRECT("1:23"))))</f>
        <v>#VALUE!</v>
      </c>
      <c r="T444" s="3" t="e">
        <f t="shared" ca="1" si="60"/>
        <v>#VALUE!</v>
      </c>
      <c r="U444" s="3" t="e">
        <f t="shared" ca="1" si="61"/>
        <v>#VALUE!</v>
      </c>
      <c r="V444" s="73"/>
      <c r="W444" s="9" t="str">
        <f t="shared" si="62"/>
        <v>OK</v>
      </c>
    </row>
    <row r="445" spans="1:23" x14ac:dyDescent="0.3">
      <c r="A445" s="44">
        <v>442</v>
      </c>
      <c r="B445" s="14">
        <v>7</v>
      </c>
      <c r="C445" s="4">
        <v>22</v>
      </c>
      <c r="D445" s="3" t="str">
        <f>VLOOKUP($C445,Overall!$K$5:$T$36,2)</f>
        <v>Normal</v>
      </c>
      <c r="E445" s="3">
        <f ca="1">VLOOKUP($C445,Overall!$K$5:$T$36,10)</f>
        <v>3.4028232635611926E+38</v>
      </c>
      <c r="F445" s="9" t="str">
        <f>VLOOKUP($C445,Overall!$K$5:$T$36,6)</f>
        <v>01111111011111111111111111111110</v>
      </c>
      <c r="G445" s="8">
        <v>4</v>
      </c>
      <c r="H445" s="3" t="str">
        <f>VLOOKUP($G445,Overall!$K$5:$T$36,2)</f>
        <v>Underflow</v>
      </c>
      <c r="I445" s="3">
        <f ca="1">VLOOKUP($G445,Overall!$K$5:$T$36,10)</f>
        <v>-1.4012984643248171E-45</v>
      </c>
      <c r="J445" s="62" t="str">
        <f>VLOOKUP($G445,Overall!$K$5:$T$36,6)</f>
        <v>10000000000000000000000000000001</v>
      </c>
      <c r="K445" s="8">
        <f t="shared" ca="1" si="54"/>
        <v>-4.7683710135970614E-7</v>
      </c>
      <c r="L445" s="62">
        <f>VLOOKUP($B445,Overall!$B$5:$I$13,8)</f>
        <v>0</v>
      </c>
      <c r="M445" s="58"/>
      <c r="N445" s="3" t="str">
        <f t="shared" si="55"/>
        <v/>
      </c>
      <c r="O445" s="3" t="str">
        <f t="shared" si="56"/>
        <v/>
      </c>
      <c r="P445" s="3" t="str">
        <f t="shared" si="57"/>
        <v/>
      </c>
      <c r="Q445" s="3">
        <f t="shared" si="58"/>
        <v>0</v>
      </c>
      <c r="R445" s="3">
        <f t="shared" si="59"/>
        <v>0</v>
      </c>
      <c r="S445" s="3" t="e" cm="1">
        <f t="array" aca="1" ref="S445" ca="1">SUMPRODUCT(MID($P445,ROW(INDIRECT("1:23")),1)*2^(-ROW(INDIRECT("1:23"))))</f>
        <v>#VALUE!</v>
      </c>
      <c r="T445" s="3" t="e">
        <f t="shared" ca="1" si="60"/>
        <v>#VALUE!</v>
      </c>
      <c r="U445" s="3" t="e">
        <f t="shared" ca="1" si="61"/>
        <v>#VALUE!</v>
      </c>
      <c r="V445" s="73"/>
      <c r="W445" s="9" t="str">
        <f t="shared" si="62"/>
        <v>OK</v>
      </c>
    </row>
    <row r="446" spans="1:23" x14ac:dyDescent="0.3">
      <c r="A446" s="44">
        <v>443</v>
      </c>
      <c r="B446" s="14">
        <v>7</v>
      </c>
      <c r="C446" s="4">
        <v>22</v>
      </c>
      <c r="D446" s="3" t="str">
        <f>VLOOKUP($C446,Overall!$K$5:$T$36,2)</f>
        <v>Normal</v>
      </c>
      <c r="E446" s="3">
        <f ca="1">VLOOKUP($C446,Overall!$K$5:$T$36,10)</f>
        <v>3.4028232635611926E+38</v>
      </c>
      <c r="F446" s="9" t="str">
        <f>VLOOKUP($C446,Overall!$K$5:$T$36,6)</f>
        <v>01111111011111111111111111111110</v>
      </c>
      <c r="G446" s="8">
        <v>5</v>
      </c>
      <c r="H446" s="3" t="str">
        <f>VLOOKUP($G446,Overall!$K$5:$T$36,2)</f>
        <v>Underflow</v>
      </c>
      <c r="I446" s="3">
        <f ca="1">VLOOKUP($G446,Overall!$K$5:$T$36,10)</f>
        <v>-2.9387386796526474E-39</v>
      </c>
      <c r="J446" s="62" t="str">
        <f>VLOOKUP($G446,Overall!$K$5:$T$36,6)</f>
        <v>10000000001000000000000000000010</v>
      </c>
      <c r="K446" s="8">
        <f t="shared" ca="1" si="54"/>
        <v>-1.0000008344649132</v>
      </c>
      <c r="L446" s="62">
        <f>VLOOKUP($B446,Overall!$B$5:$I$13,8)</f>
        <v>0</v>
      </c>
      <c r="M446" s="58"/>
      <c r="N446" s="3" t="str">
        <f t="shared" si="55"/>
        <v/>
      </c>
      <c r="O446" s="3" t="str">
        <f t="shared" si="56"/>
        <v/>
      </c>
      <c r="P446" s="3" t="str">
        <f t="shared" si="57"/>
        <v/>
      </c>
      <c r="Q446" s="3">
        <f t="shared" si="58"/>
        <v>0</v>
      </c>
      <c r="R446" s="3">
        <f t="shared" si="59"/>
        <v>0</v>
      </c>
      <c r="S446" s="3" t="e" cm="1">
        <f t="array" aca="1" ref="S446" ca="1">SUMPRODUCT(MID($P446,ROW(INDIRECT("1:23")),1)*2^(-ROW(INDIRECT("1:23"))))</f>
        <v>#VALUE!</v>
      </c>
      <c r="T446" s="3" t="e">
        <f t="shared" ca="1" si="60"/>
        <v>#VALUE!</v>
      </c>
      <c r="U446" s="3" t="e">
        <f t="shared" ca="1" si="61"/>
        <v>#VALUE!</v>
      </c>
      <c r="V446" s="73"/>
      <c r="W446" s="9" t="str">
        <f t="shared" si="62"/>
        <v>OK</v>
      </c>
    </row>
    <row r="447" spans="1:23" x14ac:dyDescent="0.3">
      <c r="A447" s="44">
        <v>444</v>
      </c>
      <c r="B447" s="14">
        <v>7</v>
      </c>
      <c r="C447" s="4">
        <v>22</v>
      </c>
      <c r="D447" s="3" t="str">
        <f>VLOOKUP($C447,Overall!$K$5:$T$36,2)</f>
        <v>Normal</v>
      </c>
      <c r="E447" s="3">
        <f ca="1">VLOOKUP($C447,Overall!$K$5:$T$36,10)</f>
        <v>3.4028232635611926E+38</v>
      </c>
      <c r="F447" s="9" t="str">
        <f>VLOOKUP($C447,Overall!$K$5:$T$36,6)</f>
        <v>01111111011111111111111111111110</v>
      </c>
      <c r="G447" s="8">
        <v>6</v>
      </c>
      <c r="H447" s="3" t="str">
        <f>VLOOKUP($G447,Overall!$K$5:$T$36,2)</f>
        <v>Underflow</v>
      </c>
      <c r="I447" s="3">
        <f ca="1">VLOOKUP($G447,Overall!$K$5:$T$36,10)</f>
        <v>-1.1754942106924411E-38</v>
      </c>
      <c r="J447" s="62" t="str">
        <f>VLOOKUP($G447,Overall!$K$5:$T$36,6)</f>
        <v>10000000011111111111111111111111</v>
      </c>
      <c r="K447" s="8">
        <f t="shared" ca="1" si="54"/>
        <v>-3.9999990463257404</v>
      </c>
      <c r="L447" s="62">
        <f>VLOOKUP($B447,Overall!$B$5:$I$13,8)</f>
        <v>0</v>
      </c>
      <c r="M447" s="58"/>
      <c r="N447" s="3" t="str">
        <f t="shared" si="55"/>
        <v/>
      </c>
      <c r="O447" s="3" t="str">
        <f t="shared" si="56"/>
        <v/>
      </c>
      <c r="P447" s="3" t="str">
        <f t="shared" si="57"/>
        <v/>
      </c>
      <c r="Q447" s="3">
        <f t="shared" si="58"/>
        <v>0</v>
      </c>
      <c r="R447" s="3">
        <f t="shared" si="59"/>
        <v>0</v>
      </c>
      <c r="S447" s="3" t="e" cm="1">
        <f t="array" aca="1" ref="S447" ca="1">SUMPRODUCT(MID($P447,ROW(INDIRECT("1:23")),1)*2^(-ROW(INDIRECT("1:23"))))</f>
        <v>#VALUE!</v>
      </c>
      <c r="T447" s="3" t="e">
        <f t="shared" ca="1" si="60"/>
        <v>#VALUE!</v>
      </c>
      <c r="U447" s="3" t="e">
        <f t="shared" ca="1" si="61"/>
        <v>#VALUE!</v>
      </c>
      <c r="V447" s="73"/>
      <c r="W447" s="9" t="str">
        <f t="shared" si="62"/>
        <v>OK</v>
      </c>
    </row>
    <row r="448" spans="1:23" x14ac:dyDescent="0.3">
      <c r="A448" s="44">
        <v>445</v>
      </c>
      <c r="B448" s="14">
        <v>7</v>
      </c>
      <c r="C448" s="4">
        <v>23</v>
      </c>
      <c r="D448" s="3" t="str">
        <f>VLOOKUP($C448,Overall!$K$5:$T$36,2)</f>
        <v>Normal</v>
      </c>
      <c r="E448" s="3">
        <f ca="1">VLOOKUP($C448,Overall!$K$5:$T$36,10)</f>
        <v>3.4028234663852886E+38</v>
      </c>
      <c r="F448" s="9" t="str">
        <f>VLOOKUP($C448,Overall!$K$5:$T$36,6)</f>
        <v>01111111011111111111111111111111</v>
      </c>
      <c r="G448" s="8">
        <v>1</v>
      </c>
      <c r="H448" s="3" t="str">
        <f>VLOOKUP($G448,Overall!$K$5:$T$36,2)</f>
        <v>Underflow</v>
      </c>
      <c r="I448" s="3">
        <f ca="1">VLOOKUP($G448,Overall!$K$5:$T$36,10)</f>
        <v>1.4012984643248171E-45</v>
      </c>
      <c r="J448" s="62" t="str">
        <f>VLOOKUP($G448,Overall!$K$5:$T$36,6)</f>
        <v>00000000000000000000000000000001</v>
      </c>
      <c r="K448" s="8">
        <f t="shared" ca="1" si="54"/>
        <v>4.7683712978141557E-7</v>
      </c>
      <c r="L448" s="62">
        <f>VLOOKUP($B448,Overall!$B$5:$I$13,8)</f>
        <v>0</v>
      </c>
      <c r="M448" s="58"/>
      <c r="N448" s="3" t="str">
        <f t="shared" si="55"/>
        <v/>
      </c>
      <c r="O448" s="3" t="str">
        <f t="shared" si="56"/>
        <v/>
      </c>
      <c r="P448" s="3" t="str">
        <f t="shared" si="57"/>
        <v/>
      </c>
      <c r="Q448" s="3">
        <f t="shared" si="58"/>
        <v>0</v>
      </c>
      <c r="R448" s="3">
        <f t="shared" si="59"/>
        <v>0</v>
      </c>
      <c r="S448" s="3" t="e" cm="1">
        <f t="array" aca="1" ref="S448" ca="1">SUMPRODUCT(MID($P448,ROW(INDIRECT("1:23")),1)*2^(-ROW(INDIRECT("1:23"))))</f>
        <v>#VALUE!</v>
      </c>
      <c r="T448" s="3" t="e">
        <f t="shared" ca="1" si="60"/>
        <v>#VALUE!</v>
      </c>
      <c r="U448" s="3" t="e">
        <f t="shared" ca="1" si="61"/>
        <v>#VALUE!</v>
      </c>
      <c r="V448" s="73"/>
      <c r="W448" s="9" t="str">
        <f t="shared" si="62"/>
        <v>OK</v>
      </c>
    </row>
    <row r="449" spans="1:23" x14ac:dyDescent="0.3">
      <c r="A449" s="44">
        <v>446</v>
      </c>
      <c r="B449" s="14">
        <v>7</v>
      </c>
      <c r="C449" s="4">
        <v>23</v>
      </c>
      <c r="D449" s="3" t="str">
        <f>VLOOKUP($C449,Overall!$K$5:$T$36,2)</f>
        <v>Normal</v>
      </c>
      <c r="E449" s="3">
        <f ca="1">VLOOKUP($C449,Overall!$K$5:$T$36,10)</f>
        <v>3.4028234663852886E+38</v>
      </c>
      <c r="F449" s="9" t="str">
        <f>VLOOKUP($C449,Overall!$K$5:$T$36,6)</f>
        <v>01111111011111111111111111111111</v>
      </c>
      <c r="G449" s="8">
        <v>2</v>
      </c>
      <c r="H449" s="3" t="str">
        <f>VLOOKUP($G449,Overall!$K$5:$T$36,2)</f>
        <v>Underflow</v>
      </c>
      <c r="I449" s="3">
        <f ca="1">VLOOKUP($G449,Overall!$K$5:$T$36,10)</f>
        <v>2.9387386796526474E-39</v>
      </c>
      <c r="J449" s="62" t="str">
        <f>VLOOKUP($G449,Overall!$K$5:$T$36,6)</f>
        <v>00000000001000000000000000000010</v>
      </c>
      <c r="K449" s="8">
        <f t="shared" ca="1" si="54"/>
        <v>1.0000008940696148</v>
      </c>
      <c r="L449" s="62">
        <f>VLOOKUP($B449,Overall!$B$5:$I$13,8)</f>
        <v>0</v>
      </c>
      <c r="M449" s="58"/>
      <c r="N449" s="3" t="str">
        <f t="shared" si="55"/>
        <v/>
      </c>
      <c r="O449" s="3" t="str">
        <f t="shared" si="56"/>
        <v/>
      </c>
      <c r="P449" s="3" t="str">
        <f t="shared" si="57"/>
        <v/>
      </c>
      <c r="Q449" s="3">
        <f t="shared" si="58"/>
        <v>0</v>
      </c>
      <c r="R449" s="3">
        <f t="shared" si="59"/>
        <v>0</v>
      </c>
      <c r="S449" s="3" t="e" cm="1">
        <f t="array" aca="1" ref="S449" ca="1">SUMPRODUCT(MID($P449,ROW(INDIRECT("1:23")),1)*2^(-ROW(INDIRECT("1:23"))))</f>
        <v>#VALUE!</v>
      </c>
      <c r="T449" s="3" t="e">
        <f t="shared" ca="1" si="60"/>
        <v>#VALUE!</v>
      </c>
      <c r="U449" s="3" t="e">
        <f t="shared" ca="1" si="61"/>
        <v>#VALUE!</v>
      </c>
      <c r="V449" s="73"/>
      <c r="W449" s="9" t="str">
        <f t="shared" si="62"/>
        <v>OK</v>
      </c>
    </row>
    <row r="450" spans="1:23" x14ac:dyDescent="0.3">
      <c r="A450" s="44">
        <v>447</v>
      </c>
      <c r="B450" s="14">
        <v>7</v>
      </c>
      <c r="C450" s="4">
        <v>23</v>
      </c>
      <c r="D450" s="3" t="str">
        <f>VLOOKUP($C450,Overall!$K$5:$T$36,2)</f>
        <v>Normal</v>
      </c>
      <c r="E450" s="3">
        <f ca="1">VLOOKUP($C450,Overall!$K$5:$T$36,10)</f>
        <v>3.4028234663852886E+38</v>
      </c>
      <c r="F450" s="9" t="str">
        <f>VLOOKUP($C450,Overall!$K$5:$T$36,6)</f>
        <v>01111111011111111111111111111111</v>
      </c>
      <c r="G450" s="8">
        <v>3</v>
      </c>
      <c r="H450" s="3" t="str">
        <f>VLOOKUP($G450,Overall!$K$5:$T$36,2)</f>
        <v>Underflow</v>
      </c>
      <c r="I450" s="3">
        <f ca="1">VLOOKUP($G450,Overall!$K$5:$T$36,10)</f>
        <v>1.1754942106924411E-38</v>
      </c>
      <c r="J450" s="62" t="str">
        <f>VLOOKUP($G450,Overall!$K$5:$T$36,6)</f>
        <v>00000000011111111111111111111111</v>
      </c>
      <c r="K450" s="8">
        <f t="shared" ca="1" si="54"/>
        <v>3.9999992847442911</v>
      </c>
      <c r="L450" s="62">
        <f>VLOOKUP($B450,Overall!$B$5:$I$13,8)</f>
        <v>0</v>
      </c>
      <c r="M450" s="58"/>
      <c r="N450" s="3" t="str">
        <f t="shared" si="55"/>
        <v/>
      </c>
      <c r="O450" s="3" t="str">
        <f t="shared" si="56"/>
        <v/>
      </c>
      <c r="P450" s="3" t="str">
        <f t="shared" si="57"/>
        <v/>
      </c>
      <c r="Q450" s="3">
        <f t="shared" si="58"/>
        <v>0</v>
      </c>
      <c r="R450" s="3">
        <f t="shared" si="59"/>
        <v>0</v>
      </c>
      <c r="S450" s="3" t="e" cm="1">
        <f t="array" aca="1" ref="S450" ca="1">SUMPRODUCT(MID($P450,ROW(INDIRECT("1:23")),1)*2^(-ROW(INDIRECT("1:23"))))</f>
        <v>#VALUE!</v>
      </c>
      <c r="T450" s="3" t="e">
        <f t="shared" ca="1" si="60"/>
        <v>#VALUE!</v>
      </c>
      <c r="U450" s="3" t="e">
        <f t="shared" ca="1" si="61"/>
        <v>#VALUE!</v>
      </c>
      <c r="V450" s="73"/>
      <c r="W450" s="9" t="str">
        <f t="shared" si="62"/>
        <v>OK</v>
      </c>
    </row>
    <row r="451" spans="1:23" x14ac:dyDescent="0.3">
      <c r="A451" s="44">
        <v>448</v>
      </c>
      <c r="B451" s="14">
        <v>7</v>
      </c>
      <c r="C451" s="4">
        <v>23</v>
      </c>
      <c r="D451" s="3" t="str">
        <f>VLOOKUP($C451,Overall!$K$5:$T$36,2)</f>
        <v>Normal</v>
      </c>
      <c r="E451" s="3">
        <f ca="1">VLOOKUP($C451,Overall!$K$5:$T$36,10)</f>
        <v>3.4028234663852886E+38</v>
      </c>
      <c r="F451" s="9" t="str">
        <f>VLOOKUP($C451,Overall!$K$5:$T$36,6)</f>
        <v>01111111011111111111111111111111</v>
      </c>
      <c r="G451" s="8">
        <v>4</v>
      </c>
      <c r="H451" s="3" t="str">
        <f>VLOOKUP($G451,Overall!$K$5:$T$36,2)</f>
        <v>Underflow</v>
      </c>
      <c r="I451" s="3">
        <f ca="1">VLOOKUP($G451,Overall!$K$5:$T$36,10)</f>
        <v>-1.4012984643248171E-45</v>
      </c>
      <c r="J451" s="62" t="str">
        <f>VLOOKUP($G451,Overall!$K$5:$T$36,6)</f>
        <v>10000000000000000000000000000001</v>
      </c>
      <c r="K451" s="8">
        <f t="shared" ca="1" si="54"/>
        <v>-4.7683712978141557E-7</v>
      </c>
      <c r="L451" s="62">
        <f>VLOOKUP($B451,Overall!$B$5:$I$13,8)</f>
        <v>0</v>
      </c>
      <c r="M451" s="58"/>
      <c r="N451" s="3" t="str">
        <f t="shared" si="55"/>
        <v/>
      </c>
      <c r="O451" s="3" t="str">
        <f t="shared" si="56"/>
        <v/>
      </c>
      <c r="P451" s="3" t="str">
        <f t="shared" si="57"/>
        <v/>
      </c>
      <c r="Q451" s="3">
        <f t="shared" si="58"/>
        <v>0</v>
      </c>
      <c r="R451" s="3">
        <f t="shared" si="59"/>
        <v>0</v>
      </c>
      <c r="S451" s="3" t="e" cm="1">
        <f t="array" aca="1" ref="S451" ca="1">SUMPRODUCT(MID($P451,ROW(INDIRECT("1:23")),1)*2^(-ROW(INDIRECT("1:23"))))</f>
        <v>#VALUE!</v>
      </c>
      <c r="T451" s="3" t="e">
        <f t="shared" ca="1" si="60"/>
        <v>#VALUE!</v>
      </c>
      <c r="U451" s="3" t="e">
        <f t="shared" ca="1" si="61"/>
        <v>#VALUE!</v>
      </c>
      <c r="V451" s="73"/>
      <c r="W451" s="9" t="str">
        <f t="shared" si="62"/>
        <v>OK</v>
      </c>
    </row>
    <row r="452" spans="1:23" x14ac:dyDescent="0.3">
      <c r="A452" s="44">
        <v>449</v>
      </c>
      <c r="B452" s="14">
        <v>7</v>
      </c>
      <c r="C452" s="4">
        <v>23</v>
      </c>
      <c r="D452" s="3" t="str">
        <f>VLOOKUP($C452,Overall!$K$5:$T$36,2)</f>
        <v>Normal</v>
      </c>
      <c r="E452" s="3">
        <f ca="1">VLOOKUP($C452,Overall!$K$5:$T$36,10)</f>
        <v>3.4028234663852886E+38</v>
      </c>
      <c r="F452" s="9" t="str">
        <f>VLOOKUP($C452,Overall!$K$5:$T$36,6)</f>
        <v>01111111011111111111111111111111</v>
      </c>
      <c r="G452" s="8">
        <v>5</v>
      </c>
      <c r="H452" s="3" t="str">
        <f>VLOOKUP($G452,Overall!$K$5:$T$36,2)</f>
        <v>Underflow</v>
      </c>
      <c r="I452" s="3">
        <f ca="1">VLOOKUP($G452,Overall!$K$5:$T$36,10)</f>
        <v>-2.9387386796526474E-39</v>
      </c>
      <c r="J452" s="62" t="str">
        <f>VLOOKUP($G452,Overall!$K$5:$T$36,6)</f>
        <v>10000000001000000000000000000010</v>
      </c>
      <c r="K452" s="8">
        <f t="shared" ca="1" si="54"/>
        <v>-1.0000008940696148</v>
      </c>
      <c r="L452" s="62">
        <f>VLOOKUP($B452,Overall!$B$5:$I$13,8)</f>
        <v>0</v>
      </c>
      <c r="M452" s="58"/>
      <c r="N452" s="3" t="str">
        <f t="shared" si="55"/>
        <v/>
      </c>
      <c r="O452" s="3" t="str">
        <f t="shared" si="56"/>
        <v/>
      </c>
      <c r="P452" s="3" t="str">
        <f t="shared" si="57"/>
        <v/>
      </c>
      <c r="Q452" s="3">
        <f t="shared" si="58"/>
        <v>0</v>
      </c>
      <c r="R452" s="3">
        <f t="shared" si="59"/>
        <v>0</v>
      </c>
      <c r="S452" s="3" t="e" cm="1">
        <f t="array" aca="1" ref="S452" ca="1">SUMPRODUCT(MID($P452,ROW(INDIRECT("1:23")),1)*2^(-ROW(INDIRECT("1:23"))))</f>
        <v>#VALUE!</v>
      </c>
      <c r="T452" s="3" t="e">
        <f t="shared" ca="1" si="60"/>
        <v>#VALUE!</v>
      </c>
      <c r="U452" s="3" t="e">
        <f t="shared" ca="1" si="61"/>
        <v>#VALUE!</v>
      </c>
      <c r="V452" s="73"/>
      <c r="W452" s="9" t="str">
        <f t="shared" si="62"/>
        <v>OK</v>
      </c>
    </row>
    <row r="453" spans="1:23" x14ac:dyDescent="0.3">
      <c r="A453" s="44">
        <v>450</v>
      </c>
      <c r="B453" s="14">
        <v>7</v>
      </c>
      <c r="C453" s="4">
        <v>23</v>
      </c>
      <c r="D453" s="3" t="str">
        <f>VLOOKUP($C453,Overall!$K$5:$T$36,2)</f>
        <v>Normal</v>
      </c>
      <c r="E453" s="3">
        <f ca="1">VLOOKUP($C453,Overall!$K$5:$T$36,10)</f>
        <v>3.4028234663852886E+38</v>
      </c>
      <c r="F453" s="9" t="str">
        <f>VLOOKUP($C453,Overall!$K$5:$T$36,6)</f>
        <v>01111111011111111111111111111111</v>
      </c>
      <c r="G453" s="8">
        <v>6</v>
      </c>
      <c r="H453" s="3" t="str">
        <f>VLOOKUP($G453,Overall!$K$5:$T$36,2)</f>
        <v>Underflow</v>
      </c>
      <c r="I453" s="3">
        <f ca="1">VLOOKUP($G453,Overall!$K$5:$T$36,10)</f>
        <v>-1.1754942106924411E-38</v>
      </c>
      <c r="J453" s="62" t="str">
        <f>VLOOKUP($G453,Overall!$K$5:$T$36,6)</f>
        <v>10000000011111111111111111111111</v>
      </c>
      <c r="K453" s="8">
        <f t="shared" ref="K453:K516" ca="1" si="63">E453*I453</f>
        <v>-3.9999992847442911</v>
      </c>
      <c r="L453" s="62">
        <f>VLOOKUP($B453,Overall!$B$5:$I$13,8)</f>
        <v>0</v>
      </c>
      <c r="M453" s="58"/>
      <c r="N453" s="3" t="str">
        <f t="shared" ref="N453:N516" si="64">LEFT($M453,1)</f>
        <v/>
      </c>
      <c r="O453" s="3" t="str">
        <f t="shared" ref="O453:O516" si="65">MID($M453,2,8)</f>
        <v/>
      </c>
      <c r="P453" s="3" t="str">
        <f t="shared" ref="P453:P516" si="66">MID($M453,10,23)</f>
        <v/>
      </c>
      <c r="Q453" s="3">
        <f t="shared" ref="Q453:Q516" si="67">BIN2DEC($N453)</f>
        <v>0</v>
      </c>
      <c r="R453" s="3">
        <f t="shared" ref="R453:R516" si="68">BIN2DEC($O453)</f>
        <v>0</v>
      </c>
      <c r="S453" s="3" t="e" cm="1">
        <f t="array" aca="1" ref="S453" ca="1">SUMPRODUCT(MID($P453,ROW(INDIRECT("1:23")),1)*2^(-ROW(INDIRECT("1:23"))))</f>
        <v>#VALUE!</v>
      </c>
      <c r="T453" s="3" t="e">
        <f t="shared" ref="T453:T516" ca="1" si="69">IF($R453=0,
   (-1)^$Q453 * $S453 * 2^(-126),
   (-1)^$Q453 * (1 + $S453) * 2^($R453 - 127)
)</f>
        <v>#VALUE!</v>
      </c>
      <c r="U453" s="3" t="e">
        <f t="shared" ref="U453:U516" ca="1" si="70">$T453-$K453</f>
        <v>#VALUE!</v>
      </c>
      <c r="V453" s="73"/>
      <c r="W453" s="9" t="str">
        <f t="shared" ref="W453:W516" si="71">IF(L453=V453,"OK","NG")</f>
        <v>OK</v>
      </c>
    </row>
    <row r="454" spans="1:23" x14ac:dyDescent="0.3">
      <c r="A454" s="44">
        <v>451</v>
      </c>
      <c r="B454" s="14">
        <v>7</v>
      </c>
      <c r="C454" s="4">
        <v>24</v>
      </c>
      <c r="D454" s="3" t="str">
        <f>VLOOKUP($C454,Overall!$K$5:$T$36,2)</f>
        <v>Normal</v>
      </c>
      <c r="E454" s="3">
        <f ca="1">VLOOKUP($C454,Overall!$K$5:$T$36,10)</f>
        <v>-1.1754943508222875E-38</v>
      </c>
      <c r="F454" s="9" t="str">
        <f>VLOOKUP($C454,Overall!$K$5:$T$36,6)</f>
        <v>10000000100000000000000000000000</v>
      </c>
      <c r="G454" s="8">
        <v>1</v>
      </c>
      <c r="H454" s="3" t="str">
        <f>VLOOKUP($G454,Overall!$K$5:$T$36,2)</f>
        <v>Underflow</v>
      </c>
      <c r="I454" s="3">
        <f ca="1">VLOOKUP($G454,Overall!$K$5:$T$36,10)</f>
        <v>1.4012984643248171E-45</v>
      </c>
      <c r="J454" s="62" t="str">
        <f>VLOOKUP($G454,Overall!$K$5:$T$36,6)</f>
        <v>00000000000000000000000000000001</v>
      </c>
      <c r="K454" s="8">
        <f t="shared" ca="1" si="63"/>
        <v>-1.6472184286297693E-83</v>
      </c>
      <c r="L454" s="62">
        <f>VLOOKUP($B454,Overall!$B$5:$I$13,8)</f>
        <v>0</v>
      </c>
      <c r="M454" s="58"/>
      <c r="N454" s="3" t="str">
        <f t="shared" si="64"/>
        <v/>
      </c>
      <c r="O454" s="3" t="str">
        <f t="shared" si="65"/>
        <v/>
      </c>
      <c r="P454" s="3" t="str">
        <f t="shared" si="66"/>
        <v/>
      </c>
      <c r="Q454" s="3">
        <f t="shared" si="67"/>
        <v>0</v>
      </c>
      <c r="R454" s="3">
        <f t="shared" si="68"/>
        <v>0</v>
      </c>
      <c r="S454" s="3" t="e" cm="1">
        <f t="array" aca="1" ref="S454" ca="1">SUMPRODUCT(MID($P454,ROW(INDIRECT("1:23")),1)*2^(-ROW(INDIRECT("1:23"))))</f>
        <v>#VALUE!</v>
      </c>
      <c r="T454" s="3" t="e">
        <f t="shared" ca="1" si="69"/>
        <v>#VALUE!</v>
      </c>
      <c r="U454" s="3" t="e">
        <f t="shared" ca="1" si="70"/>
        <v>#VALUE!</v>
      </c>
      <c r="V454" s="73"/>
      <c r="W454" s="9" t="str">
        <f t="shared" si="71"/>
        <v>OK</v>
      </c>
    </row>
    <row r="455" spans="1:23" x14ac:dyDescent="0.3">
      <c r="A455" s="44">
        <v>452</v>
      </c>
      <c r="B455" s="14">
        <v>7</v>
      </c>
      <c r="C455" s="4">
        <v>24</v>
      </c>
      <c r="D455" s="3" t="str">
        <f>VLOOKUP($C455,Overall!$K$5:$T$36,2)</f>
        <v>Normal</v>
      </c>
      <c r="E455" s="3">
        <f ca="1">VLOOKUP($C455,Overall!$K$5:$T$36,10)</f>
        <v>-1.1754943508222875E-38</v>
      </c>
      <c r="F455" s="9" t="str">
        <f>VLOOKUP($C455,Overall!$K$5:$T$36,6)</f>
        <v>10000000100000000000000000000000</v>
      </c>
      <c r="G455" s="8">
        <v>2</v>
      </c>
      <c r="H455" s="3" t="str">
        <f>VLOOKUP($G455,Overall!$K$5:$T$36,2)</f>
        <v>Underflow</v>
      </c>
      <c r="I455" s="3">
        <f ca="1">VLOOKUP($G455,Overall!$K$5:$T$36,10)</f>
        <v>2.9387386796526474E-39</v>
      </c>
      <c r="J455" s="62" t="str">
        <f>VLOOKUP($G455,Overall!$K$5:$T$36,6)</f>
        <v>00000000001000000000000000000010</v>
      </c>
      <c r="K455" s="8">
        <f t="shared" ca="1" si="63"/>
        <v>-3.4544707164746351E-77</v>
      </c>
      <c r="L455" s="62">
        <f>VLOOKUP($B455,Overall!$B$5:$I$13,8)</f>
        <v>0</v>
      </c>
      <c r="M455" s="58"/>
      <c r="N455" s="3" t="str">
        <f t="shared" si="64"/>
        <v/>
      </c>
      <c r="O455" s="3" t="str">
        <f t="shared" si="65"/>
        <v/>
      </c>
      <c r="P455" s="3" t="str">
        <f t="shared" si="66"/>
        <v/>
      </c>
      <c r="Q455" s="3">
        <f t="shared" si="67"/>
        <v>0</v>
      </c>
      <c r="R455" s="3">
        <f t="shared" si="68"/>
        <v>0</v>
      </c>
      <c r="S455" s="3" t="e" cm="1">
        <f t="array" aca="1" ref="S455" ca="1">SUMPRODUCT(MID($P455,ROW(INDIRECT("1:23")),1)*2^(-ROW(INDIRECT("1:23"))))</f>
        <v>#VALUE!</v>
      </c>
      <c r="T455" s="3" t="e">
        <f t="shared" ca="1" si="69"/>
        <v>#VALUE!</v>
      </c>
      <c r="U455" s="3" t="e">
        <f t="shared" ca="1" si="70"/>
        <v>#VALUE!</v>
      </c>
      <c r="V455" s="73"/>
      <c r="W455" s="9" t="str">
        <f t="shared" si="71"/>
        <v>OK</v>
      </c>
    </row>
    <row r="456" spans="1:23" x14ac:dyDescent="0.3">
      <c r="A456" s="44">
        <v>453</v>
      </c>
      <c r="B456" s="14">
        <v>7</v>
      </c>
      <c r="C456" s="4">
        <v>24</v>
      </c>
      <c r="D456" s="3" t="str">
        <f>VLOOKUP($C456,Overall!$K$5:$T$36,2)</f>
        <v>Normal</v>
      </c>
      <c r="E456" s="3">
        <f ca="1">VLOOKUP($C456,Overall!$K$5:$T$36,10)</f>
        <v>-1.1754943508222875E-38</v>
      </c>
      <c r="F456" s="9" t="str">
        <f>VLOOKUP($C456,Overall!$K$5:$T$36,6)</f>
        <v>10000000100000000000000000000000</v>
      </c>
      <c r="G456" s="8">
        <v>3</v>
      </c>
      <c r="H456" s="3" t="str">
        <f>VLOOKUP($G456,Overall!$K$5:$T$36,2)</f>
        <v>Underflow</v>
      </c>
      <c r="I456" s="3">
        <f ca="1">VLOOKUP($G456,Overall!$K$5:$T$36,10)</f>
        <v>1.1754942106924411E-38</v>
      </c>
      <c r="J456" s="62" t="str">
        <f>VLOOKUP($G456,Overall!$K$5:$T$36,6)</f>
        <v>00000000011111111111111111111111</v>
      </c>
      <c r="K456" s="8">
        <f t="shared" ca="1" si="63"/>
        <v>-1.3817868040932683E-76</v>
      </c>
      <c r="L456" s="62">
        <f>VLOOKUP($B456,Overall!$B$5:$I$13,8)</f>
        <v>0</v>
      </c>
      <c r="M456" s="58"/>
      <c r="N456" s="3" t="str">
        <f t="shared" si="64"/>
        <v/>
      </c>
      <c r="O456" s="3" t="str">
        <f t="shared" si="65"/>
        <v/>
      </c>
      <c r="P456" s="3" t="str">
        <f t="shared" si="66"/>
        <v/>
      </c>
      <c r="Q456" s="3">
        <f t="shared" si="67"/>
        <v>0</v>
      </c>
      <c r="R456" s="3">
        <f t="shared" si="68"/>
        <v>0</v>
      </c>
      <c r="S456" s="3" t="e" cm="1">
        <f t="array" aca="1" ref="S456" ca="1">SUMPRODUCT(MID($P456,ROW(INDIRECT("1:23")),1)*2^(-ROW(INDIRECT("1:23"))))</f>
        <v>#VALUE!</v>
      </c>
      <c r="T456" s="3" t="e">
        <f t="shared" ca="1" si="69"/>
        <v>#VALUE!</v>
      </c>
      <c r="U456" s="3" t="e">
        <f t="shared" ca="1" si="70"/>
        <v>#VALUE!</v>
      </c>
      <c r="V456" s="73"/>
      <c r="W456" s="9" t="str">
        <f t="shared" si="71"/>
        <v>OK</v>
      </c>
    </row>
    <row r="457" spans="1:23" x14ac:dyDescent="0.3">
      <c r="A457" s="44">
        <v>454</v>
      </c>
      <c r="B457" s="14">
        <v>7</v>
      </c>
      <c r="C457" s="4">
        <v>24</v>
      </c>
      <c r="D457" s="3" t="str">
        <f>VLOOKUP($C457,Overall!$K$5:$T$36,2)</f>
        <v>Normal</v>
      </c>
      <c r="E457" s="3">
        <f ca="1">VLOOKUP($C457,Overall!$K$5:$T$36,10)</f>
        <v>-1.1754943508222875E-38</v>
      </c>
      <c r="F457" s="9" t="str">
        <f>VLOOKUP($C457,Overall!$K$5:$T$36,6)</f>
        <v>10000000100000000000000000000000</v>
      </c>
      <c r="G457" s="8">
        <v>4</v>
      </c>
      <c r="H457" s="3" t="str">
        <f>VLOOKUP($G457,Overall!$K$5:$T$36,2)</f>
        <v>Underflow</v>
      </c>
      <c r="I457" s="3">
        <f ca="1">VLOOKUP($G457,Overall!$K$5:$T$36,10)</f>
        <v>-1.4012984643248171E-45</v>
      </c>
      <c r="J457" s="62" t="str">
        <f>VLOOKUP($G457,Overall!$K$5:$T$36,6)</f>
        <v>10000000000000000000000000000001</v>
      </c>
      <c r="K457" s="8">
        <f t="shared" ca="1" si="63"/>
        <v>1.6472184286297693E-83</v>
      </c>
      <c r="L457" s="62">
        <f>VLOOKUP($B457,Overall!$B$5:$I$13,8)</f>
        <v>0</v>
      </c>
      <c r="M457" s="58"/>
      <c r="N457" s="3" t="str">
        <f t="shared" si="64"/>
        <v/>
      </c>
      <c r="O457" s="3" t="str">
        <f t="shared" si="65"/>
        <v/>
      </c>
      <c r="P457" s="3" t="str">
        <f t="shared" si="66"/>
        <v/>
      </c>
      <c r="Q457" s="3">
        <f t="shared" si="67"/>
        <v>0</v>
      </c>
      <c r="R457" s="3">
        <f t="shared" si="68"/>
        <v>0</v>
      </c>
      <c r="S457" s="3" t="e" cm="1">
        <f t="array" aca="1" ref="S457" ca="1">SUMPRODUCT(MID($P457,ROW(INDIRECT("1:23")),1)*2^(-ROW(INDIRECT("1:23"))))</f>
        <v>#VALUE!</v>
      </c>
      <c r="T457" s="3" t="e">
        <f t="shared" ca="1" si="69"/>
        <v>#VALUE!</v>
      </c>
      <c r="U457" s="3" t="e">
        <f t="shared" ca="1" si="70"/>
        <v>#VALUE!</v>
      </c>
      <c r="V457" s="73"/>
      <c r="W457" s="9" t="str">
        <f t="shared" si="71"/>
        <v>OK</v>
      </c>
    </row>
    <row r="458" spans="1:23" x14ac:dyDescent="0.3">
      <c r="A458" s="44">
        <v>455</v>
      </c>
      <c r="B458" s="14">
        <v>7</v>
      </c>
      <c r="C458" s="4">
        <v>24</v>
      </c>
      <c r="D458" s="3" t="str">
        <f>VLOOKUP($C458,Overall!$K$5:$T$36,2)</f>
        <v>Normal</v>
      </c>
      <c r="E458" s="3">
        <f ca="1">VLOOKUP($C458,Overall!$K$5:$T$36,10)</f>
        <v>-1.1754943508222875E-38</v>
      </c>
      <c r="F458" s="9" t="str">
        <f>VLOOKUP($C458,Overall!$K$5:$T$36,6)</f>
        <v>10000000100000000000000000000000</v>
      </c>
      <c r="G458" s="8">
        <v>5</v>
      </c>
      <c r="H458" s="3" t="str">
        <f>VLOOKUP($G458,Overall!$K$5:$T$36,2)</f>
        <v>Underflow</v>
      </c>
      <c r="I458" s="3">
        <f ca="1">VLOOKUP($G458,Overall!$K$5:$T$36,10)</f>
        <v>-2.9387386796526474E-39</v>
      </c>
      <c r="J458" s="62" t="str">
        <f>VLOOKUP($G458,Overall!$K$5:$T$36,6)</f>
        <v>10000000001000000000000000000010</v>
      </c>
      <c r="K458" s="8">
        <f t="shared" ca="1" si="63"/>
        <v>3.4544707164746351E-77</v>
      </c>
      <c r="L458" s="62">
        <f>VLOOKUP($B458,Overall!$B$5:$I$13,8)</f>
        <v>0</v>
      </c>
      <c r="M458" s="58"/>
      <c r="N458" s="3" t="str">
        <f t="shared" si="64"/>
        <v/>
      </c>
      <c r="O458" s="3" t="str">
        <f t="shared" si="65"/>
        <v/>
      </c>
      <c r="P458" s="3" t="str">
        <f t="shared" si="66"/>
        <v/>
      </c>
      <c r="Q458" s="3">
        <f t="shared" si="67"/>
        <v>0</v>
      </c>
      <c r="R458" s="3">
        <f t="shared" si="68"/>
        <v>0</v>
      </c>
      <c r="S458" s="3" t="e" cm="1">
        <f t="array" aca="1" ref="S458" ca="1">SUMPRODUCT(MID($P458,ROW(INDIRECT("1:23")),1)*2^(-ROW(INDIRECT("1:23"))))</f>
        <v>#VALUE!</v>
      </c>
      <c r="T458" s="3" t="e">
        <f t="shared" ca="1" si="69"/>
        <v>#VALUE!</v>
      </c>
      <c r="U458" s="3" t="e">
        <f t="shared" ca="1" si="70"/>
        <v>#VALUE!</v>
      </c>
      <c r="V458" s="73"/>
      <c r="W458" s="9" t="str">
        <f t="shared" si="71"/>
        <v>OK</v>
      </c>
    </row>
    <row r="459" spans="1:23" x14ac:dyDescent="0.3">
      <c r="A459" s="44">
        <v>456</v>
      </c>
      <c r="B459" s="14">
        <v>7</v>
      </c>
      <c r="C459" s="4">
        <v>24</v>
      </c>
      <c r="D459" s="3" t="str">
        <f>VLOOKUP($C459,Overall!$K$5:$T$36,2)</f>
        <v>Normal</v>
      </c>
      <c r="E459" s="3">
        <f ca="1">VLOOKUP($C459,Overall!$K$5:$T$36,10)</f>
        <v>-1.1754943508222875E-38</v>
      </c>
      <c r="F459" s="9" t="str">
        <f>VLOOKUP($C459,Overall!$K$5:$T$36,6)</f>
        <v>10000000100000000000000000000000</v>
      </c>
      <c r="G459" s="8">
        <v>6</v>
      </c>
      <c r="H459" s="3" t="str">
        <f>VLOOKUP($G459,Overall!$K$5:$T$36,2)</f>
        <v>Underflow</v>
      </c>
      <c r="I459" s="3">
        <f ca="1">VLOOKUP($G459,Overall!$K$5:$T$36,10)</f>
        <v>-1.1754942106924411E-38</v>
      </c>
      <c r="J459" s="62" t="str">
        <f>VLOOKUP($G459,Overall!$K$5:$T$36,6)</f>
        <v>10000000011111111111111111111111</v>
      </c>
      <c r="K459" s="8">
        <f t="shared" ca="1" si="63"/>
        <v>1.3817868040932683E-76</v>
      </c>
      <c r="L459" s="62">
        <f>VLOOKUP($B459,Overall!$B$5:$I$13,8)</f>
        <v>0</v>
      </c>
      <c r="M459" s="58"/>
      <c r="N459" s="3" t="str">
        <f t="shared" si="64"/>
        <v/>
      </c>
      <c r="O459" s="3" t="str">
        <f t="shared" si="65"/>
        <v/>
      </c>
      <c r="P459" s="3" t="str">
        <f t="shared" si="66"/>
        <v/>
      </c>
      <c r="Q459" s="3">
        <f t="shared" si="67"/>
        <v>0</v>
      </c>
      <c r="R459" s="3">
        <f t="shared" si="68"/>
        <v>0</v>
      </c>
      <c r="S459" s="3" t="e" cm="1">
        <f t="array" aca="1" ref="S459" ca="1">SUMPRODUCT(MID($P459,ROW(INDIRECT("1:23")),1)*2^(-ROW(INDIRECT("1:23"))))</f>
        <v>#VALUE!</v>
      </c>
      <c r="T459" s="3" t="e">
        <f t="shared" ca="1" si="69"/>
        <v>#VALUE!</v>
      </c>
      <c r="U459" s="3" t="e">
        <f t="shared" ca="1" si="70"/>
        <v>#VALUE!</v>
      </c>
      <c r="V459" s="73"/>
      <c r="W459" s="9" t="str">
        <f t="shared" si="71"/>
        <v>OK</v>
      </c>
    </row>
    <row r="460" spans="1:23" x14ac:dyDescent="0.3">
      <c r="A460" s="44">
        <v>457</v>
      </c>
      <c r="B460" s="14">
        <v>7</v>
      </c>
      <c r="C460" s="4">
        <v>25</v>
      </c>
      <c r="D460" s="3" t="str">
        <f>VLOOKUP($C460,Overall!$K$5:$T$36,2)</f>
        <v>Normal</v>
      </c>
      <c r="E460" s="3">
        <f ca="1">VLOOKUP($C460,Overall!$K$5:$T$36,10)</f>
        <v>-1.1754944909521339E-38</v>
      </c>
      <c r="F460" s="9" t="str">
        <f>VLOOKUP($C460,Overall!$K$5:$T$36,6)</f>
        <v>10000000100000000000000000000001</v>
      </c>
      <c r="G460" s="8">
        <v>1</v>
      </c>
      <c r="H460" s="3" t="str">
        <f>VLOOKUP($G460,Overall!$K$5:$T$36,2)</f>
        <v>Underflow</v>
      </c>
      <c r="I460" s="3">
        <f ca="1">VLOOKUP($G460,Overall!$K$5:$T$36,10)</f>
        <v>1.4012984643248171E-45</v>
      </c>
      <c r="J460" s="62" t="str">
        <f>VLOOKUP($G460,Overall!$K$5:$T$36,6)</f>
        <v>00000000000000000000000000000001</v>
      </c>
      <c r="K460" s="8">
        <f t="shared" ca="1" si="63"/>
        <v>-1.6472186249935079E-83</v>
      </c>
      <c r="L460" s="62">
        <f>VLOOKUP($B460,Overall!$B$5:$I$13,8)</f>
        <v>0</v>
      </c>
      <c r="M460" s="58"/>
      <c r="N460" s="3" t="str">
        <f t="shared" si="64"/>
        <v/>
      </c>
      <c r="O460" s="3" t="str">
        <f t="shared" si="65"/>
        <v/>
      </c>
      <c r="P460" s="3" t="str">
        <f t="shared" si="66"/>
        <v/>
      </c>
      <c r="Q460" s="3">
        <f t="shared" si="67"/>
        <v>0</v>
      </c>
      <c r="R460" s="3">
        <f t="shared" si="68"/>
        <v>0</v>
      </c>
      <c r="S460" s="3" t="e" cm="1">
        <f t="array" aca="1" ref="S460" ca="1">SUMPRODUCT(MID($P460,ROW(INDIRECT("1:23")),1)*2^(-ROW(INDIRECT("1:23"))))</f>
        <v>#VALUE!</v>
      </c>
      <c r="T460" s="3" t="e">
        <f t="shared" ca="1" si="69"/>
        <v>#VALUE!</v>
      </c>
      <c r="U460" s="3" t="e">
        <f t="shared" ca="1" si="70"/>
        <v>#VALUE!</v>
      </c>
      <c r="V460" s="73"/>
      <c r="W460" s="9" t="str">
        <f t="shared" si="71"/>
        <v>OK</v>
      </c>
    </row>
    <row r="461" spans="1:23" x14ac:dyDescent="0.3">
      <c r="A461" s="44">
        <v>458</v>
      </c>
      <c r="B461" s="14">
        <v>7</v>
      </c>
      <c r="C461" s="4">
        <v>25</v>
      </c>
      <c r="D461" s="3" t="str">
        <f>VLOOKUP($C461,Overall!$K$5:$T$36,2)</f>
        <v>Normal</v>
      </c>
      <c r="E461" s="3">
        <f ca="1">VLOOKUP($C461,Overall!$K$5:$T$36,10)</f>
        <v>-1.1754944909521339E-38</v>
      </c>
      <c r="F461" s="9" t="str">
        <f>VLOOKUP($C461,Overall!$K$5:$T$36,6)</f>
        <v>10000000100000000000000000000001</v>
      </c>
      <c r="G461" s="8">
        <v>2</v>
      </c>
      <c r="H461" s="3" t="str">
        <f>VLOOKUP($G461,Overall!$K$5:$T$36,2)</f>
        <v>Underflow</v>
      </c>
      <c r="I461" s="3">
        <f ca="1">VLOOKUP($G461,Overall!$K$5:$T$36,10)</f>
        <v>2.9387386796526474E-39</v>
      </c>
      <c r="J461" s="62" t="str">
        <f>VLOOKUP($G461,Overall!$K$5:$T$36,6)</f>
        <v>00000000001000000000000000000010</v>
      </c>
      <c r="K461" s="8">
        <f t="shared" ca="1" si="63"/>
        <v>-3.454471128279635E-77</v>
      </c>
      <c r="L461" s="62">
        <f>VLOOKUP($B461,Overall!$B$5:$I$13,8)</f>
        <v>0</v>
      </c>
      <c r="M461" s="58"/>
      <c r="N461" s="3" t="str">
        <f t="shared" si="64"/>
        <v/>
      </c>
      <c r="O461" s="3" t="str">
        <f t="shared" si="65"/>
        <v/>
      </c>
      <c r="P461" s="3" t="str">
        <f t="shared" si="66"/>
        <v/>
      </c>
      <c r="Q461" s="3">
        <f t="shared" si="67"/>
        <v>0</v>
      </c>
      <c r="R461" s="3">
        <f t="shared" si="68"/>
        <v>0</v>
      </c>
      <c r="S461" s="3" t="e" cm="1">
        <f t="array" aca="1" ref="S461" ca="1">SUMPRODUCT(MID($P461,ROW(INDIRECT("1:23")),1)*2^(-ROW(INDIRECT("1:23"))))</f>
        <v>#VALUE!</v>
      </c>
      <c r="T461" s="3" t="e">
        <f t="shared" ca="1" si="69"/>
        <v>#VALUE!</v>
      </c>
      <c r="U461" s="3" t="e">
        <f t="shared" ca="1" si="70"/>
        <v>#VALUE!</v>
      </c>
      <c r="V461" s="73"/>
      <c r="W461" s="9" t="str">
        <f t="shared" si="71"/>
        <v>OK</v>
      </c>
    </row>
    <row r="462" spans="1:23" x14ac:dyDescent="0.3">
      <c r="A462" s="44">
        <v>459</v>
      </c>
      <c r="B462" s="14">
        <v>7</v>
      </c>
      <c r="C462" s="4">
        <v>25</v>
      </c>
      <c r="D462" s="3" t="str">
        <f>VLOOKUP($C462,Overall!$K$5:$T$36,2)</f>
        <v>Normal</v>
      </c>
      <c r="E462" s="3">
        <f ca="1">VLOOKUP($C462,Overall!$K$5:$T$36,10)</f>
        <v>-1.1754944909521339E-38</v>
      </c>
      <c r="F462" s="9" t="str">
        <f>VLOOKUP($C462,Overall!$K$5:$T$36,6)</f>
        <v>10000000100000000000000000000001</v>
      </c>
      <c r="G462" s="8">
        <v>3</v>
      </c>
      <c r="H462" s="3" t="str">
        <f>VLOOKUP($G462,Overall!$K$5:$T$36,2)</f>
        <v>Underflow</v>
      </c>
      <c r="I462" s="3">
        <f ca="1">VLOOKUP($G462,Overall!$K$5:$T$36,10)</f>
        <v>1.1754942106924411E-38</v>
      </c>
      <c r="J462" s="62" t="str">
        <f>VLOOKUP($G462,Overall!$K$5:$T$36,6)</f>
        <v>00000000011111111111111111111111</v>
      </c>
      <c r="K462" s="8">
        <f t="shared" ca="1" si="63"/>
        <v>-1.3817869688150915E-76</v>
      </c>
      <c r="L462" s="62">
        <f>VLOOKUP($B462,Overall!$B$5:$I$13,8)</f>
        <v>0</v>
      </c>
      <c r="M462" s="58"/>
      <c r="N462" s="3" t="str">
        <f t="shared" si="64"/>
        <v/>
      </c>
      <c r="O462" s="3" t="str">
        <f t="shared" si="65"/>
        <v/>
      </c>
      <c r="P462" s="3" t="str">
        <f t="shared" si="66"/>
        <v/>
      </c>
      <c r="Q462" s="3">
        <f t="shared" si="67"/>
        <v>0</v>
      </c>
      <c r="R462" s="3">
        <f t="shared" si="68"/>
        <v>0</v>
      </c>
      <c r="S462" s="3" t="e" cm="1">
        <f t="array" aca="1" ref="S462" ca="1">SUMPRODUCT(MID($P462,ROW(INDIRECT("1:23")),1)*2^(-ROW(INDIRECT("1:23"))))</f>
        <v>#VALUE!</v>
      </c>
      <c r="T462" s="3" t="e">
        <f t="shared" ca="1" si="69"/>
        <v>#VALUE!</v>
      </c>
      <c r="U462" s="3" t="e">
        <f t="shared" ca="1" si="70"/>
        <v>#VALUE!</v>
      </c>
      <c r="V462" s="73"/>
      <c r="W462" s="9" t="str">
        <f t="shared" si="71"/>
        <v>OK</v>
      </c>
    </row>
    <row r="463" spans="1:23" x14ac:dyDescent="0.3">
      <c r="A463" s="44">
        <v>460</v>
      </c>
      <c r="B463" s="14">
        <v>7</v>
      </c>
      <c r="C463" s="4">
        <v>25</v>
      </c>
      <c r="D463" s="3" t="str">
        <f>VLOOKUP($C463,Overall!$K$5:$T$36,2)</f>
        <v>Normal</v>
      </c>
      <c r="E463" s="3">
        <f ca="1">VLOOKUP($C463,Overall!$K$5:$T$36,10)</f>
        <v>-1.1754944909521339E-38</v>
      </c>
      <c r="F463" s="9" t="str">
        <f>VLOOKUP($C463,Overall!$K$5:$T$36,6)</f>
        <v>10000000100000000000000000000001</v>
      </c>
      <c r="G463" s="8">
        <v>4</v>
      </c>
      <c r="H463" s="3" t="str">
        <f>VLOOKUP($G463,Overall!$K$5:$T$36,2)</f>
        <v>Underflow</v>
      </c>
      <c r="I463" s="3">
        <f ca="1">VLOOKUP($G463,Overall!$K$5:$T$36,10)</f>
        <v>-1.4012984643248171E-45</v>
      </c>
      <c r="J463" s="62" t="str">
        <f>VLOOKUP($G463,Overall!$K$5:$T$36,6)</f>
        <v>10000000000000000000000000000001</v>
      </c>
      <c r="K463" s="8">
        <f t="shared" ca="1" si="63"/>
        <v>1.6472186249935079E-83</v>
      </c>
      <c r="L463" s="62">
        <f>VLOOKUP($B463,Overall!$B$5:$I$13,8)</f>
        <v>0</v>
      </c>
      <c r="M463" s="58"/>
      <c r="N463" s="3" t="str">
        <f t="shared" si="64"/>
        <v/>
      </c>
      <c r="O463" s="3" t="str">
        <f t="shared" si="65"/>
        <v/>
      </c>
      <c r="P463" s="3" t="str">
        <f t="shared" si="66"/>
        <v/>
      </c>
      <c r="Q463" s="3">
        <f t="shared" si="67"/>
        <v>0</v>
      </c>
      <c r="R463" s="3">
        <f t="shared" si="68"/>
        <v>0</v>
      </c>
      <c r="S463" s="3" t="e" cm="1">
        <f t="array" aca="1" ref="S463" ca="1">SUMPRODUCT(MID($P463,ROW(INDIRECT("1:23")),1)*2^(-ROW(INDIRECT("1:23"))))</f>
        <v>#VALUE!</v>
      </c>
      <c r="T463" s="3" t="e">
        <f t="shared" ca="1" si="69"/>
        <v>#VALUE!</v>
      </c>
      <c r="U463" s="3" t="e">
        <f t="shared" ca="1" si="70"/>
        <v>#VALUE!</v>
      </c>
      <c r="V463" s="73"/>
      <c r="W463" s="9" t="str">
        <f t="shared" si="71"/>
        <v>OK</v>
      </c>
    </row>
    <row r="464" spans="1:23" x14ac:dyDescent="0.3">
      <c r="A464" s="44">
        <v>461</v>
      </c>
      <c r="B464" s="14">
        <v>7</v>
      </c>
      <c r="C464" s="4">
        <v>25</v>
      </c>
      <c r="D464" s="3" t="str">
        <f>VLOOKUP($C464,Overall!$K$5:$T$36,2)</f>
        <v>Normal</v>
      </c>
      <c r="E464" s="3">
        <f ca="1">VLOOKUP($C464,Overall!$K$5:$T$36,10)</f>
        <v>-1.1754944909521339E-38</v>
      </c>
      <c r="F464" s="9" t="str">
        <f>VLOOKUP($C464,Overall!$K$5:$T$36,6)</f>
        <v>10000000100000000000000000000001</v>
      </c>
      <c r="G464" s="8">
        <v>5</v>
      </c>
      <c r="H464" s="3" t="str">
        <f>VLOOKUP($G464,Overall!$K$5:$T$36,2)</f>
        <v>Underflow</v>
      </c>
      <c r="I464" s="3">
        <f ca="1">VLOOKUP($G464,Overall!$K$5:$T$36,10)</f>
        <v>-2.9387386796526474E-39</v>
      </c>
      <c r="J464" s="62" t="str">
        <f>VLOOKUP($G464,Overall!$K$5:$T$36,6)</f>
        <v>10000000001000000000000000000010</v>
      </c>
      <c r="K464" s="8">
        <f t="shared" ca="1" si="63"/>
        <v>3.454471128279635E-77</v>
      </c>
      <c r="L464" s="62">
        <f>VLOOKUP($B464,Overall!$B$5:$I$13,8)</f>
        <v>0</v>
      </c>
      <c r="M464" s="58"/>
      <c r="N464" s="3" t="str">
        <f t="shared" si="64"/>
        <v/>
      </c>
      <c r="O464" s="3" t="str">
        <f t="shared" si="65"/>
        <v/>
      </c>
      <c r="P464" s="3" t="str">
        <f t="shared" si="66"/>
        <v/>
      </c>
      <c r="Q464" s="3">
        <f t="shared" si="67"/>
        <v>0</v>
      </c>
      <c r="R464" s="3">
        <f t="shared" si="68"/>
        <v>0</v>
      </c>
      <c r="S464" s="3" t="e" cm="1">
        <f t="array" aca="1" ref="S464" ca="1">SUMPRODUCT(MID($P464,ROW(INDIRECT("1:23")),1)*2^(-ROW(INDIRECT("1:23"))))</f>
        <v>#VALUE!</v>
      </c>
      <c r="T464" s="3" t="e">
        <f t="shared" ca="1" si="69"/>
        <v>#VALUE!</v>
      </c>
      <c r="U464" s="3" t="e">
        <f t="shared" ca="1" si="70"/>
        <v>#VALUE!</v>
      </c>
      <c r="V464" s="73"/>
      <c r="W464" s="9" t="str">
        <f t="shared" si="71"/>
        <v>OK</v>
      </c>
    </row>
    <row r="465" spans="1:23" x14ac:dyDescent="0.3">
      <c r="A465" s="44">
        <v>462</v>
      </c>
      <c r="B465" s="14">
        <v>7</v>
      </c>
      <c r="C465" s="4">
        <v>25</v>
      </c>
      <c r="D465" s="3" t="str">
        <f>VLOOKUP($C465,Overall!$K$5:$T$36,2)</f>
        <v>Normal</v>
      </c>
      <c r="E465" s="3">
        <f ca="1">VLOOKUP($C465,Overall!$K$5:$T$36,10)</f>
        <v>-1.1754944909521339E-38</v>
      </c>
      <c r="F465" s="9" t="str">
        <f>VLOOKUP($C465,Overall!$K$5:$T$36,6)</f>
        <v>10000000100000000000000000000001</v>
      </c>
      <c r="G465" s="8">
        <v>6</v>
      </c>
      <c r="H465" s="3" t="str">
        <f>VLOOKUP($G465,Overall!$K$5:$T$36,2)</f>
        <v>Underflow</v>
      </c>
      <c r="I465" s="3">
        <f ca="1">VLOOKUP($G465,Overall!$K$5:$T$36,10)</f>
        <v>-1.1754942106924411E-38</v>
      </c>
      <c r="J465" s="62" t="str">
        <f>VLOOKUP($G465,Overall!$K$5:$T$36,6)</f>
        <v>10000000011111111111111111111111</v>
      </c>
      <c r="K465" s="8">
        <f t="shared" ca="1" si="63"/>
        <v>1.3817869688150915E-76</v>
      </c>
      <c r="L465" s="62">
        <f>VLOOKUP($B465,Overall!$B$5:$I$13,8)</f>
        <v>0</v>
      </c>
      <c r="M465" s="58"/>
      <c r="N465" s="3" t="str">
        <f t="shared" si="64"/>
        <v/>
      </c>
      <c r="O465" s="3" t="str">
        <f t="shared" si="65"/>
        <v/>
      </c>
      <c r="P465" s="3" t="str">
        <f t="shared" si="66"/>
        <v/>
      </c>
      <c r="Q465" s="3">
        <f t="shared" si="67"/>
        <v>0</v>
      </c>
      <c r="R465" s="3">
        <f t="shared" si="68"/>
        <v>0</v>
      </c>
      <c r="S465" s="3" t="e" cm="1">
        <f t="array" aca="1" ref="S465" ca="1">SUMPRODUCT(MID($P465,ROW(INDIRECT("1:23")),1)*2^(-ROW(INDIRECT("1:23"))))</f>
        <v>#VALUE!</v>
      </c>
      <c r="T465" s="3" t="e">
        <f t="shared" ca="1" si="69"/>
        <v>#VALUE!</v>
      </c>
      <c r="U465" s="3" t="e">
        <f t="shared" ca="1" si="70"/>
        <v>#VALUE!</v>
      </c>
      <c r="V465" s="73"/>
      <c r="W465" s="9" t="str">
        <f t="shared" si="71"/>
        <v>OK</v>
      </c>
    </row>
    <row r="466" spans="1:23" x14ac:dyDescent="0.3">
      <c r="A466" s="44">
        <v>463</v>
      </c>
      <c r="B466" s="14">
        <v>7</v>
      </c>
      <c r="C466" s="4">
        <v>26</v>
      </c>
      <c r="D466" s="3" t="str">
        <f>VLOOKUP($C466,Overall!$K$5:$T$36,2)</f>
        <v>Normal</v>
      </c>
      <c r="E466" s="3">
        <f ca="1">VLOOKUP($C466,Overall!$K$5:$T$36,10)</f>
        <v>-0.5</v>
      </c>
      <c r="F466" s="9" t="str">
        <f>VLOOKUP($C466,Overall!$K$5:$T$36,6)</f>
        <v>10111111000000000000000000000000</v>
      </c>
      <c r="G466" s="8">
        <v>1</v>
      </c>
      <c r="H466" s="3" t="str">
        <f>VLOOKUP($G466,Overall!$K$5:$T$36,2)</f>
        <v>Underflow</v>
      </c>
      <c r="I466" s="3">
        <f ca="1">VLOOKUP($G466,Overall!$K$5:$T$36,10)</f>
        <v>1.4012984643248171E-45</v>
      </c>
      <c r="J466" s="62" t="str">
        <f>VLOOKUP($G466,Overall!$K$5:$T$36,6)</f>
        <v>00000000000000000000000000000001</v>
      </c>
      <c r="K466" s="8">
        <f t="shared" ca="1" si="63"/>
        <v>-7.0064923216240854E-46</v>
      </c>
      <c r="L466" s="62">
        <f>VLOOKUP($B466,Overall!$B$5:$I$13,8)</f>
        <v>0</v>
      </c>
      <c r="M466" s="58"/>
      <c r="N466" s="3" t="str">
        <f t="shared" si="64"/>
        <v/>
      </c>
      <c r="O466" s="3" t="str">
        <f t="shared" si="65"/>
        <v/>
      </c>
      <c r="P466" s="3" t="str">
        <f t="shared" si="66"/>
        <v/>
      </c>
      <c r="Q466" s="3">
        <f t="shared" si="67"/>
        <v>0</v>
      </c>
      <c r="R466" s="3">
        <f t="shared" si="68"/>
        <v>0</v>
      </c>
      <c r="S466" s="3" t="e" cm="1">
        <f t="array" aca="1" ref="S466" ca="1">SUMPRODUCT(MID($P466,ROW(INDIRECT("1:23")),1)*2^(-ROW(INDIRECT("1:23"))))</f>
        <v>#VALUE!</v>
      </c>
      <c r="T466" s="3" t="e">
        <f t="shared" ca="1" si="69"/>
        <v>#VALUE!</v>
      </c>
      <c r="U466" s="3" t="e">
        <f t="shared" ca="1" si="70"/>
        <v>#VALUE!</v>
      </c>
      <c r="V466" s="73"/>
      <c r="W466" s="9" t="str">
        <f t="shared" si="71"/>
        <v>OK</v>
      </c>
    </row>
    <row r="467" spans="1:23" x14ac:dyDescent="0.3">
      <c r="A467" s="44">
        <v>464</v>
      </c>
      <c r="B467" s="14">
        <v>7</v>
      </c>
      <c r="C467" s="4">
        <v>26</v>
      </c>
      <c r="D467" s="3" t="str">
        <f>VLOOKUP($C467,Overall!$K$5:$T$36,2)</f>
        <v>Normal</v>
      </c>
      <c r="E467" s="3">
        <f ca="1">VLOOKUP($C467,Overall!$K$5:$T$36,10)</f>
        <v>-0.5</v>
      </c>
      <c r="F467" s="9" t="str">
        <f>VLOOKUP($C467,Overall!$K$5:$T$36,6)</f>
        <v>10111111000000000000000000000000</v>
      </c>
      <c r="G467" s="8">
        <v>2</v>
      </c>
      <c r="H467" s="3" t="str">
        <f>VLOOKUP($G467,Overall!$K$5:$T$36,2)</f>
        <v>Underflow</v>
      </c>
      <c r="I467" s="3">
        <f ca="1">VLOOKUP($G467,Overall!$K$5:$T$36,10)</f>
        <v>2.9387386796526474E-39</v>
      </c>
      <c r="J467" s="62" t="str">
        <f>VLOOKUP($G467,Overall!$K$5:$T$36,6)</f>
        <v>00000000001000000000000000000010</v>
      </c>
      <c r="K467" s="8">
        <f t="shared" ca="1" si="63"/>
        <v>-1.4693693398263237E-39</v>
      </c>
      <c r="L467" s="62">
        <f>VLOOKUP($B467,Overall!$B$5:$I$13,8)</f>
        <v>0</v>
      </c>
      <c r="M467" s="58"/>
      <c r="N467" s="3" t="str">
        <f t="shared" si="64"/>
        <v/>
      </c>
      <c r="O467" s="3" t="str">
        <f t="shared" si="65"/>
        <v/>
      </c>
      <c r="P467" s="3" t="str">
        <f t="shared" si="66"/>
        <v/>
      </c>
      <c r="Q467" s="3">
        <f t="shared" si="67"/>
        <v>0</v>
      </c>
      <c r="R467" s="3">
        <f t="shared" si="68"/>
        <v>0</v>
      </c>
      <c r="S467" s="3" t="e" cm="1">
        <f t="array" aca="1" ref="S467" ca="1">SUMPRODUCT(MID($P467,ROW(INDIRECT("1:23")),1)*2^(-ROW(INDIRECT("1:23"))))</f>
        <v>#VALUE!</v>
      </c>
      <c r="T467" s="3" t="e">
        <f t="shared" ca="1" si="69"/>
        <v>#VALUE!</v>
      </c>
      <c r="U467" s="3" t="e">
        <f t="shared" ca="1" si="70"/>
        <v>#VALUE!</v>
      </c>
      <c r="V467" s="73"/>
      <c r="W467" s="9" t="str">
        <f t="shared" si="71"/>
        <v>OK</v>
      </c>
    </row>
    <row r="468" spans="1:23" x14ac:dyDescent="0.3">
      <c r="A468" s="44">
        <v>465</v>
      </c>
      <c r="B468" s="14">
        <v>7</v>
      </c>
      <c r="C468" s="4">
        <v>26</v>
      </c>
      <c r="D468" s="3" t="str">
        <f>VLOOKUP($C468,Overall!$K$5:$T$36,2)</f>
        <v>Normal</v>
      </c>
      <c r="E468" s="3">
        <f ca="1">VLOOKUP($C468,Overall!$K$5:$T$36,10)</f>
        <v>-0.5</v>
      </c>
      <c r="F468" s="9" t="str">
        <f>VLOOKUP($C468,Overall!$K$5:$T$36,6)</f>
        <v>10111111000000000000000000000000</v>
      </c>
      <c r="G468" s="8">
        <v>3</v>
      </c>
      <c r="H468" s="3" t="str">
        <f>VLOOKUP($G468,Overall!$K$5:$T$36,2)</f>
        <v>Underflow</v>
      </c>
      <c r="I468" s="3">
        <f ca="1">VLOOKUP($G468,Overall!$K$5:$T$36,10)</f>
        <v>1.1754942106924411E-38</v>
      </c>
      <c r="J468" s="62" t="str">
        <f>VLOOKUP($G468,Overall!$K$5:$T$36,6)</f>
        <v>00000000011111111111111111111111</v>
      </c>
      <c r="K468" s="8">
        <f t="shared" ca="1" si="63"/>
        <v>-5.8774710534622054E-39</v>
      </c>
      <c r="L468" s="62">
        <f>VLOOKUP($B468,Overall!$B$5:$I$13,8)</f>
        <v>0</v>
      </c>
      <c r="M468" s="58"/>
      <c r="N468" s="3" t="str">
        <f t="shared" si="64"/>
        <v/>
      </c>
      <c r="O468" s="3" t="str">
        <f t="shared" si="65"/>
        <v/>
      </c>
      <c r="P468" s="3" t="str">
        <f t="shared" si="66"/>
        <v/>
      </c>
      <c r="Q468" s="3">
        <f t="shared" si="67"/>
        <v>0</v>
      </c>
      <c r="R468" s="3">
        <f t="shared" si="68"/>
        <v>0</v>
      </c>
      <c r="S468" s="3" t="e" cm="1">
        <f t="array" aca="1" ref="S468" ca="1">SUMPRODUCT(MID($P468,ROW(INDIRECT("1:23")),1)*2^(-ROW(INDIRECT("1:23"))))</f>
        <v>#VALUE!</v>
      </c>
      <c r="T468" s="3" t="e">
        <f t="shared" ca="1" si="69"/>
        <v>#VALUE!</v>
      </c>
      <c r="U468" s="3" t="e">
        <f t="shared" ca="1" si="70"/>
        <v>#VALUE!</v>
      </c>
      <c r="V468" s="73"/>
      <c r="W468" s="9" t="str">
        <f t="shared" si="71"/>
        <v>OK</v>
      </c>
    </row>
    <row r="469" spans="1:23" x14ac:dyDescent="0.3">
      <c r="A469" s="44">
        <v>466</v>
      </c>
      <c r="B469" s="14">
        <v>7</v>
      </c>
      <c r="C469" s="4">
        <v>26</v>
      </c>
      <c r="D469" s="3" t="str">
        <f>VLOOKUP($C469,Overall!$K$5:$T$36,2)</f>
        <v>Normal</v>
      </c>
      <c r="E469" s="3">
        <f ca="1">VLOOKUP($C469,Overall!$K$5:$T$36,10)</f>
        <v>-0.5</v>
      </c>
      <c r="F469" s="9" t="str">
        <f>VLOOKUP($C469,Overall!$K$5:$T$36,6)</f>
        <v>10111111000000000000000000000000</v>
      </c>
      <c r="G469" s="8">
        <v>4</v>
      </c>
      <c r="H469" s="3" t="str">
        <f>VLOOKUP($G469,Overall!$K$5:$T$36,2)</f>
        <v>Underflow</v>
      </c>
      <c r="I469" s="3">
        <f ca="1">VLOOKUP($G469,Overall!$K$5:$T$36,10)</f>
        <v>-1.4012984643248171E-45</v>
      </c>
      <c r="J469" s="62" t="str">
        <f>VLOOKUP($G469,Overall!$K$5:$T$36,6)</f>
        <v>10000000000000000000000000000001</v>
      </c>
      <c r="K469" s="8">
        <f t="shared" ca="1" si="63"/>
        <v>7.0064923216240854E-46</v>
      </c>
      <c r="L469" s="62">
        <f>VLOOKUP($B469,Overall!$B$5:$I$13,8)</f>
        <v>0</v>
      </c>
      <c r="M469" s="58"/>
      <c r="N469" s="3" t="str">
        <f t="shared" si="64"/>
        <v/>
      </c>
      <c r="O469" s="3" t="str">
        <f t="shared" si="65"/>
        <v/>
      </c>
      <c r="P469" s="3" t="str">
        <f t="shared" si="66"/>
        <v/>
      </c>
      <c r="Q469" s="3">
        <f t="shared" si="67"/>
        <v>0</v>
      </c>
      <c r="R469" s="3">
        <f t="shared" si="68"/>
        <v>0</v>
      </c>
      <c r="S469" s="3" t="e" cm="1">
        <f t="array" aca="1" ref="S469" ca="1">SUMPRODUCT(MID($P469,ROW(INDIRECT("1:23")),1)*2^(-ROW(INDIRECT("1:23"))))</f>
        <v>#VALUE!</v>
      </c>
      <c r="T469" s="3" t="e">
        <f t="shared" ca="1" si="69"/>
        <v>#VALUE!</v>
      </c>
      <c r="U469" s="3" t="e">
        <f t="shared" ca="1" si="70"/>
        <v>#VALUE!</v>
      </c>
      <c r="V469" s="73"/>
      <c r="W469" s="9" t="str">
        <f t="shared" si="71"/>
        <v>OK</v>
      </c>
    </row>
    <row r="470" spans="1:23" x14ac:dyDescent="0.3">
      <c r="A470" s="44">
        <v>467</v>
      </c>
      <c r="B470" s="14">
        <v>7</v>
      </c>
      <c r="C470" s="4">
        <v>26</v>
      </c>
      <c r="D470" s="3" t="str">
        <f>VLOOKUP($C470,Overall!$K$5:$T$36,2)</f>
        <v>Normal</v>
      </c>
      <c r="E470" s="3">
        <f ca="1">VLOOKUP($C470,Overall!$K$5:$T$36,10)</f>
        <v>-0.5</v>
      </c>
      <c r="F470" s="9" t="str">
        <f>VLOOKUP($C470,Overall!$K$5:$T$36,6)</f>
        <v>10111111000000000000000000000000</v>
      </c>
      <c r="G470" s="8">
        <v>5</v>
      </c>
      <c r="H470" s="3" t="str">
        <f>VLOOKUP($G470,Overall!$K$5:$T$36,2)</f>
        <v>Underflow</v>
      </c>
      <c r="I470" s="3">
        <f ca="1">VLOOKUP($G470,Overall!$K$5:$T$36,10)</f>
        <v>-2.9387386796526474E-39</v>
      </c>
      <c r="J470" s="62" t="str">
        <f>VLOOKUP($G470,Overall!$K$5:$T$36,6)</f>
        <v>10000000001000000000000000000010</v>
      </c>
      <c r="K470" s="8">
        <f t="shared" ca="1" si="63"/>
        <v>1.4693693398263237E-39</v>
      </c>
      <c r="L470" s="62">
        <f>VLOOKUP($B470,Overall!$B$5:$I$13,8)</f>
        <v>0</v>
      </c>
      <c r="M470" s="58"/>
      <c r="N470" s="3" t="str">
        <f t="shared" si="64"/>
        <v/>
      </c>
      <c r="O470" s="3" t="str">
        <f t="shared" si="65"/>
        <v/>
      </c>
      <c r="P470" s="3" t="str">
        <f t="shared" si="66"/>
        <v/>
      </c>
      <c r="Q470" s="3">
        <f t="shared" si="67"/>
        <v>0</v>
      </c>
      <c r="R470" s="3">
        <f t="shared" si="68"/>
        <v>0</v>
      </c>
      <c r="S470" s="3" t="e" cm="1">
        <f t="array" aca="1" ref="S470" ca="1">SUMPRODUCT(MID($P470,ROW(INDIRECT("1:23")),1)*2^(-ROW(INDIRECT("1:23"))))</f>
        <v>#VALUE!</v>
      </c>
      <c r="T470" s="3" t="e">
        <f t="shared" ca="1" si="69"/>
        <v>#VALUE!</v>
      </c>
      <c r="U470" s="3" t="e">
        <f t="shared" ca="1" si="70"/>
        <v>#VALUE!</v>
      </c>
      <c r="V470" s="73"/>
      <c r="W470" s="9" t="str">
        <f t="shared" si="71"/>
        <v>OK</v>
      </c>
    </row>
    <row r="471" spans="1:23" x14ac:dyDescent="0.3">
      <c r="A471" s="44">
        <v>468</v>
      </c>
      <c r="B471" s="14">
        <v>7</v>
      </c>
      <c r="C471" s="4">
        <v>26</v>
      </c>
      <c r="D471" s="3" t="str">
        <f>VLOOKUP($C471,Overall!$K$5:$T$36,2)</f>
        <v>Normal</v>
      </c>
      <c r="E471" s="3">
        <f ca="1">VLOOKUP($C471,Overall!$K$5:$T$36,10)</f>
        <v>-0.5</v>
      </c>
      <c r="F471" s="9" t="str">
        <f>VLOOKUP($C471,Overall!$K$5:$T$36,6)</f>
        <v>10111111000000000000000000000000</v>
      </c>
      <c r="G471" s="8">
        <v>6</v>
      </c>
      <c r="H471" s="3" t="str">
        <f>VLOOKUP($G471,Overall!$K$5:$T$36,2)</f>
        <v>Underflow</v>
      </c>
      <c r="I471" s="3">
        <f ca="1">VLOOKUP($G471,Overall!$K$5:$T$36,10)</f>
        <v>-1.1754942106924411E-38</v>
      </c>
      <c r="J471" s="62" t="str">
        <f>VLOOKUP($G471,Overall!$K$5:$T$36,6)</f>
        <v>10000000011111111111111111111111</v>
      </c>
      <c r="K471" s="8">
        <f t="shared" ca="1" si="63"/>
        <v>5.8774710534622054E-39</v>
      </c>
      <c r="L471" s="62">
        <f>VLOOKUP($B471,Overall!$B$5:$I$13,8)</f>
        <v>0</v>
      </c>
      <c r="M471" s="58"/>
      <c r="N471" s="3" t="str">
        <f t="shared" si="64"/>
        <v/>
      </c>
      <c r="O471" s="3" t="str">
        <f t="shared" si="65"/>
        <v/>
      </c>
      <c r="P471" s="3" t="str">
        <f t="shared" si="66"/>
        <v/>
      </c>
      <c r="Q471" s="3">
        <f t="shared" si="67"/>
        <v>0</v>
      </c>
      <c r="R471" s="3">
        <f t="shared" si="68"/>
        <v>0</v>
      </c>
      <c r="S471" s="3" t="e" cm="1">
        <f t="array" aca="1" ref="S471" ca="1">SUMPRODUCT(MID($P471,ROW(INDIRECT("1:23")),1)*2^(-ROW(INDIRECT("1:23"))))</f>
        <v>#VALUE!</v>
      </c>
      <c r="T471" s="3" t="e">
        <f t="shared" ca="1" si="69"/>
        <v>#VALUE!</v>
      </c>
      <c r="U471" s="3" t="e">
        <f t="shared" ca="1" si="70"/>
        <v>#VALUE!</v>
      </c>
      <c r="V471" s="73"/>
      <c r="W471" s="9" t="str">
        <f t="shared" si="71"/>
        <v>OK</v>
      </c>
    </row>
    <row r="472" spans="1:23" x14ac:dyDescent="0.3">
      <c r="A472" s="44">
        <v>469</v>
      </c>
      <c r="B472" s="14">
        <v>7</v>
      </c>
      <c r="C472" s="4">
        <v>27</v>
      </c>
      <c r="D472" s="3" t="str">
        <f>VLOOKUP($C472,Overall!$K$5:$T$36,2)</f>
        <v>Normal</v>
      </c>
      <c r="E472" s="3">
        <f ca="1">VLOOKUP($C472,Overall!$K$5:$T$36,10)</f>
        <v>-1</v>
      </c>
      <c r="F472" s="9" t="str">
        <f>VLOOKUP($C472,Overall!$K$5:$T$36,6)</f>
        <v>10111111100000000000000000000000</v>
      </c>
      <c r="G472" s="8">
        <v>1</v>
      </c>
      <c r="H472" s="3" t="str">
        <f>VLOOKUP($G472,Overall!$K$5:$T$36,2)</f>
        <v>Underflow</v>
      </c>
      <c r="I472" s="3">
        <f ca="1">VLOOKUP($G472,Overall!$K$5:$T$36,10)</f>
        <v>1.4012984643248171E-45</v>
      </c>
      <c r="J472" s="62" t="str">
        <f>VLOOKUP($G472,Overall!$K$5:$T$36,6)</f>
        <v>00000000000000000000000000000001</v>
      </c>
      <c r="K472" s="8">
        <f t="shared" ca="1" si="63"/>
        <v>-1.4012984643248171E-45</v>
      </c>
      <c r="L472" s="62">
        <f>VLOOKUP($B472,Overall!$B$5:$I$13,8)</f>
        <v>0</v>
      </c>
      <c r="M472" s="58"/>
      <c r="N472" s="3" t="str">
        <f t="shared" si="64"/>
        <v/>
      </c>
      <c r="O472" s="3" t="str">
        <f t="shared" si="65"/>
        <v/>
      </c>
      <c r="P472" s="3" t="str">
        <f t="shared" si="66"/>
        <v/>
      </c>
      <c r="Q472" s="3">
        <f t="shared" si="67"/>
        <v>0</v>
      </c>
      <c r="R472" s="3">
        <f t="shared" si="68"/>
        <v>0</v>
      </c>
      <c r="S472" s="3" t="e" cm="1">
        <f t="array" aca="1" ref="S472" ca="1">SUMPRODUCT(MID($P472,ROW(INDIRECT("1:23")),1)*2^(-ROW(INDIRECT("1:23"))))</f>
        <v>#VALUE!</v>
      </c>
      <c r="T472" s="3" t="e">
        <f t="shared" ca="1" si="69"/>
        <v>#VALUE!</v>
      </c>
      <c r="U472" s="3" t="e">
        <f t="shared" ca="1" si="70"/>
        <v>#VALUE!</v>
      </c>
      <c r="V472" s="73"/>
      <c r="W472" s="9" t="str">
        <f t="shared" si="71"/>
        <v>OK</v>
      </c>
    </row>
    <row r="473" spans="1:23" x14ac:dyDescent="0.3">
      <c r="A473" s="44">
        <v>470</v>
      </c>
      <c r="B473" s="14">
        <v>7</v>
      </c>
      <c r="C473" s="4">
        <v>27</v>
      </c>
      <c r="D473" s="3" t="str">
        <f>VLOOKUP($C473,Overall!$K$5:$T$36,2)</f>
        <v>Normal</v>
      </c>
      <c r="E473" s="3">
        <f ca="1">VLOOKUP($C473,Overall!$K$5:$T$36,10)</f>
        <v>-1</v>
      </c>
      <c r="F473" s="9" t="str">
        <f>VLOOKUP($C473,Overall!$K$5:$T$36,6)</f>
        <v>10111111100000000000000000000000</v>
      </c>
      <c r="G473" s="8">
        <v>2</v>
      </c>
      <c r="H473" s="3" t="str">
        <f>VLOOKUP($G473,Overall!$K$5:$T$36,2)</f>
        <v>Underflow</v>
      </c>
      <c r="I473" s="3">
        <f ca="1">VLOOKUP($G473,Overall!$K$5:$T$36,10)</f>
        <v>2.9387386796526474E-39</v>
      </c>
      <c r="J473" s="62" t="str">
        <f>VLOOKUP($G473,Overall!$K$5:$T$36,6)</f>
        <v>00000000001000000000000000000010</v>
      </c>
      <c r="K473" s="8">
        <f t="shared" ca="1" si="63"/>
        <v>-2.9387386796526474E-39</v>
      </c>
      <c r="L473" s="62">
        <f>VLOOKUP($B473,Overall!$B$5:$I$13,8)</f>
        <v>0</v>
      </c>
      <c r="M473" s="58"/>
      <c r="N473" s="3" t="str">
        <f t="shared" si="64"/>
        <v/>
      </c>
      <c r="O473" s="3" t="str">
        <f t="shared" si="65"/>
        <v/>
      </c>
      <c r="P473" s="3" t="str">
        <f t="shared" si="66"/>
        <v/>
      </c>
      <c r="Q473" s="3">
        <f t="shared" si="67"/>
        <v>0</v>
      </c>
      <c r="R473" s="3">
        <f t="shared" si="68"/>
        <v>0</v>
      </c>
      <c r="S473" s="3" t="e" cm="1">
        <f t="array" aca="1" ref="S473" ca="1">SUMPRODUCT(MID($P473,ROW(INDIRECT("1:23")),1)*2^(-ROW(INDIRECT("1:23"))))</f>
        <v>#VALUE!</v>
      </c>
      <c r="T473" s="3" t="e">
        <f t="shared" ca="1" si="69"/>
        <v>#VALUE!</v>
      </c>
      <c r="U473" s="3" t="e">
        <f t="shared" ca="1" si="70"/>
        <v>#VALUE!</v>
      </c>
      <c r="V473" s="73"/>
      <c r="W473" s="9" t="str">
        <f t="shared" si="71"/>
        <v>OK</v>
      </c>
    </row>
    <row r="474" spans="1:23" x14ac:dyDescent="0.3">
      <c r="A474" s="44">
        <v>471</v>
      </c>
      <c r="B474" s="14">
        <v>7</v>
      </c>
      <c r="C474" s="4">
        <v>27</v>
      </c>
      <c r="D474" s="3" t="str">
        <f>VLOOKUP($C474,Overall!$K$5:$T$36,2)</f>
        <v>Normal</v>
      </c>
      <c r="E474" s="3">
        <f ca="1">VLOOKUP($C474,Overall!$K$5:$T$36,10)</f>
        <v>-1</v>
      </c>
      <c r="F474" s="9" t="str">
        <f>VLOOKUP($C474,Overall!$K$5:$T$36,6)</f>
        <v>10111111100000000000000000000000</v>
      </c>
      <c r="G474" s="8">
        <v>3</v>
      </c>
      <c r="H474" s="3" t="str">
        <f>VLOOKUP($G474,Overall!$K$5:$T$36,2)</f>
        <v>Underflow</v>
      </c>
      <c r="I474" s="3">
        <f ca="1">VLOOKUP($G474,Overall!$K$5:$T$36,10)</f>
        <v>1.1754942106924411E-38</v>
      </c>
      <c r="J474" s="62" t="str">
        <f>VLOOKUP($G474,Overall!$K$5:$T$36,6)</f>
        <v>00000000011111111111111111111111</v>
      </c>
      <c r="K474" s="8">
        <f t="shared" ca="1" si="63"/>
        <v>-1.1754942106924411E-38</v>
      </c>
      <c r="L474" s="62">
        <f>VLOOKUP($B474,Overall!$B$5:$I$13,8)</f>
        <v>0</v>
      </c>
      <c r="M474" s="58"/>
      <c r="N474" s="3" t="str">
        <f t="shared" si="64"/>
        <v/>
      </c>
      <c r="O474" s="3" t="str">
        <f t="shared" si="65"/>
        <v/>
      </c>
      <c r="P474" s="3" t="str">
        <f t="shared" si="66"/>
        <v/>
      </c>
      <c r="Q474" s="3">
        <f t="shared" si="67"/>
        <v>0</v>
      </c>
      <c r="R474" s="3">
        <f t="shared" si="68"/>
        <v>0</v>
      </c>
      <c r="S474" s="3" t="e" cm="1">
        <f t="array" aca="1" ref="S474" ca="1">SUMPRODUCT(MID($P474,ROW(INDIRECT("1:23")),1)*2^(-ROW(INDIRECT("1:23"))))</f>
        <v>#VALUE!</v>
      </c>
      <c r="T474" s="3" t="e">
        <f t="shared" ca="1" si="69"/>
        <v>#VALUE!</v>
      </c>
      <c r="U474" s="3" t="e">
        <f t="shared" ca="1" si="70"/>
        <v>#VALUE!</v>
      </c>
      <c r="V474" s="73"/>
      <c r="W474" s="9" t="str">
        <f t="shared" si="71"/>
        <v>OK</v>
      </c>
    </row>
    <row r="475" spans="1:23" x14ac:dyDescent="0.3">
      <c r="A475" s="44">
        <v>472</v>
      </c>
      <c r="B475" s="14">
        <v>7</v>
      </c>
      <c r="C475" s="4">
        <v>27</v>
      </c>
      <c r="D475" s="3" t="str">
        <f>VLOOKUP($C475,Overall!$K$5:$T$36,2)</f>
        <v>Normal</v>
      </c>
      <c r="E475" s="3">
        <f ca="1">VLOOKUP($C475,Overall!$K$5:$T$36,10)</f>
        <v>-1</v>
      </c>
      <c r="F475" s="9" t="str">
        <f>VLOOKUP($C475,Overall!$K$5:$T$36,6)</f>
        <v>10111111100000000000000000000000</v>
      </c>
      <c r="G475" s="8">
        <v>4</v>
      </c>
      <c r="H475" s="3" t="str">
        <f>VLOOKUP($G475,Overall!$K$5:$T$36,2)</f>
        <v>Underflow</v>
      </c>
      <c r="I475" s="3">
        <f ca="1">VLOOKUP($G475,Overall!$K$5:$T$36,10)</f>
        <v>-1.4012984643248171E-45</v>
      </c>
      <c r="J475" s="62" t="str">
        <f>VLOOKUP($G475,Overall!$K$5:$T$36,6)</f>
        <v>10000000000000000000000000000001</v>
      </c>
      <c r="K475" s="8">
        <f t="shared" ca="1" si="63"/>
        <v>1.4012984643248171E-45</v>
      </c>
      <c r="L475" s="62">
        <f>VLOOKUP($B475,Overall!$B$5:$I$13,8)</f>
        <v>0</v>
      </c>
      <c r="M475" s="58"/>
      <c r="N475" s="3" t="str">
        <f t="shared" si="64"/>
        <v/>
      </c>
      <c r="O475" s="3" t="str">
        <f t="shared" si="65"/>
        <v/>
      </c>
      <c r="P475" s="3" t="str">
        <f t="shared" si="66"/>
        <v/>
      </c>
      <c r="Q475" s="3">
        <f t="shared" si="67"/>
        <v>0</v>
      </c>
      <c r="R475" s="3">
        <f t="shared" si="68"/>
        <v>0</v>
      </c>
      <c r="S475" s="3" t="e" cm="1">
        <f t="array" aca="1" ref="S475" ca="1">SUMPRODUCT(MID($P475,ROW(INDIRECT("1:23")),1)*2^(-ROW(INDIRECT("1:23"))))</f>
        <v>#VALUE!</v>
      </c>
      <c r="T475" s="3" t="e">
        <f t="shared" ca="1" si="69"/>
        <v>#VALUE!</v>
      </c>
      <c r="U475" s="3" t="e">
        <f t="shared" ca="1" si="70"/>
        <v>#VALUE!</v>
      </c>
      <c r="V475" s="73"/>
      <c r="W475" s="9" t="str">
        <f t="shared" si="71"/>
        <v>OK</v>
      </c>
    </row>
    <row r="476" spans="1:23" x14ac:dyDescent="0.3">
      <c r="A476" s="44">
        <v>473</v>
      </c>
      <c r="B476" s="14">
        <v>7</v>
      </c>
      <c r="C476" s="4">
        <v>27</v>
      </c>
      <c r="D476" s="3" t="str">
        <f>VLOOKUP($C476,Overall!$K$5:$T$36,2)</f>
        <v>Normal</v>
      </c>
      <c r="E476" s="3">
        <f ca="1">VLOOKUP($C476,Overall!$K$5:$T$36,10)</f>
        <v>-1</v>
      </c>
      <c r="F476" s="9" t="str">
        <f>VLOOKUP($C476,Overall!$K$5:$T$36,6)</f>
        <v>10111111100000000000000000000000</v>
      </c>
      <c r="G476" s="8">
        <v>5</v>
      </c>
      <c r="H476" s="3" t="str">
        <f>VLOOKUP($G476,Overall!$K$5:$T$36,2)</f>
        <v>Underflow</v>
      </c>
      <c r="I476" s="3">
        <f ca="1">VLOOKUP($G476,Overall!$K$5:$T$36,10)</f>
        <v>-2.9387386796526474E-39</v>
      </c>
      <c r="J476" s="62" t="str">
        <f>VLOOKUP($G476,Overall!$K$5:$T$36,6)</f>
        <v>10000000001000000000000000000010</v>
      </c>
      <c r="K476" s="8">
        <f t="shared" ca="1" si="63"/>
        <v>2.9387386796526474E-39</v>
      </c>
      <c r="L476" s="62">
        <f>VLOOKUP($B476,Overall!$B$5:$I$13,8)</f>
        <v>0</v>
      </c>
      <c r="M476" s="58"/>
      <c r="N476" s="3" t="str">
        <f t="shared" si="64"/>
        <v/>
      </c>
      <c r="O476" s="3" t="str">
        <f t="shared" si="65"/>
        <v/>
      </c>
      <c r="P476" s="3" t="str">
        <f t="shared" si="66"/>
        <v/>
      </c>
      <c r="Q476" s="3">
        <f t="shared" si="67"/>
        <v>0</v>
      </c>
      <c r="R476" s="3">
        <f t="shared" si="68"/>
        <v>0</v>
      </c>
      <c r="S476" s="3" t="e" cm="1">
        <f t="array" aca="1" ref="S476" ca="1">SUMPRODUCT(MID($P476,ROW(INDIRECT("1:23")),1)*2^(-ROW(INDIRECT("1:23"))))</f>
        <v>#VALUE!</v>
      </c>
      <c r="T476" s="3" t="e">
        <f t="shared" ca="1" si="69"/>
        <v>#VALUE!</v>
      </c>
      <c r="U476" s="3" t="e">
        <f t="shared" ca="1" si="70"/>
        <v>#VALUE!</v>
      </c>
      <c r="V476" s="73"/>
      <c r="W476" s="9" t="str">
        <f t="shared" si="71"/>
        <v>OK</v>
      </c>
    </row>
    <row r="477" spans="1:23" x14ac:dyDescent="0.3">
      <c r="A477" s="44">
        <v>474</v>
      </c>
      <c r="B477" s="14">
        <v>7</v>
      </c>
      <c r="C477" s="4">
        <v>27</v>
      </c>
      <c r="D477" s="3" t="str">
        <f>VLOOKUP($C477,Overall!$K$5:$T$36,2)</f>
        <v>Normal</v>
      </c>
      <c r="E477" s="3">
        <f ca="1">VLOOKUP($C477,Overall!$K$5:$T$36,10)</f>
        <v>-1</v>
      </c>
      <c r="F477" s="9" t="str">
        <f>VLOOKUP($C477,Overall!$K$5:$T$36,6)</f>
        <v>10111111100000000000000000000000</v>
      </c>
      <c r="G477" s="8">
        <v>6</v>
      </c>
      <c r="H477" s="3" t="str">
        <f>VLOOKUP($G477,Overall!$K$5:$T$36,2)</f>
        <v>Underflow</v>
      </c>
      <c r="I477" s="3">
        <f ca="1">VLOOKUP($G477,Overall!$K$5:$T$36,10)</f>
        <v>-1.1754942106924411E-38</v>
      </c>
      <c r="J477" s="62" t="str">
        <f>VLOOKUP($G477,Overall!$K$5:$T$36,6)</f>
        <v>10000000011111111111111111111111</v>
      </c>
      <c r="K477" s="8">
        <f t="shared" ca="1" si="63"/>
        <v>1.1754942106924411E-38</v>
      </c>
      <c r="L477" s="62">
        <f>VLOOKUP($B477,Overall!$B$5:$I$13,8)</f>
        <v>0</v>
      </c>
      <c r="M477" s="58"/>
      <c r="N477" s="3" t="str">
        <f t="shared" si="64"/>
        <v/>
      </c>
      <c r="O477" s="3" t="str">
        <f t="shared" si="65"/>
        <v/>
      </c>
      <c r="P477" s="3" t="str">
        <f t="shared" si="66"/>
        <v/>
      </c>
      <c r="Q477" s="3">
        <f t="shared" si="67"/>
        <v>0</v>
      </c>
      <c r="R477" s="3">
        <f t="shared" si="68"/>
        <v>0</v>
      </c>
      <c r="S477" s="3" t="e" cm="1">
        <f t="array" aca="1" ref="S477" ca="1">SUMPRODUCT(MID($P477,ROW(INDIRECT("1:23")),1)*2^(-ROW(INDIRECT("1:23"))))</f>
        <v>#VALUE!</v>
      </c>
      <c r="T477" s="3" t="e">
        <f t="shared" ca="1" si="69"/>
        <v>#VALUE!</v>
      </c>
      <c r="U477" s="3" t="e">
        <f t="shared" ca="1" si="70"/>
        <v>#VALUE!</v>
      </c>
      <c r="V477" s="73"/>
      <c r="W477" s="9" t="str">
        <f t="shared" si="71"/>
        <v>OK</v>
      </c>
    </row>
    <row r="478" spans="1:23" x14ac:dyDescent="0.3">
      <c r="A478" s="44">
        <v>475</v>
      </c>
      <c r="B478" s="14">
        <v>7</v>
      </c>
      <c r="C478" s="4">
        <v>28</v>
      </c>
      <c r="D478" s="3" t="str">
        <f>VLOOKUP($C478,Overall!$K$5:$T$36,2)</f>
        <v>Normal</v>
      </c>
      <c r="E478" s="3">
        <f ca="1">VLOOKUP($C478,Overall!$K$5:$T$36,10)</f>
        <v>-1.5</v>
      </c>
      <c r="F478" s="9" t="str">
        <f>VLOOKUP($C478,Overall!$K$5:$T$36,6)</f>
        <v>10111111110000000000000000000000</v>
      </c>
      <c r="G478" s="8">
        <v>1</v>
      </c>
      <c r="H478" s="3" t="str">
        <f>VLOOKUP($G478,Overall!$K$5:$T$36,2)</f>
        <v>Underflow</v>
      </c>
      <c r="I478" s="3">
        <f ca="1">VLOOKUP($G478,Overall!$K$5:$T$36,10)</f>
        <v>1.4012984643248171E-45</v>
      </c>
      <c r="J478" s="62" t="str">
        <f>VLOOKUP($G478,Overall!$K$5:$T$36,6)</f>
        <v>00000000000000000000000000000001</v>
      </c>
      <c r="K478" s="8">
        <f t="shared" ca="1" si="63"/>
        <v>-2.1019476964872256E-45</v>
      </c>
      <c r="L478" s="62">
        <f>VLOOKUP($B478,Overall!$B$5:$I$13,8)</f>
        <v>0</v>
      </c>
      <c r="M478" s="58"/>
      <c r="N478" s="3" t="str">
        <f t="shared" si="64"/>
        <v/>
      </c>
      <c r="O478" s="3" t="str">
        <f t="shared" si="65"/>
        <v/>
      </c>
      <c r="P478" s="3" t="str">
        <f t="shared" si="66"/>
        <v/>
      </c>
      <c r="Q478" s="3">
        <f t="shared" si="67"/>
        <v>0</v>
      </c>
      <c r="R478" s="3">
        <f t="shared" si="68"/>
        <v>0</v>
      </c>
      <c r="S478" s="3" t="e" cm="1">
        <f t="array" aca="1" ref="S478" ca="1">SUMPRODUCT(MID($P478,ROW(INDIRECT("1:23")),1)*2^(-ROW(INDIRECT("1:23"))))</f>
        <v>#VALUE!</v>
      </c>
      <c r="T478" s="3" t="e">
        <f t="shared" ca="1" si="69"/>
        <v>#VALUE!</v>
      </c>
      <c r="U478" s="3" t="e">
        <f t="shared" ca="1" si="70"/>
        <v>#VALUE!</v>
      </c>
      <c r="V478" s="73"/>
      <c r="W478" s="9" t="str">
        <f t="shared" si="71"/>
        <v>OK</v>
      </c>
    </row>
    <row r="479" spans="1:23" x14ac:dyDescent="0.3">
      <c r="A479" s="44">
        <v>476</v>
      </c>
      <c r="B479" s="14">
        <v>7</v>
      </c>
      <c r="C479" s="4">
        <v>28</v>
      </c>
      <c r="D479" s="3" t="str">
        <f>VLOOKUP($C479,Overall!$K$5:$T$36,2)</f>
        <v>Normal</v>
      </c>
      <c r="E479" s="3">
        <f ca="1">VLOOKUP($C479,Overall!$K$5:$T$36,10)</f>
        <v>-1.5</v>
      </c>
      <c r="F479" s="9" t="str">
        <f>VLOOKUP($C479,Overall!$K$5:$T$36,6)</f>
        <v>10111111110000000000000000000000</v>
      </c>
      <c r="G479" s="8">
        <v>2</v>
      </c>
      <c r="H479" s="3" t="str">
        <f>VLOOKUP($G479,Overall!$K$5:$T$36,2)</f>
        <v>Underflow</v>
      </c>
      <c r="I479" s="3">
        <f ca="1">VLOOKUP($G479,Overall!$K$5:$T$36,10)</f>
        <v>2.9387386796526474E-39</v>
      </c>
      <c r="J479" s="62" t="str">
        <f>VLOOKUP($G479,Overall!$K$5:$T$36,6)</f>
        <v>00000000001000000000000000000010</v>
      </c>
      <c r="K479" s="8">
        <f t="shared" ca="1" si="63"/>
        <v>-4.4081080194789711E-39</v>
      </c>
      <c r="L479" s="62">
        <f>VLOOKUP($B479,Overall!$B$5:$I$13,8)</f>
        <v>0</v>
      </c>
      <c r="M479" s="58"/>
      <c r="N479" s="3" t="str">
        <f t="shared" si="64"/>
        <v/>
      </c>
      <c r="O479" s="3" t="str">
        <f t="shared" si="65"/>
        <v/>
      </c>
      <c r="P479" s="3" t="str">
        <f t="shared" si="66"/>
        <v/>
      </c>
      <c r="Q479" s="3">
        <f t="shared" si="67"/>
        <v>0</v>
      </c>
      <c r="R479" s="3">
        <f t="shared" si="68"/>
        <v>0</v>
      </c>
      <c r="S479" s="3" t="e" cm="1">
        <f t="array" aca="1" ref="S479" ca="1">SUMPRODUCT(MID($P479,ROW(INDIRECT("1:23")),1)*2^(-ROW(INDIRECT("1:23"))))</f>
        <v>#VALUE!</v>
      </c>
      <c r="T479" s="3" t="e">
        <f t="shared" ca="1" si="69"/>
        <v>#VALUE!</v>
      </c>
      <c r="U479" s="3" t="e">
        <f t="shared" ca="1" si="70"/>
        <v>#VALUE!</v>
      </c>
      <c r="V479" s="73"/>
      <c r="W479" s="9" t="str">
        <f t="shared" si="71"/>
        <v>OK</v>
      </c>
    </row>
    <row r="480" spans="1:23" x14ac:dyDescent="0.3">
      <c r="A480" s="44">
        <v>477</v>
      </c>
      <c r="B480" s="14">
        <v>7</v>
      </c>
      <c r="C480" s="4">
        <v>28</v>
      </c>
      <c r="D480" s="3" t="str">
        <f>VLOOKUP($C480,Overall!$K$5:$T$36,2)</f>
        <v>Normal</v>
      </c>
      <c r="E480" s="3">
        <f ca="1">VLOOKUP($C480,Overall!$K$5:$T$36,10)</f>
        <v>-1.5</v>
      </c>
      <c r="F480" s="9" t="str">
        <f>VLOOKUP($C480,Overall!$K$5:$T$36,6)</f>
        <v>10111111110000000000000000000000</v>
      </c>
      <c r="G480" s="8">
        <v>3</v>
      </c>
      <c r="H480" s="3" t="str">
        <f>VLOOKUP($G480,Overall!$K$5:$T$36,2)</f>
        <v>Underflow</v>
      </c>
      <c r="I480" s="3">
        <f ca="1">VLOOKUP($G480,Overall!$K$5:$T$36,10)</f>
        <v>1.1754942106924411E-38</v>
      </c>
      <c r="J480" s="62" t="str">
        <f>VLOOKUP($G480,Overall!$K$5:$T$36,6)</f>
        <v>00000000011111111111111111111111</v>
      </c>
      <c r="K480" s="8">
        <f t="shared" ca="1" si="63"/>
        <v>-1.7632413160386616E-38</v>
      </c>
      <c r="L480" s="62">
        <f>VLOOKUP($B480,Overall!$B$5:$I$13,8)</f>
        <v>0</v>
      </c>
      <c r="M480" s="58"/>
      <c r="N480" s="3" t="str">
        <f t="shared" si="64"/>
        <v/>
      </c>
      <c r="O480" s="3" t="str">
        <f t="shared" si="65"/>
        <v/>
      </c>
      <c r="P480" s="3" t="str">
        <f t="shared" si="66"/>
        <v/>
      </c>
      <c r="Q480" s="3">
        <f t="shared" si="67"/>
        <v>0</v>
      </c>
      <c r="R480" s="3">
        <f t="shared" si="68"/>
        <v>0</v>
      </c>
      <c r="S480" s="3" t="e" cm="1">
        <f t="array" aca="1" ref="S480" ca="1">SUMPRODUCT(MID($P480,ROW(INDIRECT("1:23")),1)*2^(-ROW(INDIRECT("1:23"))))</f>
        <v>#VALUE!</v>
      </c>
      <c r="T480" s="3" t="e">
        <f t="shared" ca="1" si="69"/>
        <v>#VALUE!</v>
      </c>
      <c r="U480" s="3" t="e">
        <f t="shared" ca="1" si="70"/>
        <v>#VALUE!</v>
      </c>
      <c r="V480" s="73"/>
      <c r="W480" s="9" t="str">
        <f t="shared" si="71"/>
        <v>OK</v>
      </c>
    </row>
    <row r="481" spans="1:23" x14ac:dyDescent="0.3">
      <c r="A481" s="44">
        <v>478</v>
      </c>
      <c r="B481" s="14">
        <v>7</v>
      </c>
      <c r="C481" s="4">
        <v>28</v>
      </c>
      <c r="D481" s="3" t="str">
        <f>VLOOKUP($C481,Overall!$K$5:$T$36,2)</f>
        <v>Normal</v>
      </c>
      <c r="E481" s="3">
        <f ca="1">VLOOKUP($C481,Overall!$K$5:$T$36,10)</f>
        <v>-1.5</v>
      </c>
      <c r="F481" s="9" t="str">
        <f>VLOOKUP($C481,Overall!$K$5:$T$36,6)</f>
        <v>10111111110000000000000000000000</v>
      </c>
      <c r="G481" s="8">
        <v>4</v>
      </c>
      <c r="H481" s="3" t="str">
        <f>VLOOKUP($G481,Overall!$K$5:$T$36,2)</f>
        <v>Underflow</v>
      </c>
      <c r="I481" s="3">
        <f ca="1">VLOOKUP($G481,Overall!$K$5:$T$36,10)</f>
        <v>-1.4012984643248171E-45</v>
      </c>
      <c r="J481" s="62" t="str">
        <f>VLOOKUP($G481,Overall!$K$5:$T$36,6)</f>
        <v>10000000000000000000000000000001</v>
      </c>
      <c r="K481" s="8">
        <f t="shared" ca="1" si="63"/>
        <v>2.1019476964872256E-45</v>
      </c>
      <c r="L481" s="62">
        <f>VLOOKUP($B481,Overall!$B$5:$I$13,8)</f>
        <v>0</v>
      </c>
      <c r="M481" s="58"/>
      <c r="N481" s="3" t="str">
        <f t="shared" si="64"/>
        <v/>
      </c>
      <c r="O481" s="3" t="str">
        <f t="shared" si="65"/>
        <v/>
      </c>
      <c r="P481" s="3" t="str">
        <f t="shared" si="66"/>
        <v/>
      </c>
      <c r="Q481" s="3">
        <f t="shared" si="67"/>
        <v>0</v>
      </c>
      <c r="R481" s="3">
        <f t="shared" si="68"/>
        <v>0</v>
      </c>
      <c r="S481" s="3" t="e" cm="1">
        <f t="array" aca="1" ref="S481" ca="1">SUMPRODUCT(MID($P481,ROW(INDIRECT("1:23")),1)*2^(-ROW(INDIRECT("1:23"))))</f>
        <v>#VALUE!</v>
      </c>
      <c r="T481" s="3" t="e">
        <f t="shared" ca="1" si="69"/>
        <v>#VALUE!</v>
      </c>
      <c r="U481" s="3" t="e">
        <f t="shared" ca="1" si="70"/>
        <v>#VALUE!</v>
      </c>
      <c r="V481" s="73"/>
      <c r="W481" s="9" t="str">
        <f t="shared" si="71"/>
        <v>OK</v>
      </c>
    </row>
    <row r="482" spans="1:23" x14ac:dyDescent="0.3">
      <c r="A482" s="44">
        <v>479</v>
      </c>
      <c r="B482" s="14">
        <v>7</v>
      </c>
      <c r="C482" s="4">
        <v>28</v>
      </c>
      <c r="D482" s="3" t="str">
        <f>VLOOKUP($C482,Overall!$K$5:$T$36,2)</f>
        <v>Normal</v>
      </c>
      <c r="E482" s="3">
        <f ca="1">VLOOKUP($C482,Overall!$K$5:$T$36,10)</f>
        <v>-1.5</v>
      </c>
      <c r="F482" s="9" t="str">
        <f>VLOOKUP($C482,Overall!$K$5:$T$36,6)</f>
        <v>10111111110000000000000000000000</v>
      </c>
      <c r="G482" s="8">
        <v>5</v>
      </c>
      <c r="H482" s="3" t="str">
        <f>VLOOKUP($G482,Overall!$K$5:$T$36,2)</f>
        <v>Underflow</v>
      </c>
      <c r="I482" s="3">
        <f ca="1">VLOOKUP($G482,Overall!$K$5:$T$36,10)</f>
        <v>-2.9387386796526474E-39</v>
      </c>
      <c r="J482" s="62" t="str">
        <f>VLOOKUP($G482,Overall!$K$5:$T$36,6)</f>
        <v>10000000001000000000000000000010</v>
      </c>
      <c r="K482" s="8">
        <f t="shared" ca="1" si="63"/>
        <v>4.4081080194789711E-39</v>
      </c>
      <c r="L482" s="62">
        <f>VLOOKUP($B482,Overall!$B$5:$I$13,8)</f>
        <v>0</v>
      </c>
      <c r="M482" s="58"/>
      <c r="N482" s="3" t="str">
        <f t="shared" si="64"/>
        <v/>
      </c>
      <c r="O482" s="3" t="str">
        <f t="shared" si="65"/>
        <v/>
      </c>
      <c r="P482" s="3" t="str">
        <f t="shared" si="66"/>
        <v/>
      </c>
      <c r="Q482" s="3">
        <f t="shared" si="67"/>
        <v>0</v>
      </c>
      <c r="R482" s="3">
        <f t="shared" si="68"/>
        <v>0</v>
      </c>
      <c r="S482" s="3" t="e" cm="1">
        <f t="array" aca="1" ref="S482" ca="1">SUMPRODUCT(MID($P482,ROW(INDIRECT("1:23")),1)*2^(-ROW(INDIRECT("1:23"))))</f>
        <v>#VALUE!</v>
      </c>
      <c r="T482" s="3" t="e">
        <f t="shared" ca="1" si="69"/>
        <v>#VALUE!</v>
      </c>
      <c r="U482" s="3" t="e">
        <f t="shared" ca="1" si="70"/>
        <v>#VALUE!</v>
      </c>
      <c r="V482" s="73"/>
      <c r="W482" s="9" t="str">
        <f t="shared" si="71"/>
        <v>OK</v>
      </c>
    </row>
    <row r="483" spans="1:23" x14ac:dyDescent="0.3">
      <c r="A483" s="44">
        <v>480</v>
      </c>
      <c r="B483" s="14">
        <v>7</v>
      </c>
      <c r="C483" s="4">
        <v>28</v>
      </c>
      <c r="D483" s="3" t="str">
        <f>VLOOKUP($C483,Overall!$K$5:$T$36,2)</f>
        <v>Normal</v>
      </c>
      <c r="E483" s="3">
        <f ca="1">VLOOKUP($C483,Overall!$K$5:$T$36,10)</f>
        <v>-1.5</v>
      </c>
      <c r="F483" s="9" t="str">
        <f>VLOOKUP($C483,Overall!$K$5:$T$36,6)</f>
        <v>10111111110000000000000000000000</v>
      </c>
      <c r="G483" s="8">
        <v>6</v>
      </c>
      <c r="H483" s="3" t="str">
        <f>VLOOKUP($G483,Overall!$K$5:$T$36,2)</f>
        <v>Underflow</v>
      </c>
      <c r="I483" s="3">
        <f ca="1">VLOOKUP($G483,Overall!$K$5:$T$36,10)</f>
        <v>-1.1754942106924411E-38</v>
      </c>
      <c r="J483" s="62" t="str">
        <f>VLOOKUP($G483,Overall!$K$5:$T$36,6)</f>
        <v>10000000011111111111111111111111</v>
      </c>
      <c r="K483" s="8">
        <f t="shared" ca="1" si="63"/>
        <v>1.7632413160386616E-38</v>
      </c>
      <c r="L483" s="62">
        <f>VLOOKUP($B483,Overall!$B$5:$I$13,8)</f>
        <v>0</v>
      </c>
      <c r="M483" s="58"/>
      <c r="N483" s="3" t="str">
        <f t="shared" si="64"/>
        <v/>
      </c>
      <c r="O483" s="3" t="str">
        <f t="shared" si="65"/>
        <v/>
      </c>
      <c r="P483" s="3" t="str">
        <f t="shared" si="66"/>
        <v/>
      </c>
      <c r="Q483" s="3">
        <f t="shared" si="67"/>
        <v>0</v>
      </c>
      <c r="R483" s="3">
        <f t="shared" si="68"/>
        <v>0</v>
      </c>
      <c r="S483" s="3" t="e" cm="1">
        <f t="array" aca="1" ref="S483" ca="1">SUMPRODUCT(MID($P483,ROW(INDIRECT("1:23")),1)*2^(-ROW(INDIRECT("1:23"))))</f>
        <v>#VALUE!</v>
      </c>
      <c r="T483" s="3" t="e">
        <f t="shared" ca="1" si="69"/>
        <v>#VALUE!</v>
      </c>
      <c r="U483" s="3" t="e">
        <f t="shared" ca="1" si="70"/>
        <v>#VALUE!</v>
      </c>
      <c r="V483" s="73"/>
      <c r="W483" s="9" t="str">
        <f t="shared" si="71"/>
        <v>OK</v>
      </c>
    </row>
    <row r="484" spans="1:23" x14ac:dyDescent="0.3">
      <c r="A484" s="44">
        <v>481</v>
      </c>
      <c r="B484" s="14">
        <v>7</v>
      </c>
      <c r="C484" s="4">
        <v>29</v>
      </c>
      <c r="D484" s="3" t="str">
        <f>VLOOKUP($C484,Overall!$K$5:$T$36,2)</f>
        <v>Normal</v>
      </c>
      <c r="E484" s="3">
        <f ca="1">VLOOKUP($C484,Overall!$K$5:$T$36,10)</f>
        <v>-12345.6787109375</v>
      </c>
      <c r="F484" s="9" t="str">
        <f>VLOOKUP($C484,Overall!$K$5:$T$36,6)</f>
        <v>101000110010000001110011010110111</v>
      </c>
      <c r="G484" s="8">
        <v>1</v>
      </c>
      <c r="H484" s="3" t="str">
        <f>VLOOKUP($G484,Overall!$K$5:$T$36,2)</f>
        <v>Underflow</v>
      </c>
      <c r="I484" s="3">
        <f ca="1">VLOOKUP($G484,Overall!$K$5:$T$36,10)</f>
        <v>1.4012984643248171E-45</v>
      </c>
      <c r="J484" s="62" t="str">
        <f>VLOOKUP($G484,Overall!$K$5:$T$36,6)</f>
        <v>00000000000000000000000000000001</v>
      </c>
      <c r="K484" s="8">
        <f t="shared" ca="1" si="63"/>
        <v>-1.7299980618684306E-41</v>
      </c>
      <c r="L484" s="62">
        <f>VLOOKUP($B484,Overall!$B$5:$I$13,8)</f>
        <v>0</v>
      </c>
      <c r="M484" s="58"/>
      <c r="N484" s="3" t="str">
        <f t="shared" si="64"/>
        <v/>
      </c>
      <c r="O484" s="3" t="str">
        <f t="shared" si="65"/>
        <v/>
      </c>
      <c r="P484" s="3" t="str">
        <f t="shared" si="66"/>
        <v/>
      </c>
      <c r="Q484" s="3">
        <f t="shared" si="67"/>
        <v>0</v>
      </c>
      <c r="R484" s="3">
        <f t="shared" si="68"/>
        <v>0</v>
      </c>
      <c r="S484" s="3" t="e" cm="1">
        <f t="array" aca="1" ref="S484" ca="1">SUMPRODUCT(MID($P484,ROW(INDIRECT("1:23")),1)*2^(-ROW(INDIRECT("1:23"))))</f>
        <v>#VALUE!</v>
      </c>
      <c r="T484" s="3" t="e">
        <f t="shared" ca="1" si="69"/>
        <v>#VALUE!</v>
      </c>
      <c r="U484" s="3" t="e">
        <f t="shared" ca="1" si="70"/>
        <v>#VALUE!</v>
      </c>
      <c r="V484" s="73"/>
      <c r="W484" s="9" t="str">
        <f t="shared" si="71"/>
        <v>OK</v>
      </c>
    </row>
    <row r="485" spans="1:23" x14ac:dyDescent="0.3">
      <c r="A485" s="44">
        <v>482</v>
      </c>
      <c r="B485" s="14">
        <v>7</v>
      </c>
      <c r="C485" s="4">
        <v>29</v>
      </c>
      <c r="D485" s="3" t="str">
        <f>VLOOKUP($C485,Overall!$K$5:$T$36,2)</f>
        <v>Normal</v>
      </c>
      <c r="E485" s="3">
        <f ca="1">VLOOKUP($C485,Overall!$K$5:$T$36,10)</f>
        <v>-12345.6787109375</v>
      </c>
      <c r="F485" s="9" t="str">
        <f>VLOOKUP($C485,Overall!$K$5:$T$36,6)</f>
        <v>101000110010000001110011010110111</v>
      </c>
      <c r="G485" s="8">
        <v>2</v>
      </c>
      <c r="H485" s="3" t="str">
        <f>VLOOKUP($G485,Overall!$K$5:$T$36,2)</f>
        <v>Underflow</v>
      </c>
      <c r="I485" s="3">
        <f ca="1">VLOOKUP($G485,Overall!$K$5:$T$36,10)</f>
        <v>2.9387386796526474E-39</v>
      </c>
      <c r="J485" s="62" t="str">
        <f>VLOOKUP($G485,Overall!$K$5:$T$36,6)</f>
        <v>00000000001000000000000000000010</v>
      </c>
      <c r="K485" s="8">
        <f t="shared" ca="1" si="63"/>
        <v>-3.6280723554396267E-35</v>
      </c>
      <c r="L485" s="62">
        <f>VLOOKUP($B485,Overall!$B$5:$I$13,8)</f>
        <v>0</v>
      </c>
      <c r="M485" s="58"/>
      <c r="N485" s="3" t="str">
        <f t="shared" si="64"/>
        <v/>
      </c>
      <c r="O485" s="3" t="str">
        <f t="shared" si="65"/>
        <v/>
      </c>
      <c r="P485" s="3" t="str">
        <f t="shared" si="66"/>
        <v/>
      </c>
      <c r="Q485" s="3">
        <f t="shared" si="67"/>
        <v>0</v>
      </c>
      <c r="R485" s="3">
        <f t="shared" si="68"/>
        <v>0</v>
      </c>
      <c r="S485" s="3" t="e" cm="1">
        <f t="array" aca="1" ref="S485" ca="1">SUMPRODUCT(MID($P485,ROW(INDIRECT("1:23")),1)*2^(-ROW(INDIRECT("1:23"))))</f>
        <v>#VALUE!</v>
      </c>
      <c r="T485" s="3" t="e">
        <f t="shared" ca="1" si="69"/>
        <v>#VALUE!</v>
      </c>
      <c r="U485" s="3" t="e">
        <f t="shared" ca="1" si="70"/>
        <v>#VALUE!</v>
      </c>
      <c r="V485" s="73"/>
      <c r="W485" s="9" t="str">
        <f t="shared" si="71"/>
        <v>OK</v>
      </c>
    </row>
    <row r="486" spans="1:23" x14ac:dyDescent="0.3">
      <c r="A486" s="44">
        <v>483</v>
      </c>
      <c r="B486" s="14">
        <v>7</v>
      </c>
      <c r="C486" s="4">
        <v>29</v>
      </c>
      <c r="D486" s="3" t="str">
        <f>VLOOKUP($C486,Overall!$K$5:$T$36,2)</f>
        <v>Normal</v>
      </c>
      <c r="E486" s="3">
        <f ca="1">VLOOKUP($C486,Overall!$K$5:$T$36,10)</f>
        <v>-12345.6787109375</v>
      </c>
      <c r="F486" s="9" t="str">
        <f>VLOOKUP($C486,Overall!$K$5:$T$36,6)</f>
        <v>101000110010000001110011010110111</v>
      </c>
      <c r="G486" s="8">
        <v>3</v>
      </c>
      <c r="H486" s="3" t="str">
        <f>VLOOKUP($G486,Overall!$K$5:$T$36,2)</f>
        <v>Underflow</v>
      </c>
      <c r="I486" s="3">
        <f ca="1">VLOOKUP($G486,Overall!$K$5:$T$36,10)</f>
        <v>1.1754942106924411E-38</v>
      </c>
      <c r="J486" s="62" t="str">
        <f>VLOOKUP($G486,Overall!$K$5:$T$36,6)</f>
        <v>00000000011111111111111111111111</v>
      </c>
      <c r="K486" s="8">
        <f t="shared" ca="1" si="63"/>
        <v>-1.451227385177595E-34</v>
      </c>
      <c r="L486" s="62">
        <f>VLOOKUP($B486,Overall!$B$5:$I$13,8)</f>
        <v>0</v>
      </c>
      <c r="M486" s="58"/>
      <c r="N486" s="3" t="str">
        <f t="shared" si="64"/>
        <v/>
      </c>
      <c r="O486" s="3" t="str">
        <f t="shared" si="65"/>
        <v/>
      </c>
      <c r="P486" s="3" t="str">
        <f t="shared" si="66"/>
        <v/>
      </c>
      <c r="Q486" s="3">
        <f t="shared" si="67"/>
        <v>0</v>
      </c>
      <c r="R486" s="3">
        <f t="shared" si="68"/>
        <v>0</v>
      </c>
      <c r="S486" s="3" t="e" cm="1">
        <f t="array" aca="1" ref="S486" ca="1">SUMPRODUCT(MID($P486,ROW(INDIRECT("1:23")),1)*2^(-ROW(INDIRECT("1:23"))))</f>
        <v>#VALUE!</v>
      </c>
      <c r="T486" s="3" t="e">
        <f t="shared" ca="1" si="69"/>
        <v>#VALUE!</v>
      </c>
      <c r="U486" s="3" t="e">
        <f t="shared" ca="1" si="70"/>
        <v>#VALUE!</v>
      </c>
      <c r="V486" s="73"/>
      <c r="W486" s="9" t="str">
        <f t="shared" si="71"/>
        <v>OK</v>
      </c>
    </row>
    <row r="487" spans="1:23" x14ac:dyDescent="0.3">
      <c r="A487" s="44">
        <v>484</v>
      </c>
      <c r="B487" s="14">
        <v>7</v>
      </c>
      <c r="C487" s="4">
        <v>29</v>
      </c>
      <c r="D487" s="3" t="str">
        <f>VLOOKUP($C487,Overall!$K$5:$T$36,2)</f>
        <v>Normal</v>
      </c>
      <c r="E487" s="3">
        <f ca="1">VLOOKUP($C487,Overall!$K$5:$T$36,10)</f>
        <v>-12345.6787109375</v>
      </c>
      <c r="F487" s="9" t="str">
        <f>VLOOKUP($C487,Overall!$K$5:$T$36,6)</f>
        <v>101000110010000001110011010110111</v>
      </c>
      <c r="G487" s="8">
        <v>4</v>
      </c>
      <c r="H487" s="3" t="str">
        <f>VLOOKUP($G487,Overall!$K$5:$T$36,2)</f>
        <v>Underflow</v>
      </c>
      <c r="I487" s="3">
        <f ca="1">VLOOKUP($G487,Overall!$K$5:$T$36,10)</f>
        <v>-1.4012984643248171E-45</v>
      </c>
      <c r="J487" s="62" t="str">
        <f>VLOOKUP($G487,Overall!$K$5:$T$36,6)</f>
        <v>10000000000000000000000000000001</v>
      </c>
      <c r="K487" s="8">
        <f t="shared" ca="1" si="63"/>
        <v>1.7299980618684306E-41</v>
      </c>
      <c r="L487" s="62">
        <f>VLOOKUP($B487,Overall!$B$5:$I$13,8)</f>
        <v>0</v>
      </c>
      <c r="M487" s="58"/>
      <c r="N487" s="3" t="str">
        <f t="shared" si="64"/>
        <v/>
      </c>
      <c r="O487" s="3" t="str">
        <f t="shared" si="65"/>
        <v/>
      </c>
      <c r="P487" s="3" t="str">
        <f t="shared" si="66"/>
        <v/>
      </c>
      <c r="Q487" s="3">
        <f t="shared" si="67"/>
        <v>0</v>
      </c>
      <c r="R487" s="3">
        <f t="shared" si="68"/>
        <v>0</v>
      </c>
      <c r="S487" s="3" t="e" cm="1">
        <f t="array" aca="1" ref="S487" ca="1">SUMPRODUCT(MID($P487,ROW(INDIRECT("1:23")),1)*2^(-ROW(INDIRECT("1:23"))))</f>
        <v>#VALUE!</v>
      </c>
      <c r="T487" s="3" t="e">
        <f t="shared" ca="1" si="69"/>
        <v>#VALUE!</v>
      </c>
      <c r="U487" s="3" t="e">
        <f t="shared" ca="1" si="70"/>
        <v>#VALUE!</v>
      </c>
      <c r="V487" s="73"/>
      <c r="W487" s="9" t="str">
        <f t="shared" si="71"/>
        <v>OK</v>
      </c>
    </row>
    <row r="488" spans="1:23" x14ac:dyDescent="0.3">
      <c r="A488" s="44">
        <v>485</v>
      </c>
      <c r="B488" s="14">
        <v>7</v>
      </c>
      <c r="C488" s="4">
        <v>29</v>
      </c>
      <c r="D488" s="3" t="str">
        <f>VLOOKUP($C488,Overall!$K$5:$T$36,2)</f>
        <v>Normal</v>
      </c>
      <c r="E488" s="3">
        <f ca="1">VLOOKUP($C488,Overall!$K$5:$T$36,10)</f>
        <v>-12345.6787109375</v>
      </c>
      <c r="F488" s="9" t="str">
        <f>VLOOKUP($C488,Overall!$K$5:$T$36,6)</f>
        <v>101000110010000001110011010110111</v>
      </c>
      <c r="G488" s="8">
        <v>5</v>
      </c>
      <c r="H488" s="3" t="str">
        <f>VLOOKUP($G488,Overall!$K$5:$T$36,2)</f>
        <v>Underflow</v>
      </c>
      <c r="I488" s="3">
        <f ca="1">VLOOKUP($G488,Overall!$K$5:$T$36,10)</f>
        <v>-2.9387386796526474E-39</v>
      </c>
      <c r="J488" s="62" t="str">
        <f>VLOOKUP($G488,Overall!$K$5:$T$36,6)</f>
        <v>10000000001000000000000000000010</v>
      </c>
      <c r="K488" s="8">
        <f t="shared" ca="1" si="63"/>
        <v>3.6280723554396267E-35</v>
      </c>
      <c r="L488" s="62">
        <f>VLOOKUP($B488,Overall!$B$5:$I$13,8)</f>
        <v>0</v>
      </c>
      <c r="M488" s="58"/>
      <c r="N488" s="3" t="str">
        <f t="shared" si="64"/>
        <v/>
      </c>
      <c r="O488" s="3" t="str">
        <f t="shared" si="65"/>
        <v/>
      </c>
      <c r="P488" s="3" t="str">
        <f t="shared" si="66"/>
        <v/>
      </c>
      <c r="Q488" s="3">
        <f t="shared" si="67"/>
        <v>0</v>
      </c>
      <c r="R488" s="3">
        <f t="shared" si="68"/>
        <v>0</v>
      </c>
      <c r="S488" s="3" t="e" cm="1">
        <f t="array" aca="1" ref="S488" ca="1">SUMPRODUCT(MID($P488,ROW(INDIRECT("1:23")),1)*2^(-ROW(INDIRECT("1:23"))))</f>
        <v>#VALUE!</v>
      </c>
      <c r="T488" s="3" t="e">
        <f t="shared" ca="1" si="69"/>
        <v>#VALUE!</v>
      </c>
      <c r="U488" s="3" t="e">
        <f t="shared" ca="1" si="70"/>
        <v>#VALUE!</v>
      </c>
      <c r="V488" s="73"/>
      <c r="W488" s="9" t="str">
        <f t="shared" si="71"/>
        <v>OK</v>
      </c>
    </row>
    <row r="489" spans="1:23" x14ac:dyDescent="0.3">
      <c r="A489" s="44">
        <v>486</v>
      </c>
      <c r="B489" s="14">
        <v>7</v>
      </c>
      <c r="C489" s="4">
        <v>29</v>
      </c>
      <c r="D489" s="3" t="str">
        <f>VLOOKUP($C489,Overall!$K$5:$T$36,2)</f>
        <v>Normal</v>
      </c>
      <c r="E489" s="3">
        <f ca="1">VLOOKUP($C489,Overall!$K$5:$T$36,10)</f>
        <v>-12345.6787109375</v>
      </c>
      <c r="F489" s="9" t="str">
        <f>VLOOKUP($C489,Overall!$K$5:$T$36,6)</f>
        <v>101000110010000001110011010110111</v>
      </c>
      <c r="G489" s="8">
        <v>6</v>
      </c>
      <c r="H489" s="3" t="str">
        <f>VLOOKUP($G489,Overall!$K$5:$T$36,2)</f>
        <v>Underflow</v>
      </c>
      <c r="I489" s="3">
        <f ca="1">VLOOKUP($G489,Overall!$K$5:$T$36,10)</f>
        <v>-1.1754942106924411E-38</v>
      </c>
      <c r="J489" s="62" t="str">
        <f>VLOOKUP($G489,Overall!$K$5:$T$36,6)</f>
        <v>10000000011111111111111111111111</v>
      </c>
      <c r="K489" s="8">
        <f t="shared" ca="1" si="63"/>
        <v>1.451227385177595E-34</v>
      </c>
      <c r="L489" s="62">
        <f>VLOOKUP($B489,Overall!$B$5:$I$13,8)</f>
        <v>0</v>
      </c>
      <c r="M489" s="58"/>
      <c r="N489" s="3" t="str">
        <f t="shared" si="64"/>
        <v/>
      </c>
      <c r="O489" s="3" t="str">
        <f t="shared" si="65"/>
        <v/>
      </c>
      <c r="P489" s="3" t="str">
        <f t="shared" si="66"/>
        <v/>
      </c>
      <c r="Q489" s="3">
        <f t="shared" si="67"/>
        <v>0</v>
      </c>
      <c r="R489" s="3">
        <f t="shared" si="68"/>
        <v>0</v>
      </c>
      <c r="S489" s="3" t="e" cm="1">
        <f t="array" aca="1" ref="S489" ca="1">SUMPRODUCT(MID($P489,ROW(INDIRECT("1:23")),1)*2^(-ROW(INDIRECT("1:23"))))</f>
        <v>#VALUE!</v>
      </c>
      <c r="T489" s="3" t="e">
        <f t="shared" ca="1" si="69"/>
        <v>#VALUE!</v>
      </c>
      <c r="U489" s="3" t="e">
        <f t="shared" ca="1" si="70"/>
        <v>#VALUE!</v>
      </c>
      <c r="V489" s="73"/>
      <c r="W489" s="9" t="str">
        <f t="shared" si="71"/>
        <v>OK</v>
      </c>
    </row>
    <row r="490" spans="1:23" x14ac:dyDescent="0.3">
      <c r="A490" s="44">
        <v>487</v>
      </c>
      <c r="B490" s="14">
        <v>7</v>
      </c>
      <c r="C490" s="4">
        <v>30</v>
      </c>
      <c r="D490" s="3" t="str">
        <f>VLOOKUP($C490,Overall!$K$5:$T$36,2)</f>
        <v>Normal</v>
      </c>
      <c r="E490" s="3">
        <f ca="1">VLOOKUP($C490,Overall!$K$5:$T$36,10)</f>
        <v>-2.345678924830959E+38</v>
      </c>
      <c r="F490" s="9" t="str">
        <f>VLOOKUP($C490,Overall!$K$5:$T$36,6)</f>
        <v>11111111001100000111100000100010</v>
      </c>
      <c r="G490" s="8">
        <v>1</v>
      </c>
      <c r="H490" s="3" t="str">
        <f>VLOOKUP($G490,Overall!$K$5:$T$36,2)</f>
        <v>Underflow</v>
      </c>
      <c r="I490" s="3">
        <f ca="1">VLOOKUP($G490,Overall!$K$5:$T$36,10)</f>
        <v>1.4012984643248171E-45</v>
      </c>
      <c r="J490" s="62" t="str">
        <f>VLOOKUP($G490,Overall!$K$5:$T$36,6)</f>
        <v>00000000000000000000000000000001</v>
      </c>
      <c r="K490" s="8">
        <f t="shared" ca="1" si="63"/>
        <v>-3.2869962751647108E-7</v>
      </c>
      <c r="L490" s="62">
        <f>VLOOKUP($B490,Overall!$B$5:$I$13,8)</f>
        <v>0</v>
      </c>
      <c r="M490" s="58"/>
      <c r="N490" s="3" t="str">
        <f t="shared" si="64"/>
        <v/>
      </c>
      <c r="O490" s="3" t="str">
        <f t="shared" si="65"/>
        <v/>
      </c>
      <c r="P490" s="3" t="str">
        <f t="shared" si="66"/>
        <v/>
      </c>
      <c r="Q490" s="3">
        <f t="shared" si="67"/>
        <v>0</v>
      </c>
      <c r="R490" s="3">
        <f t="shared" si="68"/>
        <v>0</v>
      </c>
      <c r="S490" s="3" t="e" cm="1">
        <f t="array" aca="1" ref="S490" ca="1">SUMPRODUCT(MID($P490,ROW(INDIRECT("1:23")),1)*2^(-ROW(INDIRECT("1:23"))))</f>
        <v>#VALUE!</v>
      </c>
      <c r="T490" s="3" t="e">
        <f t="shared" ca="1" si="69"/>
        <v>#VALUE!</v>
      </c>
      <c r="U490" s="3" t="e">
        <f t="shared" ca="1" si="70"/>
        <v>#VALUE!</v>
      </c>
      <c r="V490" s="73"/>
      <c r="W490" s="9" t="str">
        <f t="shared" si="71"/>
        <v>OK</v>
      </c>
    </row>
    <row r="491" spans="1:23" x14ac:dyDescent="0.3">
      <c r="A491" s="44">
        <v>488</v>
      </c>
      <c r="B491" s="14">
        <v>7</v>
      </c>
      <c r="C491" s="4">
        <v>30</v>
      </c>
      <c r="D491" s="3" t="str">
        <f>VLOOKUP($C491,Overall!$K$5:$T$36,2)</f>
        <v>Normal</v>
      </c>
      <c r="E491" s="3">
        <f ca="1">VLOOKUP($C491,Overall!$K$5:$T$36,10)</f>
        <v>-2.345678924830959E+38</v>
      </c>
      <c r="F491" s="9" t="str">
        <f>VLOOKUP($C491,Overall!$K$5:$T$36,6)</f>
        <v>11111111001100000111100000100010</v>
      </c>
      <c r="G491" s="8">
        <v>2</v>
      </c>
      <c r="H491" s="3" t="str">
        <f>VLOOKUP($G491,Overall!$K$5:$T$36,2)</f>
        <v>Underflow</v>
      </c>
      <c r="I491" s="3">
        <f ca="1">VLOOKUP($G491,Overall!$K$5:$T$36,10)</f>
        <v>2.9387386796526474E-39</v>
      </c>
      <c r="J491" s="62" t="str">
        <f>VLOOKUP($G491,Overall!$K$5:$T$36,6)</f>
        <v>00000000001000000000000000000010</v>
      </c>
      <c r="K491" s="8">
        <f t="shared" ca="1" si="63"/>
        <v>-0.6893337386446774</v>
      </c>
      <c r="L491" s="62">
        <f>VLOOKUP($B491,Overall!$B$5:$I$13,8)</f>
        <v>0</v>
      </c>
      <c r="M491" s="58"/>
      <c r="N491" s="3" t="str">
        <f t="shared" si="64"/>
        <v/>
      </c>
      <c r="O491" s="3" t="str">
        <f t="shared" si="65"/>
        <v/>
      </c>
      <c r="P491" s="3" t="str">
        <f t="shared" si="66"/>
        <v/>
      </c>
      <c r="Q491" s="3">
        <f t="shared" si="67"/>
        <v>0</v>
      </c>
      <c r="R491" s="3">
        <f t="shared" si="68"/>
        <v>0</v>
      </c>
      <c r="S491" s="3" t="e" cm="1">
        <f t="array" aca="1" ref="S491" ca="1">SUMPRODUCT(MID($P491,ROW(INDIRECT("1:23")),1)*2^(-ROW(INDIRECT("1:23"))))</f>
        <v>#VALUE!</v>
      </c>
      <c r="T491" s="3" t="e">
        <f t="shared" ca="1" si="69"/>
        <v>#VALUE!</v>
      </c>
      <c r="U491" s="3" t="e">
        <f t="shared" ca="1" si="70"/>
        <v>#VALUE!</v>
      </c>
      <c r="V491" s="73"/>
      <c r="W491" s="9" t="str">
        <f t="shared" si="71"/>
        <v>OK</v>
      </c>
    </row>
    <row r="492" spans="1:23" x14ac:dyDescent="0.3">
      <c r="A492" s="44">
        <v>489</v>
      </c>
      <c r="B492" s="14">
        <v>7</v>
      </c>
      <c r="C492" s="4">
        <v>30</v>
      </c>
      <c r="D492" s="3" t="str">
        <f>VLOOKUP($C492,Overall!$K$5:$T$36,2)</f>
        <v>Normal</v>
      </c>
      <c r="E492" s="3">
        <f ca="1">VLOOKUP($C492,Overall!$K$5:$T$36,10)</f>
        <v>-2.345678924830959E+38</v>
      </c>
      <c r="F492" s="9" t="str">
        <f>VLOOKUP($C492,Overall!$K$5:$T$36,6)</f>
        <v>11111111001100000111100000100010</v>
      </c>
      <c r="G492" s="8">
        <v>3</v>
      </c>
      <c r="H492" s="3" t="str">
        <f>VLOOKUP($G492,Overall!$K$5:$T$36,2)</f>
        <v>Underflow</v>
      </c>
      <c r="I492" s="3">
        <f ca="1">VLOOKUP($G492,Overall!$K$5:$T$36,10)</f>
        <v>1.1754942106924411E-38</v>
      </c>
      <c r="J492" s="62" t="str">
        <f>VLOOKUP($G492,Overall!$K$5:$T$36,6)</f>
        <v>00000000011111111111111111111111</v>
      </c>
      <c r="K492" s="8">
        <f t="shared" ca="1" si="63"/>
        <v>-2.7573319962820619</v>
      </c>
      <c r="L492" s="62">
        <f>VLOOKUP($B492,Overall!$B$5:$I$13,8)</f>
        <v>0</v>
      </c>
      <c r="M492" s="58"/>
      <c r="N492" s="3" t="str">
        <f t="shared" si="64"/>
        <v/>
      </c>
      <c r="O492" s="3" t="str">
        <f t="shared" si="65"/>
        <v/>
      </c>
      <c r="P492" s="3" t="str">
        <f t="shared" si="66"/>
        <v/>
      </c>
      <c r="Q492" s="3">
        <f t="shared" si="67"/>
        <v>0</v>
      </c>
      <c r="R492" s="3">
        <f t="shared" si="68"/>
        <v>0</v>
      </c>
      <c r="S492" s="3" t="e" cm="1">
        <f t="array" aca="1" ref="S492" ca="1">SUMPRODUCT(MID($P492,ROW(INDIRECT("1:23")),1)*2^(-ROW(INDIRECT("1:23"))))</f>
        <v>#VALUE!</v>
      </c>
      <c r="T492" s="3" t="e">
        <f t="shared" ca="1" si="69"/>
        <v>#VALUE!</v>
      </c>
      <c r="U492" s="3" t="e">
        <f t="shared" ca="1" si="70"/>
        <v>#VALUE!</v>
      </c>
      <c r="V492" s="73"/>
      <c r="W492" s="9" t="str">
        <f t="shared" si="71"/>
        <v>OK</v>
      </c>
    </row>
    <row r="493" spans="1:23" x14ac:dyDescent="0.3">
      <c r="A493" s="44">
        <v>490</v>
      </c>
      <c r="B493" s="14">
        <v>7</v>
      </c>
      <c r="C493" s="4">
        <v>30</v>
      </c>
      <c r="D493" s="3" t="str">
        <f>VLOOKUP($C493,Overall!$K$5:$T$36,2)</f>
        <v>Normal</v>
      </c>
      <c r="E493" s="3">
        <f ca="1">VLOOKUP($C493,Overall!$K$5:$T$36,10)</f>
        <v>-2.345678924830959E+38</v>
      </c>
      <c r="F493" s="9" t="str">
        <f>VLOOKUP($C493,Overall!$K$5:$T$36,6)</f>
        <v>11111111001100000111100000100010</v>
      </c>
      <c r="G493" s="8">
        <v>4</v>
      </c>
      <c r="H493" s="3" t="str">
        <f>VLOOKUP($G493,Overall!$K$5:$T$36,2)</f>
        <v>Underflow</v>
      </c>
      <c r="I493" s="3">
        <f ca="1">VLOOKUP($G493,Overall!$K$5:$T$36,10)</f>
        <v>-1.4012984643248171E-45</v>
      </c>
      <c r="J493" s="62" t="str">
        <f>VLOOKUP($G493,Overall!$K$5:$T$36,6)</f>
        <v>10000000000000000000000000000001</v>
      </c>
      <c r="K493" s="8">
        <f t="shared" ca="1" si="63"/>
        <v>3.2869962751647108E-7</v>
      </c>
      <c r="L493" s="62">
        <f>VLOOKUP($B493,Overall!$B$5:$I$13,8)</f>
        <v>0</v>
      </c>
      <c r="M493" s="58"/>
      <c r="N493" s="3" t="str">
        <f t="shared" si="64"/>
        <v/>
      </c>
      <c r="O493" s="3" t="str">
        <f t="shared" si="65"/>
        <v/>
      </c>
      <c r="P493" s="3" t="str">
        <f t="shared" si="66"/>
        <v/>
      </c>
      <c r="Q493" s="3">
        <f t="shared" si="67"/>
        <v>0</v>
      </c>
      <c r="R493" s="3">
        <f t="shared" si="68"/>
        <v>0</v>
      </c>
      <c r="S493" s="3" t="e" cm="1">
        <f t="array" aca="1" ref="S493" ca="1">SUMPRODUCT(MID($P493,ROW(INDIRECT("1:23")),1)*2^(-ROW(INDIRECT("1:23"))))</f>
        <v>#VALUE!</v>
      </c>
      <c r="T493" s="3" t="e">
        <f t="shared" ca="1" si="69"/>
        <v>#VALUE!</v>
      </c>
      <c r="U493" s="3" t="e">
        <f t="shared" ca="1" si="70"/>
        <v>#VALUE!</v>
      </c>
      <c r="V493" s="73"/>
      <c r="W493" s="9" t="str">
        <f t="shared" si="71"/>
        <v>OK</v>
      </c>
    </row>
    <row r="494" spans="1:23" x14ac:dyDescent="0.3">
      <c r="A494" s="44">
        <v>491</v>
      </c>
      <c r="B494" s="14">
        <v>7</v>
      </c>
      <c r="C494" s="4">
        <v>30</v>
      </c>
      <c r="D494" s="3" t="str">
        <f>VLOOKUP($C494,Overall!$K$5:$T$36,2)</f>
        <v>Normal</v>
      </c>
      <c r="E494" s="3">
        <f ca="1">VLOOKUP($C494,Overall!$K$5:$T$36,10)</f>
        <v>-2.345678924830959E+38</v>
      </c>
      <c r="F494" s="9" t="str">
        <f>VLOOKUP($C494,Overall!$K$5:$T$36,6)</f>
        <v>11111111001100000111100000100010</v>
      </c>
      <c r="G494" s="8">
        <v>5</v>
      </c>
      <c r="H494" s="3" t="str">
        <f>VLOOKUP($G494,Overall!$K$5:$T$36,2)</f>
        <v>Underflow</v>
      </c>
      <c r="I494" s="3">
        <f ca="1">VLOOKUP($G494,Overall!$K$5:$T$36,10)</f>
        <v>-2.9387386796526474E-39</v>
      </c>
      <c r="J494" s="62" t="str">
        <f>VLOOKUP($G494,Overall!$K$5:$T$36,6)</f>
        <v>10000000001000000000000000000010</v>
      </c>
      <c r="K494" s="8">
        <f t="shared" ca="1" si="63"/>
        <v>0.6893337386446774</v>
      </c>
      <c r="L494" s="62">
        <f>VLOOKUP($B494,Overall!$B$5:$I$13,8)</f>
        <v>0</v>
      </c>
      <c r="M494" s="58"/>
      <c r="N494" s="3" t="str">
        <f t="shared" si="64"/>
        <v/>
      </c>
      <c r="O494" s="3" t="str">
        <f t="shared" si="65"/>
        <v/>
      </c>
      <c r="P494" s="3" t="str">
        <f t="shared" si="66"/>
        <v/>
      </c>
      <c r="Q494" s="3">
        <f t="shared" si="67"/>
        <v>0</v>
      </c>
      <c r="R494" s="3">
        <f t="shared" si="68"/>
        <v>0</v>
      </c>
      <c r="S494" s="3" t="e" cm="1">
        <f t="array" aca="1" ref="S494" ca="1">SUMPRODUCT(MID($P494,ROW(INDIRECT("1:23")),1)*2^(-ROW(INDIRECT("1:23"))))</f>
        <v>#VALUE!</v>
      </c>
      <c r="T494" s="3" t="e">
        <f t="shared" ca="1" si="69"/>
        <v>#VALUE!</v>
      </c>
      <c r="U494" s="3" t="e">
        <f t="shared" ca="1" si="70"/>
        <v>#VALUE!</v>
      </c>
      <c r="V494" s="73"/>
      <c r="W494" s="9" t="str">
        <f t="shared" si="71"/>
        <v>OK</v>
      </c>
    </row>
    <row r="495" spans="1:23" x14ac:dyDescent="0.3">
      <c r="A495" s="44">
        <v>492</v>
      </c>
      <c r="B495" s="14">
        <v>7</v>
      </c>
      <c r="C495" s="4">
        <v>30</v>
      </c>
      <c r="D495" s="3" t="str">
        <f>VLOOKUP($C495,Overall!$K$5:$T$36,2)</f>
        <v>Normal</v>
      </c>
      <c r="E495" s="3">
        <f ca="1">VLOOKUP($C495,Overall!$K$5:$T$36,10)</f>
        <v>-2.345678924830959E+38</v>
      </c>
      <c r="F495" s="9" t="str">
        <f>VLOOKUP($C495,Overall!$K$5:$T$36,6)</f>
        <v>11111111001100000111100000100010</v>
      </c>
      <c r="G495" s="8">
        <v>6</v>
      </c>
      <c r="H495" s="3" t="str">
        <f>VLOOKUP($G495,Overall!$K$5:$T$36,2)</f>
        <v>Underflow</v>
      </c>
      <c r="I495" s="3">
        <f ca="1">VLOOKUP($G495,Overall!$K$5:$T$36,10)</f>
        <v>-1.1754942106924411E-38</v>
      </c>
      <c r="J495" s="62" t="str">
        <f>VLOOKUP($G495,Overall!$K$5:$T$36,6)</f>
        <v>10000000011111111111111111111111</v>
      </c>
      <c r="K495" s="8">
        <f t="shared" ca="1" si="63"/>
        <v>2.7573319962820619</v>
      </c>
      <c r="L495" s="62">
        <f>VLOOKUP($B495,Overall!$B$5:$I$13,8)</f>
        <v>0</v>
      </c>
      <c r="M495" s="58"/>
      <c r="N495" s="3" t="str">
        <f t="shared" si="64"/>
        <v/>
      </c>
      <c r="O495" s="3" t="str">
        <f t="shared" si="65"/>
        <v/>
      </c>
      <c r="P495" s="3" t="str">
        <f t="shared" si="66"/>
        <v/>
      </c>
      <c r="Q495" s="3">
        <f t="shared" si="67"/>
        <v>0</v>
      </c>
      <c r="R495" s="3">
        <f t="shared" si="68"/>
        <v>0</v>
      </c>
      <c r="S495" s="3" t="e" cm="1">
        <f t="array" aca="1" ref="S495" ca="1">SUMPRODUCT(MID($P495,ROW(INDIRECT("1:23")),1)*2^(-ROW(INDIRECT("1:23"))))</f>
        <v>#VALUE!</v>
      </c>
      <c r="T495" s="3" t="e">
        <f t="shared" ca="1" si="69"/>
        <v>#VALUE!</v>
      </c>
      <c r="U495" s="3" t="e">
        <f t="shared" ca="1" si="70"/>
        <v>#VALUE!</v>
      </c>
      <c r="V495" s="73"/>
      <c r="W495" s="9" t="str">
        <f t="shared" si="71"/>
        <v>OK</v>
      </c>
    </row>
    <row r="496" spans="1:23" x14ac:dyDescent="0.3">
      <c r="A496" s="44">
        <v>493</v>
      </c>
      <c r="B496" s="14">
        <v>7</v>
      </c>
      <c r="C496" s="4">
        <v>31</v>
      </c>
      <c r="D496" s="3" t="str">
        <f>VLOOKUP($C496,Overall!$K$5:$T$36,2)</f>
        <v>Normal</v>
      </c>
      <c r="E496" s="3">
        <f ca="1">VLOOKUP($C496,Overall!$K$5:$T$36,10)</f>
        <v>-3.4028232635611926E+38</v>
      </c>
      <c r="F496" s="9" t="str">
        <f>VLOOKUP($C496,Overall!$K$5:$T$36,6)</f>
        <v>11111111011111111111111111111110</v>
      </c>
      <c r="G496" s="8">
        <v>1</v>
      </c>
      <c r="H496" s="3" t="str">
        <f>VLOOKUP($G496,Overall!$K$5:$T$36,2)</f>
        <v>Underflow</v>
      </c>
      <c r="I496" s="3">
        <f ca="1">VLOOKUP($G496,Overall!$K$5:$T$36,10)</f>
        <v>1.4012984643248171E-45</v>
      </c>
      <c r="J496" s="62" t="str">
        <f>VLOOKUP($G496,Overall!$K$5:$T$36,6)</f>
        <v>00000000000000000000000000000001</v>
      </c>
      <c r="K496" s="8">
        <f t="shared" ca="1" si="63"/>
        <v>-4.7683710135970614E-7</v>
      </c>
      <c r="L496" s="62">
        <f>VLOOKUP($B496,Overall!$B$5:$I$13,8)</f>
        <v>0</v>
      </c>
      <c r="M496" s="58"/>
      <c r="N496" s="3" t="str">
        <f t="shared" si="64"/>
        <v/>
      </c>
      <c r="O496" s="3" t="str">
        <f t="shared" si="65"/>
        <v/>
      </c>
      <c r="P496" s="3" t="str">
        <f t="shared" si="66"/>
        <v/>
      </c>
      <c r="Q496" s="3">
        <f t="shared" si="67"/>
        <v>0</v>
      </c>
      <c r="R496" s="3">
        <f t="shared" si="68"/>
        <v>0</v>
      </c>
      <c r="S496" s="3" t="e" cm="1">
        <f t="array" aca="1" ref="S496" ca="1">SUMPRODUCT(MID($P496,ROW(INDIRECT("1:23")),1)*2^(-ROW(INDIRECT("1:23"))))</f>
        <v>#VALUE!</v>
      </c>
      <c r="T496" s="3" t="e">
        <f t="shared" ca="1" si="69"/>
        <v>#VALUE!</v>
      </c>
      <c r="U496" s="3" t="e">
        <f t="shared" ca="1" si="70"/>
        <v>#VALUE!</v>
      </c>
      <c r="V496" s="73"/>
      <c r="W496" s="9" t="str">
        <f t="shared" si="71"/>
        <v>OK</v>
      </c>
    </row>
    <row r="497" spans="1:23" x14ac:dyDescent="0.3">
      <c r="A497" s="44">
        <v>494</v>
      </c>
      <c r="B497" s="14">
        <v>7</v>
      </c>
      <c r="C497" s="4">
        <v>31</v>
      </c>
      <c r="D497" s="3" t="str">
        <f>VLOOKUP($C497,Overall!$K$5:$T$36,2)</f>
        <v>Normal</v>
      </c>
      <c r="E497" s="3">
        <f ca="1">VLOOKUP($C497,Overall!$K$5:$T$36,10)</f>
        <v>-3.4028232635611926E+38</v>
      </c>
      <c r="F497" s="9" t="str">
        <f>VLOOKUP($C497,Overall!$K$5:$T$36,6)</f>
        <v>11111111011111111111111111111110</v>
      </c>
      <c r="G497" s="8">
        <v>2</v>
      </c>
      <c r="H497" s="3" t="str">
        <f>VLOOKUP($G497,Overall!$K$5:$T$36,2)</f>
        <v>Underflow</v>
      </c>
      <c r="I497" s="3">
        <f ca="1">VLOOKUP($G497,Overall!$K$5:$T$36,10)</f>
        <v>2.9387386796526474E-39</v>
      </c>
      <c r="J497" s="62" t="str">
        <f>VLOOKUP($G497,Overall!$K$5:$T$36,6)</f>
        <v>00000000001000000000000000000010</v>
      </c>
      <c r="K497" s="8">
        <f t="shared" ca="1" si="63"/>
        <v>-1.0000008344649132</v>
      </c>
      <c r="L497" s="62">
        <f>VLOOKUP($B497,Overall!$B$5:$I$13,8)</f>
        <v>0</v>
      </c>
      <c r="M497" s="58"/>
      <c r="N497" s="3" t="str">
        <f t="shared" si="64"/>
        <v/>
      </c>
      <c r="O497" s="3" t="str">
        <f t="shared" si="65"/>
        <v/>
      </c>
      <c r="P497" s="3" t="str">
        <f t="shared" si="66"/>
        <v/>
      </c>
      <c r="Q497" s="3">
        <f t="shared" si="67"/>
        <v>0</v>
      </c>
      <c r="R497" s="3">
        <f t="shared" si="68"/>
        <v>0</v>
      </c>
      <c r="S497" s="3" t="e" cm="1">
        <f t="array" aca="1" ref="S497" ca="1">SUMPRODUCT(MID($P497,ROW(INDIRECT("1:23")),1)*2^(-ROW(INDIRECT("1:23"))))</f>
        <v>#VALUE!</v>
      </c>
      <c r="T497" s="3" t="e">
        <f t="shared" ca="1" si="69"/>
        <v>#VALUE!</v>
      </c>
      <c r="U497" s="3" t="e">
        <f t="shared" ca="1" si="70"/>
        <v>#VALUE!</v>
      </c>
      <c r="V497" s="73"/>
      <c r="W497" s="9" t="str">
        <f t="shared" si="71"/>
        <v>OK</v>
      </c>
    </row>
    <row r="498" spans="1:23" x14ac:dyDescent="0.3">
      <c r="A498" s="44">
        <v>495</v>
      </c>
      <c r="B498" s="14">
        <v>7</v>
      </c>
      <c r="C498" s="4">
        <v>31</v>
      </c>
      <c r="D498" s="3" t="str">
        <f>VLOOKUP($C498,Overall!$K$5:$T$36,2)</f>
        <v>Normal</v>
      </c>
      <c r="E498" s="3">
        <f ca="1">VLOOKUP($C498,Overall!$K$5:$T$36,10)</f>
        <v>-3.4028232635611926E+38</v>
      </c>
      <c r="F498" s="9" t="str">
        <f>VLOOKUP($C498,Overall!$K$5:$T$36,6)</f>
        <v>11111111011111111111111111111110</v>
      </c>
      <c r="G498" s="8">
        <v>3</v>
      </c>
      <c r="H498" s="3" t="str">
        <f>VLOOKUP($G498,Overall!$K$5:$T$36,2)</f>
        <v>Underflow</v>
      </c>
      <c r="I498" s="3">
        <f ca="1">VLOOKUP($G498,Overall!$K$5:$T$36,10)</f>
        <v>1.1754942106924411E-38</v>
      </c>
      <c r="J498" s="62" t="str">
        <f>VLOOKUP($G498,Overall!$K$5:$T$36,6)</f>
        <v>00000000011111111111111111111111</v>
      </c>
      <c r="K498" s="8">
        <f t="shared" ca="1" si="63"/>
        <v>-3.9999990463257404</v>
      </c>
      <c r="L498" s="62">
        <f>VLOOKUP($B498,Overall!$B$5:$I$13,8)</f>
        <v>0</v>
      </c>
      <c r="M498" s="58"/>
      <c r="N498" s="3" t="str">
        <f t="shared" si="64"/>
        <v/>
      </c>
      <c r="O498" s="3" t="str">
        <f t="shared" si="65"/>
        <v/>
      </c>
      <c r="P498" s="3" t="str">
        <f t="shared" si="66"/>
        <v/>
      </c>
      <c r="Q498" s="3">
        <f t="shared" si="67"/>
        <v>0</v>
      </c>
      <c r="R498" s="3">
        <f t="shared" si="68"/>
        <v>0</v>
      </c>
      <c r="S498" s="3" t="e" cm="1">
        <f t="array" aca="1" ref="S498" ca="1">SUMPRODUCT(MID($P498,ROW(INDIRECT("1:23")),1)*2^(-ROW(INDIRECT("1:23"))))</f>
        <v>#VALUE!</v>
      </c>
      <c r="T498" s="3" t="e">
        <f t="shared" ca="1" si="69"/>
        <v>#VALUE!</v>
      </c>
      <c r="U498" s="3" t="e">
        <f t="shared" ca="1" si="70"/>
        <v>#VALUE!</v>
      </c>
      <c r="V498" s="73"/>
      <c r="W498" s="9" t="str">
        <f t="shared" si="71"/>
        <v>OK</v>
      </c>
    </row>
    <row r="499" spans="1:23" x14ac:dyDescent="0.3">
      <c r="A499" s="44">
        <v>496</v>
      </c>
      <c r="B499" s="14">
        <v>7</v>
      </c>
      <c r="C499" s="4">
        <v>31</v>
      </c>
      <c r="D499" s="3" t="str">
        <f>VLOOKUP($C499,Overall!$K$5:$T$36,2)</f>
        <v>Normal</v>
      </c>
      <c r="E499" s="3">
        <f ca="1">VLOOKUP($C499,Overall!$K$5:$T$36,10)</f>
        <v>-3.4028232635611926E+38</v>
      </c>
      <c r="F499" s="9" t="str">
        <f>VLOOKUP($C499,Overall!$K$5:$T$36,6)</f>
        <v>11111111011111111111111111111110</v>
      </c>
      <c r="G499" s="8">
        <v>4</v>
      </c>
      <c r="H499" s="3" t="str">
        <f>VLOOKUP($G499,Overall!$K$5:$T$36,2)</f>
        <v>Underflow</v>
      </c>
      <c r="I499" s="3">
        <f ca="1">VLOOKUP($G499,Overall!$K$5:$T$36,10)</f>
        <v>-1.4012984643248171E-45</v>
      </c>
      <c r="J499" s="62" t="str">
        <f>VLOOKUP($G499,Overall!$K$5:$T$36,6)</f>
        <v>10000000000000000000000000000001</v>
      </c>
      <c r="K499" s="8">
        <f t="shared" ca="1" si="63"/>
        <v>4.7683710135970614E-7</v>
      </c>
      <c r="L499" s="62">
        <f>VLOOKUP($B499,Overall!$B$5:$I$13,8)</f>
        <v>0</v>
      </c>
      <c r="M499" s="58"/>
      <c r="N499" s="3" t="str">
        <f t="shared" si="64"/>
        <v/>
      </c>
      <c r="O499" s="3" t="str">
        <f t="shared" si="65"/>
        <v/>
      </c>
      <c r="P499" s="3" t="str">
        <f t="shared" si="66"/>
        <v/>
      </c>
      <c r="Q499" s="3">
        <f t="shared" si="67"/>
        <v>0</v>
      </c>
      <c r="R499" s="3">
        <f t="shared" si="68"/>
        <v>0</v>
      </c>
      <c r="S499" s="3" t="e" cm="1">
        <f t="array" aca="1" ref="S499" ca="1">SUMPRODUCT(MID($P499,ROW(INDIRECT("1:23")),1)*2^(-ROW(INDIRECT("1:23"))))</f>
        <v>#VALUE!</v>
      </c>
      <c r="T499" s="3" t="e">
        <f t="shared" ca="1" si="69"/>
        <v>#VALUE!</v>
      </c>
      <c r="U499" s="3" t="e">
        <f t="shared" ca="1" si="70"/>
        <v>#VALUE!</v>
      </c>
      <c r="V499" s="73"/>
      <c r="W499" s="9" t="str">
        <f t="shared" si="71"/>
        <v>OK</v>
      </c>
    </row>
    <row r="500" spans="1:23" x14ac:dyDescent="0.3">
      <c r="A500" s="44">
        <v>497</v>
      </c>
      <c r="B500" s="14">
        <v>7</v>
      </c>
      <c r="C500" s="4">
        <v>31</v>
      </c>
      <c r="D500" s="3" t="str">
        <f>VLOOKUP($C500,Overall!$K$5:$T$36,2)</f>
        <v>Normal</v>
      </c>
      <c r="E500" s="3">
        <f ca="1">VLOOKUP($C500,Overall!$K$5:$T$36,10)</f>
        <v>-3.4028232635611926E+38</v>
      </c>
      <c r="F500" s="9" t="str">
        <f>VLOOKUP($C500,Overall!$K$5:$T$36,6)</f>
        <v>11111111011111111111111111111110</v>
      </c>
      <c r="G500" s="8">
        <v>5</v>
      </c>
      <c r="H500" s="3" t="str">
        <f>VLOOKUP($G500,Overall!$K$5:$T$36,2)</f>
        <v>Underflow</v>
      </c>
      <c r="I500" s="3">
        <f ca="1">VLOOKUP($G500,Overall!$K$5:$T$36,10)</f>
        <v>-2.9387386796526474E-39</v>
      </c>
      <c r="J500" s="62" t="str">
        <f>VLOOKUP($G500,Overall!$K$5:$T$36,6)</f>
        <v>10000000001000000000000000000010</v>
      </c>
      <c r="K500" s="8">
        <f t="shared" ca="1" si="63"/>
        <v>1.0000008344649132</v>
      </c>
      <c r="L500" s="62">
        <f>VLOOKUP($B500,Overall!$B$5:$I$13,8)</f>
        <v>0</v>
      </c>
      <c r="M500" s="58"/>
      <c r="N500" s="3" t="str">
        <f t="shared" si="64"/>
        <v/>
      </c>
      <c r="O500" s="3" t="str">
        <f t="shared" si="65"/>
        <v/>
      </c>
      <c r="P500" s="3" t="str">
        <f t="shared" si="66"/>
        <v/>
      </c>
      <c r="Q500" s="3">
        <f t="shared" si="67"/>
        <v>0</v>
      </c>
      <c r="R500" s="3">
        <f t="shared" si="68"/>
        <v>0</v>
      </c>
      <c r="S500" s="3" t="e" cm="1">
        <f t="array" aca="1" ref="S500" ca="1">SUMPRODUCT(MID($P500,ROW(INDIRECT("1:23")),1)*2^(-ROW(INDIRECT("1:23"))))</f>
        <v>#VALUE!</v>
      </c>
      <c r="T500" s="3" t="e">
        <f t="shared" ca="1" si="69"/>
        <v>#VALUE!</v>
      </c>
      <c r="U500" s="3" t="e">
        <f t="shared" ca="1" si="70"/>
        <v>#VALUE!</v>
      </c>
      <c r="V500" s="73"/>
      <c r="W500" s="9" t="str">
        <f t="shared" si="71"/>
        <v>OK</v>
      </c>
    </row>
    <row r="501" spans="1:23" x14ac:dyDescent="0.3">
      <c r="A501" s="44">
        <v>498</v>
      </c>
      <c r="B501" s="14">
        <v>7</v>
      </c>
      <c r="C501" s="4">
        <v>31</v>
      </c>
      <c r="D501" s="3" t="str">
        <f>VLOOKUP($C501,Overall!$K$5:$T$36,2)</f>
        <v>Normal</v>
      </c>
      <c r="E501" s="3">
        <f ca="1">VLOOKUP($C501,Overall!$K$5:$T$36,10)</f>
        <v>-3.4028232635611926E+38</v>
      </c>
      <c r="F501" s="9" t="str">
        <f>VLOOKUP($C501,Overall!$K$5:$T$36,6)</f>
        <v>11111111011111111111111111111110</v>
      </c>
      <c r="G501" s="8">
        <v>6</v>
      </c>
      <c r="H501" s="3" t="str">
        <f>VLOOKUP($G501,Overall!$K$5:$T$36,2)</f>
        <v>Underflow</v>
      </c>
      <c r="I501" s="3">
        <f ca="1">VLOOKUP($G501,Overall!$K$5:$T$36,10)</f>
        <v>-1.1754942106924411E-38</v>
      </c>
      <c r="J501" s="62" t="str">
        <f>VLOOKUP($G501,Overall!$K$5:$T$36,6)</f>
        <v>10000000011111111111111111111111</v>
      </c>
      <c r="K501" s="8">
        <f t="shared" ca="1" si="63"/>
        <v>3.9999990463257404</v>
      </c>
      <c r="L501" s="62">
        <f>VLOOKUP($B501,Overall!$B$5:$I$13,8)</f>
        <v>0</v>
      </c>
      <c r="M501" s="58"/>
      <c r="N501" s="3" t="str">
        <f t="shared" si="64"/>
        <v/>
      </c>
      <c r="O501" s="3" t="str">
        <f t="shared" si="65"/>
        <v/>
      </c>
      <c r="P501" s="3" t="str">
        <f t="shared" si="66"/>
        <v/>
      </c>
      <c r="Q501" s="3">
        <f t="shared" si="67"/>
        <v>0</v>
      </c>
      <c r="R501" s="3">
        <f t="shared" si="68"/>
        <v>0</v>
      </c>
      <c r="S501" s="3" t="e" cm="1">
        <f t="array" aca="1" ref="S501" ca="1">SUMPRODUCT(MID($P501,ROW(INDIRECT("1:23")),1)*2^(-ROW(INDIRECT("1:23"))))</f>
        <v>#VALUE!</v>
      </c>
      <c r="T501" s="3" t="e">
        <f t="shared" ca="1" si="69"/>
        <v>#VALUE!</v>
      </c>
      <c r="U501" s="3" t="e">
        <f t="shared" ca="1" si="70"/>
        <v>#VALUE!</v>
      </c>
      <c r="V501" s="73"/>
      <c r="W501" s="9" t="str">
        <f t="shared" si="71"/>
        <v>OK</v>
      </c>
    </row>
    <row r="502" spans="1:23" x14ac:dyDescent="0.3">
      <c r="A502" s="44">
        <v>499</v>
      </c>
      <c r="B502" s="14">
        <v>7</v>
      </c>
      <c r="C502" s="4">
        <v>32</v>
      </c>
      <c r="D502" s="3" t="str">
        <f>VLOOKUP($C502,Overall!$K$5:$T$36,2)</f>
        <v>Normal</v>
      </c>
      <c r="E502" s="3">
        <f ca="1">VLOOKUP($C502,Overall!$K$5:$T$36,10)</f>
        <v>-3.4028234663852886E+38</v>
      </c>
      <c r="F502" s="9" t="str">
        <f>VLOOKUP($C502,Overall!$K$5:$T$36,6)</f>
        <v>11111111011111111111111111111111</v>
      </c>
      <c r="G502" s="8">
        <v>1</v>
      </c>
      <c r="H502" s="3" t="str">
        <f>VLOOKUP($G502,Overall!$K$5:$T$36,2)</f>
        <v>Underflow</v>
      </c>
      <c r="I502" s="3">
        <f ca="1">VLOOKUP($G502,Overall!$K$5:$T$36,10)</f>
        <v>1.4012984643248171E-45</v>
      </c>
      <c r="J502" s="62" t="str">
        <f>VLOOKUP($G502,Overall!$K$5:$T$36,6)</f>
        <v>00000000000000000000000000000001</v>
      </c>
      <c r="K502" s="8">
        <f t="shared" ca="1" si="63"/>
        <v>-4.7683712978141557E-7</v>
      </c>
      <c r="L502" s="62">
        <f>VLOOKUP($B502,Overall!$B$5:$I$13,8)</f>
        <v>0</v>
      </c>
      <c r="M502" s="58"/>
      <c r="N502" s="3" t="str">
        <f t="shared" si="64"/>
        <v/>
      </c>
      <c r="O502" s="3" t="str">
        <f t="shared" si="65"/>
        <v/>
      </c>
      <c r="P502" s="3" t="str">
        <f t="shared" si="66"/>
        <v/>
      </c>
      <c r="Q502" s="3">
        <f t="shared" si="67"/>
        <v>0</v>
      </c>
      <c r="R502" s="3">
        <f t="shared" si="68"/>
        <v>0</v>
      </c>
      <c r="S502" s="3" t="e" cm="1">
        <f t="array" aca="1" ref="S502" ca="1">SUMPRODUCT(MID($P502,ROW(INDIRECT("1:23")),1)*2^(-ROW(INDIRECT("1:23"))))</f>
        <v>#VALUE!</v>
      </c>
      <c r="T502" s="3" t="e">
        <f t="shared" ca="1" si="69"/>
        <v>#VALUE!</v>
      </c>
      <c r="U502" s="3" t="e">
        <f t="shared" ca="1" si="70"/>
        <v>#VALUE!</v>
      </c>
      <c r="V502" s="73"/>
      <c r="W502" s="9" t="str">
        <f t="shared" si="71"/>
        <v>OK</v>
      </c>
    </row>
    <row r="503" spans="1:23" x14ac:dyDescent="0.3">
      <c r="A503" s="44">
        <v>500</v>
      </c>
      <c r="B503" s="14">
        <v>7</v>
      </c>
      <c r="C503" s="4">
        <v>32</v>
      </c>
      <c r="D503" s="3" t="str">
        <f>VLOOKUP($C503,Overall!$K$5:$T$36,2)</f>
        <v>Normal</v>
      </c>
      <c r="E503" s="3">
        <f ca="1">VLOOKUP($C503,Overall!$K$5:$T$36,10)</f>
        <v>-3.4028234663852886E+38</v>
      </c>
      <c r="F503" s="9" t="str">
        <f>VLOOKUP($C503,Overall!$K$5:$T$36,6)</f>
        <v>11111111011111111111111111111111</v>
      </c>
      <c r="G503" s="8">
        <v>2</v>
      </c>
      <c r="H503" s="3" t="str">
        <f>VLOOKUP($G503,Overall!$K$5:$T$36,2)</f>
        <v>Underflow</v>
      </c>
      <c r="I503" s="3">
        <f ca="1">VLOOKUP($G503,Overall!$K$5:$T$36,10)</f>
        <v>2.9387386796526474E-39</v>
      </c>
      <c r="J503" s="62" t="str">
        <f>VLOOKUP($G503,Overall!$K$5:$T$36,6)</f>
        <v>00000000001000000000000000000010</v>
      </c>
      <c r="K503" s="8">
        <f t="shared" ca="1" si="63"/>
        <v>-1.0000008940696148</v>
      </c>
      <c r="L503" s="62">
        <f>VLOOKUP($B503,Overall!$B$5:$I$13,8)</f>
        <v>0</v>
      </c>
      <c r="M503" s="58"/>
      <c r="N503" s="3" t="str">
        <f t="shared" si="64"/>
        <v/>
      </c>
      <c r="O503" s="3" t="str">
        <f t="shared" si="65"/>
        <v/>
      </c>
      <c r="P503" s="3" t="str">
        <f t="shared" si="66"/>
        <v/>
      </c>
      <c r="Q503" s="3">
        <f t="shared" si="67"/>
        <v>0</v>
      </c>
      <c r="R503" s="3">
        <f t="shared" si="68"/>
        <v>0</v>
      </c>
      <c r="S503" s="3" t="e" cm="1">
        <f t="array" aca="1" ref="S503" ca="1">SUMPRODUCT(MID($P503,ROW(INDIRECT("1:23")),1)*2^(-ROW(INDIRECT("1:23"))))</f>
        <v>#VALUE!</v>
      </c>
      <c r="T503" s="3" t="e">
        <f t="shared" ca="1" si="69"/>
        <v>#VALUE!</v>
      </c>
      <c r="U503" s="3" t="e">
        <f t="shared" ca="1" si="70"/>
        <v>#VALUE!</v>
      </c>
      <c r="V503" s="73"/>
      <c r="W503" s="9" t="str">
        <f t="shared" si="71"/>
        <v>OK</v>
      </c>
    </row>
    <row r="504" spans="1:23" x14ac:dyDescent="0.3">
      <c r="A504" s="44">
        <v>501</v>
      </c>
      <c r="B504" s="14">
        <v>7</v>
      </c>
      <c r="C504" s="4">
        <v>32</v>
      </c>
      <c r="D504" s="3" t="str">
        <f>VLOOKUP($C504,Overall!$K$5:$T$36,2)</f>
        <v>Normal</v>
      </c>
      <c r="E504" s="3">
        <f ca="1">VLOOKUP($C504,Overall!$K$5:$T$36,10)</f>
        <v>-3.4028234663852886E+38</v>
      </c>
      <c r="F504" s="9" t="str">
        <f>VLOOKUP($C504,Overall!$K$5:$T$36,6)</f>
        <v>11111111011111111111111111111111</v>
      </c>
      <c r="G504" s="8">
        <v>3</v>
      </c>
      <c r="H504" s="3" t="str">
        <f>VLOOKUP($G504,Overall!$K$5:$T$36,2)</f>
        <v>Underflow</v>
      </c>
      <c r="I504" s="3">
        <f ca="1">VLOOKUP($G504,Overall!$K$5:$T$36,10)</f>
        <v>1.1754942106924411E-38</v>
      </c>
      <c r="J504" s="62" t="str">
        <f>VLOOKUP($G504,Overall!$K$5:$T$36,6)</f>
        <v>00000000011111111111111111111111</v>
      </c>
      <c r="K504" s="8">
        <f t="shared" ca="1" si="63"/>
        <v>-3.9999992847442911</v>
      </c>
      <c r="L504" s="62">
        <f>VLOOKUP($B504,Overall!$B$5:$I$13,8)</f>
        <v>0</v>
      </c>
      <c r="M504" s="58"/>
      <c r="N504" s="3" t="str">
        <f t="shared" si="64"/>
        <v/>
      </c>
      <c r="O504" s="3" t="str">
        <f t="shared" si="65"/>
        <v/>
      </c>
      <c r="P504" s="3" t="str">
        <f t="shared" si="66"/>
        <v/>
      </c>
      <c r="Q504" s="3">
        <f t="shared" si="67"/>
        <v>0</v>
      </c>
      <c r="R504" s="3">
        <f t="shared" si="68"/>
        <v>0</v>
      </c>
      <c r="S504" s="3" t="e" cm="1">
        <f t="array" aca="1" ref="S504" ca="1">SUMPRODUCT(MID($P504,ROW(INDIRECT("1:23")),1)*2^(-ROW(INDIRECT("1:23"))))</f>
        <v>#VALUE!</v>
      </c>
      <c r="T504" s="3" t="e">
        <f t="shared" ca="1" si="69"/>
        <v>#VALUE!</v>
      </c>
      <c r="U504" s="3" t="e">
        <f t="shared" ca="1" si="70"/>
        <v>#VALUE!</v>
      </c>
      <c r="V504" s="73"/>
      <c r="W504" s="9" t="str">
        <f t="shared" si="71"/>
        <v>OK</v>
      </c>
    </row>
    <row r="505" spans="1:23" x14ac:dyDescent="0.3">
      <c r="A505" s="44">
        <v>502</v>
      </c>
      <c r="B505" s="14">
        <v>7</v>
      </c>
      <c r="C505" s="4">
        <v>32</v>
      </c>
      <c r="D505" s="3" t="str">
        <f>VLOOKUP($C505,Overall!$K$5:$T$36,2)</f>
        <v>Normal</v>
      </c>
      <c r="E505" s="3">
        <f ca="1">VLOOKUP($C505,Overall!$K$5:$T$36,10)</f>
        <v>-3.4028234663852886E+38</v>
      </c>
      <c r="F505" s="9" t="str">
        <f>VLOOKUP($C505,Overall!$K$5:$T$36,6)</f>
        <v>11111111011111111111111111111111</v>
      </c>
      <c r="G505" s="8">
        <v>4</v>
      </c>
      <c r="H505" s="3" t="str">
        <f>VLOOKUP($G505,Overall!$K$5:$T$36,2)</f>
        <v>Underflow</v>
      </c>
      <c r="I505" s="3">
        <f ca="1">VLOOKUP($G505,Overall!$K$5:$T$36,10)</f>
        <v>-1.4012984643248171E-45</v>
      </c>
      <c r="J505" s="62" t="str">
        <f>VLOOKUP($G505,Overall!$K$5:$T$36,6)</f>
        <v>10000000000000000000000000000001</v>
      </c>
      <c r="K505" s="8">
        <f t="shared" ca="1" si="63"/>
        <v>4.7683712978141557E-7</v>
      </c>
      <c r="L505" s="62">
        <f>VLOOKUP($B505,Overall!$B$5:$I$13,8)</f>
        <v>0</v>
      </c>
      <c r="M505" s="58"/>
      <c r="N505" s="3" t="str">
        <f t="shared" si="64"/>
        <v/>
      </c>
      <c r="O505" s="3" t="str">
        <f t="shared" si="65"/>
        <v/>
      </c>
      <c r="P505" s="3" t="str">
        <f t="shared" si="66"/>
        <v/>
      </c>
      <c r="Q505" s="3">
        <f t="shared" si="67"/>
        <v>0</v>
      </c>
      <c r="R505" s="3">
        <f t="shared" si="68"/>
        <v>0</v>
      </c>
      <c r="S505" s="3" t="e" cm="1">
        <f t="array" aca="1" ref="S505" ca="1">SUMPRODUCT(MID($P505,ROW(INDIRECT("1:23")),1)*2^(-ROW(INDIRECT("1:23"))))</f>
        <v>#VALUE!</v>
      </c>
      <c r="T505" s="3" t="e">
        <f t="shared" ca="1" si="69"/>
        <v>#VALUE!</v>
      </c>
      <c r="U505" s="3" t="e">
        <f t="shared" ca="1" si="70"/>
        <v>#VALUE!</v>
      </c>
      <c r="V505" s="73"/>
      <c r="W505" s="9" t="str">
        <f t="shared" si="71"/>
        <v>OK</v>
      </c>
    </row>
    <row r="506" spans="1:23" x14ac:dyDescent="0.3">
      <c r="A506" s="44">
        <v>503</v>
      </c>
      <c r="B506" s="14">
        <v>7</v>
      </c>
      <c r="C506" s="4">
        <v>32</v>
      </c>
      <c r="D506" s="3" t="str">
        <f>VLOOKUP($C506,Overall!$K$5:$T$36,2)</f>
        <v>Normal</v>
      </c>
      <c r="E506" s="3">
        <f ca="1">VLOOKUP($C506,Overall!$K$5:$T$36,10)</f>
        <v>-3.4028234663852886E+38</v>
      </c>
      <c r="F506" s="9" t="str">
        <f>VLOOKUP($C506,Overall!$K$5:$T$36,6)</f>
        <v>11111111011111111111111111111111</v>
      </c>
      <c r="G506" s="8">
        <v>5</v>
      </c>
      <c r="H506" s="3" t="str">
        <f>VLOOKUP($G506,Overall!$K$5:$T$36,2)</f>
        <v>Underflow</v>
      </c>
      <c r="I506" s="3">
        <f ca="1">VLOOKUP($G506,Overall!$K$5:$T$36,10)</f>
        <v>-2.9387386796526474E-39</v>
      </c>
      <c r="J506" s="62" t="str">
        <f>VLOOKUP($G506,Overall!$K$5:$T$36,6)</f>
        <v>10000000001000000000000000000010</v>
      </c>
      <c r="K506" s="8">
        <f t="shared" ca="1" si="63"/>
        <v>1.0000008940696148</v>
      </c>
      <c r="L506" s="62">
        <f>VLOOKUP($B506,Overall!$B$5:$I$13,8)</f>
        <v>0</v>
      </c>
      <c r="M506" s="58"/>
      <c r="N506" s="3" t="str">
        <f t="shared" si="64"/>
        <v/>
      </c>
      <c r="O506" s="3" t="str">
        <f t="shared" si="65"/>
        <v/>
      </c>
      <c r="P506" s="3" t="str">
        <f t="shared" si="66"/>
        <v/>
      </c>
      <c r="Q506" s="3">
        <f t="shared" si="67"/>
        <v>0</v>
      </c>
      <c r="R506" s="3">
        <f t="shared" si="68"/>
        <v>0</v>
      </c>
      <c r="S506" s="3" t="e" cm="1">
        <f t="array" aca="1" ref="S506" ca="1">SUMPRODUCT(MID($P506,ROW(INDIRECT("1:23")),1)*2^(-ROW(INDIRECT("1:23"))))</f>
        <v>#VALUE!</v>
      </c>
      <c r="T506" s="3" t="e">
        <f t="shared" ca="1" si="69"/>
        <v>#VALUE!</v>
      </c>
      <c r="U506" s="3" t="e">
        <f t="shared" ca="1" si="70"/>
        <v>#VALUE!</v>
      </c>
      <c r="V506" s="73"/>
      <c r="W506" s="9" t="str">
        <f t="shared" si="71"/>
        <v>OK</v>
      </c>
    </row>
    <row r="507" spans="1:23" x14ac:dyDescent="0.3">
      <c r="A507" s="44">
        <v>504</v>
      </c>
      <c r="B507" s="14">
        <v>7</v>
      </c>
      <c r="C507" s="4">
        <v>32</v>
      </c>
      <c r="D507" s="3" t="str">
        <f>VLOOKUP($C507,Overall!$K$5:$T$36,2)</f>
        <v>Normal</v>
      </c>
      <c r="E507" s="3">
        <f ca="1">VLOOKUP($C507,Overall!$K$5:$T$36,10)</f>
        <v>-3.4028234663852886E+38</v>
      </c>
      <c r="F507" s="9" t="str">
        <f>VLOOKUP($C507,Overall!$K$5:$T$36,6)</f>
        <v>11111111011111111111111111111111</v>
      </c>
      <c r="G507" s="8">
        <v>6</v>
      </c>
      <c r="H507" s="3" t="str">
        <f>VLOOKUP($G507,Overall!$K$5:$T$36,2)</f>
        <v>Underflow</v>
      </c>
      <c r="I507" s="3">
        <f ca="1">VLOOKUP($G507,Overall!$K$5:$T$36,10)</f>
        <v>-1.1754942106924411E-38</v>
      </c>
      <c r="J507" s="62" t="str">
        <f>VLOOKUP($G507,Overall!$K$5:$T$36,6)</f>
        <v>10000000011111111111111111111111</v>
      </c>
      <c r="K507" s="8">
        <f t="shared" ca="1" si="63"/>
        <v>3.9999992847442911</v>
      </c>
      <c r="L507" s="62">
        <f>VLOOKUP($B507,Overall!$B$5:$I$13,8)</f>
        <v>0</v>
      </c>
      <c r="M507" s="58"/>
      <c r="N507" s="3" t="str">
        <f t="shared" si="64"/>
        <v/>
      </c>
      <c r="O507" s="3" t="str">
        <f t="shared" si="65"/>
        <v/>
      </c>
      <c r="P507" s="3" t="str">
        <f t="shared" si="66"/>
        <v/>
      </c>
      <c r="Q507" s="3">
        <f t="shared" si="67"/>
        <v>0</v>
      </c>
      <c r="R507" s="3">
        <f t="shared" si="68"/>
        <v>0</v>
      </c>
      <c r="S507" s="3" t="e" cm="1">
        <f t="array" aca="1" ref="S507" ca="1">SUMPRODUCT(MID($P507,ROW(INDIRECT("1:23")),1)*2^(-ROW(INDIRECT("1:23"))))</f>
        <v>#VALUE!</v>
      </c>
      <c r="T507" s="3" t="e">
        <f t="shared" ca="1" si="69"/>
        <v>#VALUE!</v>
      </c>
      <c r="U507" s="3" t="e">
        <f t="shared" ca="1" si="70"/>
        <v>#VALUE!</v>
      </c>
      <c r="V507" s="73"/>
      <c r="W507" s="9" t="str">
        <f t="shared" si="71"/>
        <v>OK</v>
      </c>
    </row>
    <row r="508" spans="1:23" x14ac:dyDescent="0.3">
      <c r="A508" s="44">
        <v>505</v>
      </c>
      <c r="B508" s="14">
        <v>8</v>
      </c>
      <c r="C508" s="4">
        <v>13</v>
      </c>
      <c r="D508" s="3" t="str">
        <f>VLOOKUP($C508,Overall!$K$5:$T$36,2)</f>
        <v>Normal</v>
      </c>
      <c r="E508" s="3">
        <f ca="1">VLOOKUP($C508,Overall!$K$5:$T$36,10)</f>
        <v>0</v>
      </c>
      <c r="F508" s="9" t="str">
        <f>VLOOKUP($C508,Overall!$K$5:$T$36,6)</f>
        <v>00000000000000000000000000000000</v>
      </c>
      <c r="G508" s="8">
        <v>7</v>
      </c>
      <c r="H508" s="3" t="str">
        <f>VLOOKUP($G508,Overall!$K$5:$T$36,2)</f>
        <v>Overflow</v>
      </c>
      <c r="I508" s="3">
        <f ca="1">VLOOKUP($G508,Overall!$K$5:$T$36,10)</f>
        <v>3.4028240748575767E+38</v>
      </c>
      <c r="J508" s="62" t="str">
        <f>VLOOKUP($G508,Overall!$K$5:$T$36,6)</f>
        <v>01111111100000000000000000000001</v>
      </c>
      <c r="K508" s="8">
        <f t="shared" ca="1" si="63"/>
        <v>0</v>
      </c>
      <c r="L508" s="62">
        <f>VLOOKUP($B508,Overall!$B$5:$I$13,8)</f>
        <v>0</v>
      </c>
      <c r="M508" s="58"/>
      <c r="N508" s="3" t="str">
        <f t="shared" si="64"/>
        <v/>
      </c>
      <c r="O508" s="3" t="str">
        <f t="shared" si="65"/>
        <v/>
      </c>
      <c r="P508" s="3" t="str">
        <f t="shared" si="66"/>
        <v/>
      </c>
      <c r="Q508" s="3">
        <f t="shared" si="67"/>
        <v>0</v>
      </c>
      <c r="R508" s="3">
        <f t="shared" si="68"/>
        <v>0</v>
      </c>
      <c r="S508" s="3" t="e" cm="1">
        <f t="array" aca="1" ref="S508" ca="1">SUMPRODUCT(MID($P508,ROW(INDIRECT("1:23")),1)*2^(-ROW(INDIRECT("1:23"))))</f>
        <v>#VALUE!</v>
      </c>
      <c r="T508" s="3" t="e">
        <f t="shared" ca="1" si="69"/>
        <v>#VALUE!</v>
      </c>
      <c r="U508" s="3" t="e">
        <f t="shared" ca="1" si="70"/>
        <v>#VALUE!</v>
      </c>
      <c r="V508" s="73"/>
      <c r="W508" s="9" t="str">
        <f t="shared" si="71"/>
        <v>OK</v>
      </c>
    </row>
    <row r="509" spans="1:23" x14ac:dyDescent="0.3">
      <c r="A509" s="44">
        <v>506</v>
      </c>
      <c r="B509" s="14">
        <v>8</v>
      </c>
      <c r="C509" s="4">
        <v>13</v>
      </c>
      <c r="D509" s="3" t="str">
        <f>VLOOKUP($C509,Overall!$K$5:$T$36,2)</f>
        <v>Normal</v>
      </c>
      <c r="E509" s="3">
        <f ca="1">VLOOKUP($C509,Overall!$K$5:$T$36,10)</f>
        <v>0</v>
      </c>
      <c r="F509" s="9" t="str">
        <f>VLOOKUP($C509,Overall!$K$5:$T$36,6)</f>
        <v>00000000000000000000000000000000</v>
      </c>
      <c r="G509" s="8">
        <v>8</v>
      </c>
      <c r="H509" s="3" t="str">
        <f>VLOOKUP($G509,Overall!$K$5:$T$36,2)</f>
        <v>Overflow</v>
      </c>
      <c r="I509" s="3">
        <f ca="1">VLOOKUP($G509,Overall!$K$5:$T$36,10)</f>
        <v>4.2535303978081149E+38</v>
      </c>
      <c r="J509" s="62" t="str">
        <f>VLOOKUP($G509,Overall!$K$5:$T$36,6)</f>
        <v>01111111101000000000000000000010</v>
      </c>
      <c r="K509" s="8">
        <f t="shared" ca="1" si="63"/>
        <v>0</v>
      </c>
      <c r="L509" s="62">
        <f>VLOOKUP($B509,Overall!$B$5:$I$13,8)</f>
        <v>0</v>
      </c>
      <c r="M509" s="58"/>
      <c r="N509" s="3" t="str">
        <f t="shared" si="64"/>
        <v/>
      </c>
      <c r="O509" s="3" t="str">
        <f t="shared" si="65"/>
        <v/>
      </c>
      <c r="P509" s="3" t="str">
        <f t="shared" si="66"/>
        <v/>
      </c>
      <c r="Q509" s="3">
        <f t="shared" si="67"/>
        <v>0</v>
      </c>
      <c r="R509" s="3">
        <f t="shared" si="68"/>
        <v>0</v>
      </c>
      <c r="S509" s="3" t="e" cm="1">
        <f t="array" aca="1" ref="S509" ca="1">SUMPRODUCT(MID($P509,ROW(INDIRECT("1:23")),1)*2^(-ROW(INDIRECT("1:23"))))</f>
        <v>#VALUE!</v>
      </c>
      <c r="T509" s="3" t="e">
        <f t="shared" ca="1" si="69"/>
        <v>#VALUE!</v>
      </c>
      <c r="U509" s="3" t="e">
        <f t="shared" ca="1" si="70"/>
        <v>#VALUE!</v>
      </c>
      <c r="V509" s="73"/>
      <c r="W509" s="9" t="str">
        <f t="shared" si="71"/>
        <v>OK</v>
      </c>
    </row>
    <row r="510" spans="1:23" x14ac:dyDescent="0.3">
      <c r="A510" s="44">
        <v>507</v>
      </c>
      <c r="B510" s="14">
        <v>8</v>
      </c>
      <c r="C510" s="4">
        <v>13</v>
      </c>
      <c r="D510" s="3" t="str">
        <f>VLOOKUP($C510,Overall!$K$5:$T$36,2)</f>
        <v>Normal</v>
      </c>
      <c r="E510" s="3">
        <f ca="1">VLOOKUP($C510,Overall!$K$5:$T$36,10)</f>
        <v>0</v>
      </c>
      <c r="F510" s="9" t="str">
        <f>VLOOKUP($C510,Overall!$K$5:$T$36,6)</f>
        <v>00000000000000000000000000000000</v>
      </c>
      <c r="G510" s="8">
        <v>9</v>
      </c>
      <c r="H510" s="3" t="str">
        <f>VLOOKUP($G510,Overall!$K$5:$T$36,2)</f>
        <v>Overflow</v>
      </c>
      <c r="I510" s="3">
        <f ca="1">VLOOKUP($G510,Overall!$K$5:$T$36,10)</f>
        <v>6.8056469327705772E+38</v>
      </c>
      <c r="J510" s="62" t="str">
        <f>VLOOKUP($G510,Overall!$K$5:$T$36,6)</f>
        <v>01111111111111111111111111111111</v>
      </c>
      <c r="K510" s="8">
        <f t="shared" ca="1" si="63"/>
        <v>0</v>
      </c>
      <c r="L510" s="62">
        <f>VLOOKUP($B510,Overall!$B$5:$I$13,8)</f>
        <v>0</v>
      </c>
      <c r="M510" s="58"/>
      <c r="N510" s="3" t="str">
        <f t="shared" si="64"/>
        <v/>
      </c>
      <c r="O510" s="3" t="str">
        <f t="shared" si="65"/>
        <v/>
      </c>
      <c r="P510" s="3" t="str">
        <f t="shared" si="66"/>
        <v/>
      </c>
      <c r="Q510" s="3">
        <f t="shared" si="67"/>
        <v>0</v>
      </c>
      <c r="R510" s="3">
        <f t="shared" si="68"/>
        <v>0</v>
      </c>
      <c r="S510" s="3" t="e" cm="1">
        <f t="array" aca="1" ref="S510" ca="1">SUMPRODUCT(MID($P510,ROW(INDIRECT("1:23")),1)*2^(-ROW(INDIRECT("1:23"))))</f>
        <v>#VALUE!</v>
      </c>
      <c r="T510" s="3" t="e">
        <f t="shared" ca="1" si="69"/>
        <v>#VALUE!</v>
      </c>
      <c r="U510" s="3" t="e">
        <f t="shared" ca="1" si="70"/>
        <v>#VALUE!</v>
      </c>
      <c r="V510" s="73"/>
      <c r="W510" s="9" t="str">
        <f t="shared" si="71"/>
        <v>OK</v>
      </c>
    </row>
    <row r="511" spans="1:23" x14ac:dyDescent="0.3">
      <c r="A511" s="44">
        <v>508</v>
      </c>
      <c r="B511" s="14">
        <v>8</v>
      </c>
      <c r="C511" s="4">
        <v>13</v>
      </c>
      <c r="D511" s="3" t="str">
        <f>VLOOKUP($C511,Overall!$K$5:$T$36,2)</f>
        <v>Normal</v>
      </c>
      <c r="E511" s="3">
        <f ca="1">VLOOKUP($C511,Overall!$K$5:$T$36,10)</f>
        <v>0</v>
      </c>
      <c r="F511" s="9" t="str">
        <f>VLOOKUP($C511,Overall!$K$5:$T$36,6)</f>
        <v>00000000000000000000000000000000</v>
      </c>
      <c r="G511" s="8">
        <v>10</v>
      </c>
      <c r="H511" s="3" t="str">
        <f>VLOOKUP($G511,Overall!$K$5:$T$36,2)</f>
        <v>Overflow</v>
      </c>
      <c r="I511" s="3">
        <f ca="1">VLOOKUP($G511,Overall!$K$5:$T$36,10)</f>
        <v>-3.4028240748575767E+38</v>
      </c>
      <c r="J511" s="62" t="str">
        <f>VLOOKUP($G511,Overall!$K$5:$T$36,6)</f>
        <v>11111111100000000000000000000001</v>
      </c>
      <c r="K511" s="8">
        <f t="shared" ca="1" si="63"/>
        <v>0</v>
      </c>
      <c r="L511" s="62">
        <f>VLOOKUP($B511,Overall!$B$5:$I$13,8)</f>
        <v>0</v>
      </c>
      <c r="M511" s="58"/>
      <c r="N511" s="3" t="str">
        <f t="shared" si="64"/>
        <v/>
      </c>
      <c r="O511" s="3" t="str">
        <f t="shared" si="65"/>
        <v/>
      </c>
      <c r="P511" s="3" t="str">
        <f t="shared" si="66"/>
        <v/>
      </c>
      <c r="Q511" s="3">
        <f t="shared" si="67"/>
        <v>0</v>
      </c>
      <c r="R511" s="3">
        <f t="shared" si="68"/>
        <v>0</v>
      </c>
      <c r="S511" s="3" t="e" cm="1">
        <f t="array" aca="1" ref="S511" ca="1">SUMPRODUCT(MID($P511,ROW(INDIRECT("1:23")),1)*2^(-ROW(INDIRECT("1:23"))))</f>
        <v>#VALUE!</v>
      </c>
      <c r="T511" s="3" t="e">
        <f t="shared" ca="1" si="69"/>
        <v>#VALUE!</v>
      </c>
      <c r="U511" s="3" t="e">
        <f t="shared" ca="1" si="70"/>
        <v>#VALUE!</v>
      </c>
      <c r="V511" s="73"/>
      <c r="W511" s="9" t="str">
        <f t="shared" si="71"/>
        <v>OK</v>
      </c>
    </row>
    <row r="512" spans="1:23" x14ac:dyDescent="0.3">
      <c r="A512" s="44">
        <v>509</v>
      </c>
      <c r="B512" s="14">
        <v>8</v>
      </c>
      <c r="C512" s="4">
        <v>13</v>
      </c>
      <c r="D512" s="3" t="str">
        <f>VLOOKUP($C512,Overall!$K$5:$T$36,2)</f>
        <v>Normal</v>
      </c>
      <c r="E512" s="3">
        <f ca="1">VLOOKUP($C512,Overall!$K$5:$T$36,10)</f>
        <v>0</v>
      </c>
      <c r="F512" s="9" t="str">
        <f>VLOOKUP($C512,Overall!$K$5:$T$36,6)</f>
        <v>00000000000000000000000000000000</v>
      </c>
      <c r="G512" s="8">
        <v>11</v>
      </c>
      <c r="H512" s="3" t="str">
        <f>VLOOKUP($G512,Overall!$K$5:$T$36,2)</f>
        <v>Overflow</v>
      </c>
      <c r="I512" s="3">
        <f ca="1">VLOOKUP($G512,Overall!$K$5:$T$36,10)</f>
        <v>-4.2535303978081149E+38</v>
      </c>
      <c r="J512" s="62" t="str">
        <f>VLOOKUP($G512,Overall!$K$5:$T$36,6)</f>
        <v>11111111101000000000000000000010</v>
      </c>
      <c r="K512" s="8">
        <f t="shared" ca="1" si="63"/>
        <v>0</v>
      </c>
      <c r="L512" s="62">
        <f>VLOOKUP($B512,Overall!$B$5:$I$13,8)</f>
        <v>0</v>
      </c>
      <c r="M512" s="58"/>
      <c r="N512" s="3" t="str">
        <f t="shared" si="64"/>
        <v/>
      </c>
      <c r="O512" s="3" t="str">
        <f t="shared" si="65"/>
        <v/>
      </c>
      <c r="P512" s="3" t="str">
        <f t="shared" si="66"/>
        <v/>
      </c>
      <c r="Q512" s="3">
        <f t="shared" si="67"/>
        <v>0</v>
      </c>
      <c r="R512" s="3">
        <f t="shared" si="68"/>
        <v>0</v>
      </c>
      <c r="S512" s="3" t="e" cm="1">
        <f t="array" aca="1" ref="S512" ca="1">SUMPRODUCT(MID($P512,ROW(INDIRECT("1:23")),1)*2^(-ROW(INDIRECT("1:23"))))</f>
        <v>#VALUE!</v>
      </c>
      <c r="T512" s="3" t="e">
        <f t="shared" ca="1" si="69"/>
        <v>#VALUE!</v>
      </c>
      <c r="U512" s="3" t="e">
        <f t="shared" ca="1" si="70"/>
        <v>#VALUE!</v>
      </c>
      <c r="V512" s="73"/>
      <c r="W512" s="9" t="str">
        <f t="shared" si="71"/>
        <v>OK</v>
      </c>
    </row>
    <row r="513" spans="1:23" x14ac:dyDescent="0.3">
      <c r="A513" s="44">
        <v>510</v>
      </c>
      <c r="B513" s="14">
        <v>8</v>
      </c>
      <c r="C513" s="4">
        <v>13</v>
      </c>
      <c r="D513" s="3" t="str">
        <f>VLOOKUP($C513,Overall!$K$5:$T$36,2)</f>
        <v>Normal</v>
      </c>
      <c r="E513" s="3">
        <f ca="1">VLOOKUP($C513,Overall!$K$5:$T$36,10)</f>
        <v>0</v>
      </c>
      <c r="F513" s="9" t="str">
        <f>VLOOKUP($C513,Overall!$K$5:$T$36,6)</f>
        <v>00000000000000000000000000000000</v>
      </c>
      <c r="G513" s="8">
        <v>12</v>
      </c>
      <c r="H513" s="3" t="str">
        <f>VLOOKUP($G513,Overall!$K$5:$T$36,2)</f>
        <v>Overflow</v>
      </c>
      <c r="I513" s="3">
        <f ca="1">VLOOKUP($G513,Overall!$K$5:$T$36,10)</f>
        <v>-6.8056469327705772E+38</v>
      </c>
      <c r="J513" s="62" t="str">
        <f>VLOOKUP($G513,Overall!$K$5:$T$36,6)</f>
        <v>11111111111111111111111111111111</v>
      </c>
      <c r="K513" s="8">
        <f t="shared" ca="1" si="63"/>
        <v>0</v>
      </c>
      <c r="L513" s="62">
        <f>VLOOKUP($B513,Overall!$B$5:$I$13,8)</f>
        <v>0</v>
      </c>
      <c r="M513" s="58"/>
      <c r="N513" s="3" t="str">
        <f t="shared" si="64"/>
        <v/>
      </c>
      <c r="O513" s="3" t="str">
        <f t="shared" si="65"/>
        <v/>
      </c>
      <c r="P513" s="3" t="str">
        <f t="shared" si="66"/>
        <v/>
      </c>
      <c r="Q513" s="3">
        <f t="shared" si="67"/>
        <v>0</v>
      </c>
      <c r="R513" s="3">
        <f t="shared" si="68"/>
        <v>0</v>
      </c>
      <c r="S513" s="3" t="e" cm="1">
        <f t="array" aca="1" ref="S513" ca="1">SUMPRODUCT(MID($P513,ROW(INDIRECT("1:23")),1)*2^(-ROW(INDIRECT("1:23"))))</f>
        <v>#VALUE!</v>
      </c>
      <c r="T513" s="3" t="e">
        <f t="shared" ca="1" si="69"/>
        <v>#VALUE!</v>
      </c>
      <c r="U513" s="3" t="e">
        <f t="shared" ca="1" si="70"/>
        <v>#VALUE!</v>
      </c>
      <c r="V513" s="73"/>
      <c r="W513" s="9" t="str">
        <f t="shared" si="71"/>
        <v>OK</v>
      </c>
    </row>
    <row r="514" spans="1:23" x14ac:dyDescent="0.3">
      <c r="A514" s="44">
        <v>511</v>
      </c>
      <c r="B514" s="14">
        <v>8</v>
      </c>
      <c r="C514" s="4">
        <v>14</v>
      </c>
      <c r="D514" s="3" t="str">
        <f>VLOOKUP($C514,Overall!$K$5:$T$36,2)</f>
        <v>Normal</v>
      </c>
      <c r="E514" s="3">
        <f ca="1">VLOOKUP($C514,Overall!$K$5:$T$36,10)</f>
        <v>0</v>
      </c>
      <c r="F514" s="9" t="str">
        <f>VLOOKUP($C514,Overall!$K$5:$T$36,6)</f>
        <v>10000000000000000000000000000000</v>
      </c>
      <c r="G514" s="8">
        <v>7</v>
      </c>
      <c r="H514" s="3" t="str">
        <f>VLOOKUP($G514,Overall!$K$5:$T$36,2)</f>
        <v>Overflow</v>
      </c>
      <c r="I514" s="3">
        <f ca="1">VLOOKUP($G514,Overall!$K$5:$T$36,10)</f>
        <v>3.4028240748575767E+38</v>
      </c>
      <c r="J514" s="62" t="str">
        <f>VLOOKUP($G514,Overall!$K$5:$T$36,6)</f>
        <v>01111111100000000000000000000001</v>
      </c>
      <c r="K514" s="8">
        <f t="shared" ca="1" si="63"/>
        <v>0</v>
      </c>
      <c r="L514" s="62">
        <f>VLOOKUP($B514,Overall!$B$5:$I$13,8)</f>
        <v>0</v>
      </c>
      <c r="M514" s="58"/>
      <c r="N514" s="3" t="str">
        <f t="shared" si="64"/>
        <v/>
      </c>
      <c r="O514" s="3" t="str">
        <f t="shared" si="65"/>
        <v/>
      </c>
      <c r="P514" s="3" t="str">
        <f t="shared" si="66"/>
        <v/>
      </c>
      <c r="Q514" s="3">
        <f t="shared" si="67"/>
        <v>0</v>
      </c>
      <c r="R514" s="3">
        <f t="shared" si="68"/>
        <v>0</v>
      </c>
      <c r="S514" s="3" t="e" cm="1">
        <f t="array" aca="1" ref="S514" ca="1">SUMPRODUCT(MID($P514,ROW(INDIRECT("1:23")),1)*2^(-ROW(INDIRECT("1:23"))))</f>
        <v>#VALUE!</v>
      </c>
      <c r="T514" s="3" t="e">
        <f t="shared" ca="1" si="69"/>
        <v>#VALUE!</v>
      </c>
      <c r="U514" s="3" t="e">
        <f t="shared" ca="1" si="70"/>
        <v>#VALUE!</v>
      </c>
      <c r="V514" s="73"/>
      <c r="W514" s="9" t="str">
        <f t="shared" si="71"/>
        <v>OK</v>
      </c>
    </row>
    <row r="515" spans="1:23" x14ac:dyDescent="0.3">
      <c r="A515" s="44">
        <v>512</v>
      </c>
      <c r="B515" s="14">
        <v>8</v>
      </c>
      <c r="C515" s="4">
        <v>14</v>
      </c>
      <c r="D515" s="3" t="str">
        <f>VLOOKUP($C515,Overall!$K$5:$T$36,2)</f>
        <v>Normal</v>
      </c>
      <c r="E515" s="3">
        <f ca="1">VLOOKUP($C515,Overall!$K$5:$T$36,10)</f>
        <v>0</v>
      </c>
      <c r="F515" s="9" t="str">
        <f>VLOOKUP($C515,Overall!$K$5:$T$36,6)</f>
        <v>10000000000000000000000000000000</v>
      </c>
      <c r="G515" s="8">
        <v>8</v>
      </c>
      <c r="H515" s="3" t="str">
        <f>VLOOKUP($G515,Overall!$K$5:$T$36,2)</f>
        <v>Overflow</v>
      </c>
      <c r="I515" s="3">
        <f ca="1">VLOOKUP($G515,Overall!$K$5:$T$36,10)</f>
        <v>4.2535303978081149E+38</v>
      </c>
      <c r="J515" s="62" t="str">
        <f>VLOOKUP($G515,Overall!$K$5:$T$36,6)</f>
        <v>01111111101000000000000000000010</v>
      </c>
      <c r="K515" s="8">
        <f t="shared" ca="1" si="63"/>
        <v>0</v>
      </c>
      <c r="L515" s="62">
        <f>VLOOKUP($B515,Overall!$B$5:$I$13,8)</f>
        <v>0</v>
      </c>
      <c r="M515" s="58"/>
      <c r="N515" s="3" t="str">
        <f t="shared" si="64"/>
        <v/>
      </c>
      <c r="O515" s="3" t="str">
        <f t="shared" si="65"/>
        <v/>
      </c>
      <c r="P515" s="3" t="str">
        <f t="shared" si="66"/>
        <v/>
      </c>
      <c r="Q515" s="3">
        <f t="shared" si="67"/>
        <v>0</v>
      </c>
      <c r="R515" s="3">
        <f t="shared" si="68"/>
        <v>0</v>
      </c>
      <c r="S515" s="3" t="e" cm="1">
        <f t="array" aca="1" ref="S515" ca="1">SUMPRODUCT(MID($P515,ROW(INDIRECT("1:23")),1)*2^(-ROW(INDIRECT("1:23"))))</f>
        <v>#VALUE!</v>
      </c>
      <c r="T515" s="3" t="e">
        <f t="shared" ca="1" si="69"/>
        <v>#VALUE!</v>
      </c>
      <c r="U515" s="3" t="e">
        <f t="shared" ca="1" si="70"/>
        <v>#VALUE!</v>
      </c>
      <c r="V515" s="73"/>
      <c r="W515" s="9" t="str">
        <f t="shared" si="71"/>
        <v>OK</v>
      </c>
    </row>
    <row r="516" spans="1:23" x14ac:dyDescent="0.3">
      <c r="A516" s="44">
        <v>513</v>
      </c>
      <c r="B516" s="14">
        <v>8</v>
      </c>
      <c r="C516" s="4">
        <v>14</v>
      </c>
      <c r="D516" s="3" t="str">
        <f>VLOOKUP($C516,Overall!$K$5:$T$36,2)</f>
        <v>Normal</v>
      </c>
      <c r="E516" s="3">
        <f ca="1">VLOOKUP($C516,Overall!$K$5:$T$36,10)</f>
        <v>0</v>
      </c>
      <c r="F516" s="9" t="str">
        <f>VLOOKUP($C516,Overall!$K$5:$T$36,6)</f>
        <v>10000000000000000000000000000000</v>
      </c>
      <c r="G516" s="8">
        <v>9</v>
      </c>
      <c r="H516" s="3" t="str">
        <f>VLOOKUP($G516,Overall!$K$5:$T$36,2)</f>
        <v>Overflow</v>
      </c>
      <c r="I516" s="3">
        <f ca="1">VLOOKUP($G516,Overall!$K$5:$T$36,10)</f>
        <v>6.8056469327705772E+38</v>
      </c>
      <c r="J516" s="62" t="str">
        <f>VLOOKUP($G516,Overall!$K$5:$T$36,6)</f>
        <v>01111111111111111111111111111111</v>
      </c>
      <c r="K516" s="8">
        <f t="shared" ca="1" si="63"/>
        <v>0</v>
      </c>
      <c r="L516" s="62">
        <f>VLOOKUP($B516,Overall!$B$5:$I$13,8)</f>
        <v>0</v>
      </c>
      <c r="M516" s="58"/>
      <c r="N516" s="3" t="str">
        <f t="shared" si="64"/>
        <v/>
      </c>
      <c r="O516" s="3" t="str">
        <f t="shared" si="65"/>
        <v/>
      </c>
      <c r="P516" s="3" t="str">
        <f t="shared" si="66"/>
        <v/>
      </c>
      <c r="Q516" s="3">
        <f t="shared" si="67"/>
        <v>0</v>
      </c>
      <c r="R516" s="3">
        <f t="shared" si="68"/>
        <v>0</v>
      </c>
      <c r="S516" s="3" t="e" cm="1">
        <f t="array" aca="1" ref="S516" ca="1">SUMPRODUCT(MID($P516,ROW(INDIRECT("1:23")),1)*2^(-ROW(INDIRECT("1:23"))))</f>
        <v>#VALUE!</v>
      </c>
      <c r="T516" s="3" t="e">
        <f t="shared" ca="1" si="69"/>
        <v>#VALUE!</v>
      </c>
      <c r="U516" s="3" t="e">
        <f t="shared" ca="1" si="70"/>
        <v>#VALUE!</v>
      </c>
      <c r="V516" s="73"/>
      <c r="W516" s="9" t="str">
        <f t="shared" si="71"/>
        <v>OK</v>
      </c>
    </row>
    <row r="517" spans="1:23" x14ac:dyDescent="0.3">
      <c r="A517" s="44">
        <v>514</v>
      </c>
      <c r="B517" s="14">
        <v>8</v>
      </c>
      <c r="C517" s="4">
        <v>14</v>
      </c>
      <c r="D517" s="3" t="str">
        <f>VLOOKUP($C517,Overall!$K$5:$T$36,2)</f>
        <v>Normal</v>
      </c>
      <c r="E517" s="3">
        <f ca="1">VLOOKUP($C517,Overall!$K$5:$T$36,10)</f>
        <v>0</v>
      </c>
      <c r="F517" s="9" t="str">
        <f>VLOOKUP($C517,Overall!$K$5:$T$36,6)</f>
        <v>10000000000000000000000000000000</v>
      </c>
      <c r="G517" s="8">
        <v>10</v>
      </c>
      <c r="H517" s="3" t="str">
        <f>VLOOKUP($G517,Overall!$K$5:$T$36,2)</f>
        <v>Overflow</v>
      </c>
      <c r="I517" s="3">
        <f ca="1">VLOOKUP($G517,Overall!$K$5:$T$36,10)</f>
        <v>-3.4028240748575767E+38</v>
      </c>
      <c r="J517" s="62" t="str">
        <f>VLOOKUP($G517,Overall!$K$5:$T$36,6)</f>
        <v>11111111100000000000000000000001</v>
      </c>
      <c r="K517" s="8">
        <f t="shared" ref="K517:K580" ca="1" si="72">E517*I517</f>
        <v>0</v>
      </c>
      <c r="L517" s="62">
        <f>VLOOKUP($B517,Overall!$B$5:$I$13,8)</f>
        <v>0</v>
      </c>
      <c r="M517" s="58"/>
      <c r="N517" s="3" t="str">
        <f t="shared" ref="N517:N580" si="73">LEFT($M517,1)</f>
        <v/>
      </c>
      <c r="O517" s="3" t="str">
        <f t="shared" ref="O517:O580" si="74">MID($M517,2,8)</f>
        <v/>
      </c>
      <c r="P517" s="3" t="str">
        <f t="shared" ref="P517:P580" si="75">MID($M517,10,23)</f>
        <v/>
      </c>
      <c r="Q517" s="3">
        <f t="shared" ref="Q517:Q580" si="76">BIN2DEC($N517)</f>
        <v>0</v>
      </c>
      <c r="R517" s="3">
        <f t="shared" ref="R517:R580" si="77">BIN2DEC($O517)</f>
        <v>0</v>
      </c>
      <c r="S517" s="3" t="e" cm="1">
        <f t="array" aca="1" ref="S517" ca="1">SUMPRODUCT(MID($P517,ROW(INDIRECT("1:23")),1)*2^(-ROW(INDIRECT("1:23"))))</f>
        <v>#VALUE!</v>
      </c>
      <c r="T517" s="3" t="e">
        <f t="shared" ref="T517:T580" ca="1" si="78">IF($R517=0,
   (-1)^$Q517 * $S517 * 2^(-126),
   (-1)^$Q517 * (1 + $S517) * 2^($R517 - 127)
)</f>
        <v>#VALUE!</v>
      </c>
      <c r="U517" s="3" t="e">
        <f t="shared" ref="U517:U580" ca="1" si="79">$T517-$K517</f>
        <v>#VALUE!</v>
      </c>
      <c r="V517" s="73"/>
      <c r="W517" s="9" t="str">
        <f t="shared" ref="W517:W580" si="80">IF(L517=V517,"OK","NG")</f>
        <v>OK</v>
      </c>
    </row>
    <row r="518" spans="1:23" x14ac:dyDescent="0.3">
      <c r="A518" s="44">
        <v>515</v>
      </c>
      <c r="B518" s="14">
        <v>8</v>
      </c>
      <c r="C518" s="4">
        <v>14</v>
      </c>
      <c r="D518" s="3" t="str">
        <f>VLOOKUP($C518,Overall!$K$5:$T$36,2)</f>
        <v>Normal</v>
      </c>
      <c r="E518" s="3">
        <f ca="1">VLOOKUP($C518,Overall!$K$5:$T$36,10)</f>
        <v>0</v>
      </c>
      <c r="F518" s="9" t="str">
        <f>VLOOKUP($C518,Overall!$K$5:$T$36,6)</f>
        <v>10000000000000000000000000000000</v>
      </c>
      <c r="G518" s="8">
        <v>11</v>
      </c>
      <c r="H518" s="3" t="str">
        <f>VLOOKUP($G518,Overall!$K$5:$T$36,2)</f>
        <v>Overflow</v>
      </c>
      <c r="I518" s="3">
        <f ca="1">VLOOKUP($G518,Overall!$K$5:$T$36,10)</f>
        <v>-4.2535303978081149E+38</v>
      </c>
      <c r="J518" s="62" t="str">
        <f>VLOOKUP($G518,Overall!$K$5:$T$36,6)</f>
        <v>11111111101000000000000000000010</v>
      </c>
      <c r="K518" s="8">
        <f t="shared" ca="1" si="72"/>
        <v>0</v>
      </c>
      <c r="L518" s="62">
        <f>VLOOKUP($B518,Overall!$B$5:$I$13,8)</f>
        <v>0</v>
      </c>
      <c r="M518" s="58"/>
      <c r="N518" s="3" t="str">
        <f t="shared" si="73"/>
        <v/>
      </c>
      <c r="O518" s="3" t="str">
        <f t="shared" si="74"/>
        <v/>
      </c>
      <c r="P518" s="3" t="str">
        <f t="shared" si="75"/>
        <v/>
      </c>
      <c r="Q518" s="3">
        <f t="shared" si="76"/>
        <v>0</v>
      </c>
      <c r="R518" s="3">
        <f t="shared" si="77"/>
        <v>0</v>
      </c>
      <c r="S518" s="3" t="e" cm="1">
        <f t="array" aca="1" ref="S518" ca="1">SUMPRODUCT(MID($P518,ROW(INDIRECT("1:23")),1)*2^(-ROW(INDIRECT("1:23"))))</f>
        <v>#VALUE!</v>
      </c>
      <c r="T518" s="3" t="e">
        <f t="shared" ca="1" si="78"/>
        <v>#VALUE!</v>
      </c>
      <c r="U518" s="3" t="e">
        <f t="shared" ca="1" si="79"/>
        <v>#VALUE!</v>
      </c>
      <c r="V518" s="73"/>
      <c r="W518" s="9" t="str">
        <f t="shared" si="80"/>
        <v>OK</v>
      </c>
    </row>
    <row r="519" spans="1:23" x14ac:dyDescent="0.3">
      <c r="A519" s="44">
        <v>516</v>
      </c>
      <c r="B519" s="14">
        <v>8</v>
      </c>
      <c r="C519" s="4">
        <v>14</v>
      </c>
      <c r="D519" s="3" t="str">
        <f>VLOOKUP($C519,Overall!$K$5:$T$36,2)</f>
        <v>Normal</v>
      </c>
      <c r="E519" s="3">
        <f ca="1">VLOOKUP($C519,Overall!$K$5:$T$36,10)</f>
        <v>0</v>
      </c>
      <c r="F519" s="9" t="str">
        <f>VLOOKUP($C519,Overall!$K$5:$T$36,6)</f>
        <v>10000000000000000000000000000000</v>
      </c>
      <c r="G519" s="8">
        <v>12</v>
      </c>
      <c r="H519" s="3" t="str">
        <f>VLOOKUP($G519,Overall!$K$5:$T$36,2)</f>
        <v>Overflow</v>
      </c>
      <c r="I519" s="3">
        <f ca="1">VLOOKUP($G519,Overall!$K$5:$T$36,10)</f>
        <v>-6.8056469327705772E+38</v>
      </c>
      <c r="J519" s="62" t="str">
        <f>VLOOKUP($G519,Overall!$K$5:$T$36,6)</f>
        <v>11111111111111111111111111111111</v>
      </c>
      <c r="K519" s="8">
        <f t="shared" ca="1" si="72"/>
        <v>0</v>
      </c>
      <c r="L519" s="62">
        <f>VLOOKUP($B519,Overall!$B$5:$I$13,8)</f>
        <v>0</v>
      </c>
      <c r="M519" s="58"/>
      <c r="N519" s="3" t="str">
        <f t="shared" si="73"/>
        <v/>
      </c>
      <c r="O519" s="3" t="str">
        <f t="shared" si="74"/>
        <v/>
      </c>
      <c r="P519" s="3" t="str">
        <f t="shared" si="75"/>
        <v/>
      </c>
      <c r="Q519" s="3">
        <f t="shared" si="76"/>
        <v>0</v>
      </c>
      <c r="R519" s="3">
        <f t="shared" si="77"/>
        <v>0</v>
      </c>
      <c r="S519" s="3" t="e" cm="1">
        <f t="array" aca="1" ref="S519" ca="1">SUMPRODUCT(MID($P519,ROW(INDIRECT("1:23")),1)*2^(-ROW(INDIRECT("1:23"))))</f>
        <v>#VALUE!</v>
      </c>
      <c r="T519" s="3" t="e">
        <f t="shared" ca="1" si="78"/>
        <v>#VALUE!</v>
      </c>
      <c r="U519" s="3" t="e">
        <f t="shared" ca="1" si="79"/>
        <v>#VALUE!</v>
      </c>
      <c r="V519" s="73"/>
      <c r="W519" s="9" t="str">
        <f t="shared" si="80"/>
        <v>OK</v>
      </c>
    </row>
    <row r="520" spans="1:23" x14ac:dyDescent="0.3">
      <c r="A520" s="44">
        <v>517</v>
      </c>
      <c r="B520" s="14">
        <v>8</v>
      </c>
      <c r="C520" s="4">
        <v>15</v>
      </c>
      <c r="D520" s="3" t="str">
        <f>VLOOKUP($C520,Overall!$K$5:$T$36,2)</f>
        <v>Normal</v>
      </c>
      <c r="E520" s="3">
        <f ca="1">VLOOKUP($C520,Overall!$K$5:$T$36,10)</f>
        <v>1.1754943508222875E-38</v>
      </c>
      <c r="F520" s="9" t="str">
        <f>VLOOKUP($C520,Overall!$K$5:$T$36,6)</f>
        <v>00000000100000000000000000000000</v>
      </c>
      <c r="G520" s="8">
        <v>7</v>
      </c>
      <c r="H520" s="3" t="str">
        <f>VLOOKUP($G520,Overall!$K$5:$T$36,2)</f>
        <v>Overflow</v>
      </c>
      <c r="I520" s="3">
        <f ca="1">VLOOKUP($G520,Overall!$K$5:$T$36,10)</f>
        <v>3.4028240748575767E+38</v>
      </c>
      <c r="J520" s="62" t="str">
        <f>VLOOKUP($G520,Overall!$K$5:$T$36,6)</f>
        <v>01111111100000000000000000000001</v>
      </c>
      <c r="K520" s="8">
        <f t="shared" ca="1" si="72"/>
        <v>4.0000004768371582</v>
      </c>
      <c r="L520" s="62">
        <f>VLOOKUP($B520,Overall!$B$5:$I$13,8)</f>
        <v>0</v>
      </c>
      <c r="M520" s="58"/>
      <c r="N520" s="3" t="str">
        <f t="shared" si="73"/>
        <v/>
      </c>
      <c r="O520" s="3" t="str">
        <f t="shared" si="74"/>
        <v/>
      </c>
      <c r="P520" s="3" t="str">
        <f t="shared" si="75"/>
        <v/>
      </c>
      <c r="Q520" s="3">
        <f t="shared" si="76"/>
        <v>0</v>
      </c>
      <c r="R520" s="3">
        <f t="shared" si="77"/>
        <v>0</v>
      </c>
      <c r="S520" s="3" t="e" cm="1">
        <f t="array" aca="1" ref="S520" ca="1">SUMPRODUCT(MID($P520,ROW(INDIRECT("1:23")),1)*2^(-ROW(INDIRECT("1:23"))))</f>
        <v>#VALUE!</v>
      </c>
      <c r="T520" s="3" t="e">
        <f t="shared" ca="1" si="78"/>
        <v>#VALUE!</v>
      </c>
      <c r="U520" s="3" t="e">
        <f t="shared" ca="1" si="79"/>
        <v>#VALUE!</v>
      </c>
      <c r="V520" s="73"/>
      <c r="W520" s="9" t="str">
        <f t="shared" si="80"/>
        <v>OK</v>
      </c>
    </row>
    <row r="521" spans="1:23" x14ac:dyDescent="0.3">
      <c r="A521" s="44">
        <v>518</v>
      </c>
      <c r="B521" s="14">
        <v>8</v>
      </c>
      <c r="C521" s="4">
        <v>15</v>
      </c>
      <c r="D521" s="3" t="str">
        <f>VLOOKUP($C521,Overall!$K$5:$T$36,2)</f>
        <v>Normal</v>
      </c>
      <c r="E521" s="3">
        <f ca="1">VLOOKUP($C521,Overall!$K$5:$T$36,10)</f>
        <v>1.1754943508222875E-38</v>
      </c>
      <c r="F521" s="9" t="str">
        <f>VLOOKUP($C521,Overall!$K$5:$T$36,6)</f>
        <v>00000000100000000000000000000000</v>
      </c>
      <c r="G521" s="8">
        <v>8</v>
      </c>
      <c r="H521" s="3" t="str">
        <f>VLOOKUP($G521,Overall!$K$5:$T$36,2)</f>
        <v>Overflow</v>
      </c>
      <c r="I521" s="3">
        <f ca="1">VLOOKUP($G521,Overall!$K$5:$T$36,10)</f>
        <v>4.2535303978081149E+38</v>
      </c>
      <c r="J521" s="62" t="str">
        <f>VLOOKUP($G521,Overall!$K$5:$T$36,6)</f>
        <v>01111111101000000000000000000010</v>
      </c>
      <c r="K521" s="8">
        <f t="shared" ca="1" si="72"/>
        <v>5.0000009536743164</v>
      </c>
      <c r="L521" s="62">
        <f>VLOOKUP($B521,Overall!$B$5:$I$13,8)</f>
        <v>0</v>
      </c>
      <c r="M521" s="58"/>
      <c r="N521" s="3" t="str">
        <f t="shared" si="73"/>
        <v/>
      </c>
      <c r="O521" s="3" t="str">
        <f t="shared" si="74"/>
        <v/>
      </c>
      <c r="P521" s="3" t="str">
        <f t="shared" si="75"/>
        <v/>
      </c>
      <c r="Q521" s="3">
        <f t="shared" si="76"/>
        <v>0</v>
      </c>
      <c r="R521" s="3">
        <f t="shared" si="77"/>
        <v>0</v>
      </c>
      <c r="S521" s="3" t="e" cm="1">
        <f t="array" aca="1" ref="S521" ca="1">SUMPRODUCT(MID($P521,ROW(INDIRECT("1:23")),1)*2^(-ROW(INDIRECT("1:23"))))</f>
        <v>#VALUE!</v>
      </c>
      <c r="T521" s="3" t="e">
        <f t="shared" ca="1" si="78"/>
        <v>#VALUE!</v>
      </c>
      <c r="U521" s="3" t="e">
        <f t="shared" ca="1" si="79"/>
        <v>#VALUE!</v>
      </c>
      <c r="V521" s="73"/>
      <c r="W521" s="9" t="str">
        <f t="shared" si="80"/>
        <v>OK</v>
      </c>
    </row>
    <row r="522" spans="1:23" x14ac:dyDescent="0.3">
      <c r="A522" s="44">
        <v>519</v>
      </c>
      <c r="B522" s="14">
        <v>8</v>
      </c>
      <c r="C522" s="4">
        <v>15</v>
      </c>
      <c r="D522" s="3" t="str">
        <f>VLOOKUP($C522,Overall!$K$5:$T$36,2)</f>
        <v>Normal</v>
      </c>
      <c r="E522" s="3">
        <f ca="1">VLOOKUP($C522,Overall!$K$5:$T$36,10)</f>
        <v>1.1754943508222875E-38</v>
      </c>
      <c r="F522" s="9" t="str">
        <f>VLOOKUP($C522,Overall!$K$5:$T$36,6)</f>
        <v>00000000100000000000000000000000</v>
      </c>
      <c r="G522" s="8">
        <v>9</v>
      </c>
      <c r="H522" s="3" t="str">
        <f>VLOOKUP($G522,Overall!$K$5:$T$36,2)</f>
        <v>Overflow</v>
      </c>
      <c r="I522" s="3">
        <f ca="1">VLOOKUP($G522,Overall!$K$5:$T$36,10)</f>
        <v>6.8056469327705772E+38</v>
      </c>
      <c r="J522" s="62" t="str">
        <f>VLOOKUP($G522,Overall!$K$5:$T$36,6)</f>
        <v>01111111111111111111111111111111</v>
      </c>
      <c r="K522" s="8">
        <f t="shared" ca="1" si="72"/>
        <v>7.9999995231628418</v>
      </c>
      <c r="L522" s="62">
        <f>VLOOKUP($B522,Overall!$B$5:$I$13,8)</f>
        <v>0</v>
      </c>
      <c r="M522" s="58"/>
      <c r="N522" s="3" t="str">
        <f t="shared" si="73"/>
        <v/>
      </c>
      <c r="O522" s="3" t="str">
        <f t="shared" si="74"/>
        <v/>
      </c>
      <c r="P522" s="3" t="str">
        <f t="shared" si="75"/>
        <v/>
      </c>
      <c r="Q522" s="3">
        <f t="shared" si="76"/>
        <v>0</v>
      </c>
      <c r="R522" s="3">
        <f t="shared" si="77"/>
        <v>0</v>
      </c>
      <c r="S522" s="3" t="e" cm="1">
        <f t="array" aca="1" ref="S522" ca="1">SUMPRODUCT(MID($P522,ROW(INDIRECT("1:23")),1)*2^(-ROW(INDIRECT("1:23"))))</f>
        <v>#VALUE!</v>
      </c>
      <c r="T522" s="3" t="e">
        <f t="shared" ca="1" si="78"/>
        <v>#VALUE!</v>
      </c>
      <c r="U522" s="3" t="e">
        <f t="shared" ca="1" si="79"/>
        <v>#VALUE!</v>
      </c>
      <c r="V522" s="73"/>
      <c r="W522" s="9" t="str">
        <f t="shared" si="80"/>
        <v>OK</v>
      </c>
    </row>
    <row r="523" spans="1:23" x14ac:dyDescent="0.3">
      <c r="A523" s="44">
        <v>520</v>
      </c>
      <c r="B523" s="14">
        <v>8</v>
      </c>
      <c r="C523" s="4">
        <v>15</v>
      </c>
      <c r="D523" s="3" t="str">
        <f>VLOOKUP($C523,Overall!$K$5:$T$36,2)</f>
        <v>Normal</v>
      </c>
      <c r="E523" s="3">
        <f ca="1">VLOOKUP($C523,Overall!$K$5:$T$36,10)</f>
        <v>1.1754943508222875E-38</v>
      </c>
      <c r="F523" s="9" t="str">
        <f>VLOOKUP($C523,Overall!$K$5:$T$36,6)</f>
        <v>00000000100000000000000000000000</v>
      </c>
      <c r="G523" s="8">
        <v>10</v>
      </c>
      <c r="H523" s="3" t="str">
        <f>VLOOKUP($G523,Overall!$K$5:$T$36,2)</f>
        <v>Overflow</v>
      </c>
      <c r="I523" s="3">
        <f ca="1">VLOOKUP($G523,Overall!$K$5:$T$36,10)</f>
        <v>-3.4028240748575767E+38</v>
      </c>
      <c r="J523" s="62" t="str">
        <f>VLOOKUP($G523,Overall!$K$5:$T$36,6)</f>
        <v>11111111100000000000000000000001</v>
      </c>
      <c r="K523" s="8">
        <f t="shared" ca="1" si="72"/>
        <v>-4.0000004768371582</v>
      </c>
      <c r="L523" s="62">
        <f>VLOOKUP($B523,Overall!$B$5:$I$13,8)</f>
        <v>0</v>
      </c>
      <c r="M523" s="58"/>
      <c r="N523" s="3" t="str">
        <f t="shared" si="73"/>
        <v/>
      </c>
      <c r="O523" s="3" t="str">
        <f t="shared" si="74"/>
        <v/>
      </c>
      <c r="P523" s="3" t="str">
        <f t="shared" si="75"/>
        <v/>
      </c>
      <c r="Q523" s="3">
        <f t="shared" si="76"/>
        <v>0</v>
      </c>
      <c r="R523" s="3">
        <f t="shared" si="77"/>
        <v>0</v>
      </c>
      <c r="S523" s="3" t="e" cm="1">
        <f t="array" aca="1" ref="S523" ca="1">SUMPRODUCT(MID($P523,ROW(INDIRECT("1:23")),1)*2^(-ROW(INDIRECT("1:23"))))</f>
        <v>#VALUE!</v>
      </c>
      <c r="T523" s="3" t="e">
        <f t="shared" ca="1" si="78"/>
        <v>#VALUE!</v>
      </c>
      <c r="U523" s="3" t="e">
        <f t="shared" ca="1" si="79"/>
        <v>#VALUE!</v>
      </c>
      <c r="V523" s="73"/>
      <c r="W523" s="9" t="str">
        <f t="shared" si="80"/>
        <v>OK</v>
      </c>
    </row>
    <row r="524" spans="1:23" x14ac:dyDescent="0.3">
      <c r="A524" s="44">
        <v>521</v>
      </c>
      <c r="B524" s="14">
        <v>8</v>
      </c>
      <c r="C524" s="4">
        <v>15</v>
      </c>
      <c r="D524" s="3" t="str">
        <f>VLOOKUP($C524,Overall!$K$5:$T$36,2)</f>
        <v>Normal</v>
      </c>
      <c r="E524" s="3">
        <f ca="1">VLOOKUP($C524,Overall!$K$5:$T$36,10)</f>
        <v>1.1754943508222875E-38</v>
      </c>
      <c r="F524" s="9" t="str">
        <f>VLOOKUP($C524,Overall!$K$5:$T$36,6)</f>
        <v>00000000100000000000000000000000</v>
      </c>
      <c r="G524" s="8">
        <v>11</v>
      </c>
      <c r="H524" s="3" t="str">
        <f>VLOOKUP($G524,Overall!$K$5:$T$36,2)</f>
        <v>Overflow</v>
      </c>
      <c r="I524" s="3">
        <f ca="1">VLOOKUP($G524,Overall!$K$5:$T$36,10)</f>
        <v>-4.2535303978081149E+38</v>
      </c>
      <c r="J524" s="62" t="str">
        <f>VLOOKUP($G524,Overall!$K$5:$T$36,6)</f>
        <v>11111111101000000000000000000010</v>
      </c>
      <c r="K524" s="8">
        <f t="shared" ca="1" si="72"/>
        <v>-5.0000009536743164</v>
      </c>
      <c r="L524" s="62">
        <f>VLOOKUP($B524,Overall!$B$5:$I$13,8)</f>
        <v>0</v>
      </c>
      <c r="M524" s="58"/>
      <c r="N524" s="3" t="str">
        <f t="shared" si="73"/>
        <v/>
      </c>
      <c r="O524" s="3" t="str">
        <f t="shared" si="74"/>
        <v/>
      </c>
      <c r="P524" s="3" t="str">
        <f t="shared" si="75"/>
        <v/>
      </c>
      <c r="Q524" s="3">
        <f t="shared" si="76"/>
        <v>0</v>
      </c>
      <c r="R524" s="3">
        <f t="shared" si="77"/>
        <v>0</v>
      </c>
      <c r="S524" s="3" t="e" cm="1">
        <f t="array" aca="1" ref="S524" ca="1">SUMPRODUCT(MID($P524,ROW(INDIRECT("1:23")),1)*2^(-ROW(INDIRECT("1:23"))))</f>
        <v>#VALUE!</v>
      </c>
      <c r="T524" s="3" t="e">
        <f t="shared" ca="1" si="78"/>
        <v>#VALUE!</v>
      </c>
      <c r="U524" s="3" t="e">
        <f t="shared" ca="1" si="79"/>
        <v>#VALUE!</v>
      </c>
      <c r="V524" s="73"/>
      <c r="W524" s="9" t="str">
        <f t="shared" si="80"/>
        <v>OK</v>
      </c>
    </row>
    <row r="525" spans="1:23" x14ac:dyDescent="0.3">
      <c r="A525" s="44">
        <v>522</v>
      </c>
      <c r="B525" s="14">
        <v>8</v>
      </c>
      <c r="C525" s="4">
        <v>15</v>
      </c>
      <c r="D525" s="3" t="str">
        <f>VLOOKUP($C525,Overall!$K$5:$T$36,2)</f>
        <v>Normal</v>
      </c>
      <c r="E525" s="3">
        <f ca="1">VLOOKUP($C525,Overall!$K$5:$T$36,10)</f>
        <v>1.1754943508222875E-38</v>
      </c>
      <c r="F525" s="9" t="str">
        <f>VLOOKUP($C525,Overall!$K$5:$T$36,6)</f>
        <v>00000000100000000000000000000000</v>
      </c>
      <c r="G525" s="8">
        <v>12</v>
      </c>
      <c r="H525" s="3" t="str">
        <f>VLOOKUP($G525,Overall!$K$5:$T$36,2)</f>
        <v>Overflow</v>
      </c>
      <c r="I525" s="3">
        <f ca="1">VLOOKUP($G525,Overall!$K$5:$T$36,10)</f>
        <v>-6.8056469327705772E+38</v>
      </c>
      <c r="J525" s="62" t="str">
        <f>VLOOKUP($G525,Overall!$K$5:$T$36,6)</f>
        <v>11111111111111111111111111111111</v>
      </c>
      <c r="K525" s="8">
        <f t="shared" ca="1" si="72"/>
        <v>-7.9999995231628418</v>
      </c>
      <c r="L525" s="62">
        <f>VLOOKUP($B525,Overall!$B$5:$I$13,8)</f>
        <v>0</v>
      </c>
      <c r="M525" s="58"/>
      <c r="N525" s="3" t="str">
        <f t="shared" si="73"/>
        <v/>
      </c>
      <c r="O525" s="3" t="str">
        <f t="shared" si="74"/>
        <v/>
      </c>
      <c r="P525" s="3" t="str">
        <f t="shared" si="75"/>
        <v/>
      </c>
      <c r="Q525" s="3">
        <f t="shared" si="76"/>
        <v>0</v>
      </c>
      <c r="R525" s="3">
        <f t="shared" si="77"/>
        <v>0</v>
      </c>
      <c r="S525" s="3" t="e" cm="1">
        <f t="array" aca="1" ref="S525" ca="1">SUMPRODUCT(MID($P525,ROW(INDIRECT("1:23")),1)*2^(-ROW(INDIRECT("1:23"))))</f>
        <v>#VALUE!</v>
      </c>
      <c r="T525" s="3" t="e">
        <f t="shared" ca="1" si="78"/>
        <v>#VALUE!</v>
      </c>
      <c r="U525" s="3" t="e">
        <f t="shared" ca="1" si="79"/>
        <v>#VALUE!</v>
      </c>
      <c r="V525" s="73"/>
      <c r="W525" s="9" t="str">
        <f t="shared" si="80"/>
        <v>OK</v>
      </c>
    </row>
    <row r="526" spans="1:23" x14ac:dyDescent="0.3">
      <c r="A526" s="44">
        <v>523</v>
      </c>
      <c r="B526" s="14">
        <v>8</v>
      </c>
      <c r="C526" s="4">
        <v>16</v>
      </c>
      <c r="D526" s="3" t="str">
        <f>VLOOKUP($C526,Overall!$K$5:$T$36,2)</f>
        <v>Normal</v>
      </c>
      <c r="E526" s="3">
        <f ca="1">VLOOKUP($C526,Overall!$K$5:$T$36,10)</f>
        <v>1.1754944909521339E-38</v>
      </c>
      <c r="F526" s="9" t="str">
        <f>VLOOKUP($C526,Overall!$K$5:$T$36,6)</f>
        <v>00000000100000000000000000000001</v>
      </c>
      <c r="G526" s="8">
        <v>7</v>
      </c>
      <c r="H526" s="3" t="str">
        <f>VLOOKUP($G526,Overall!$K$5:$T$36,2)</f>
        <v>Overflow</v>
      </c>
      <c r="I526" s="3">
        <f ca="1">VLOOKUP($G526,Overall!$K$5:$T$36,10)</f>
        <v>3.4028240748575767E+38</v>
      </c>
      <c r="J526" s="62" t="str">
        <f>VLOOKUP($G526,Overall!$K$5:$T$36,6)</f>
        <v>01111111100000000000000000000001</v>
      </c>
      <c r="K526" s="8">
        <f t="shared" ca="1" si="72"/>
        <v>4.0000009536743732</v>
      </c>
      <c r="L526" s="62">
        <f>VLOOKUP($B526,Overall!$B$5:$I$13,8)</f>
        <v>0</v>
      </c>
      <c r="M526" s="58"/>
      <c r="N526" s="3" t="str">
        <f t="shared" si="73"/>
        <v/>
      </c>
      <c r="O526" s="3" t="str">
        <f t="shared" si="74"/>
        <v/>
      </c>
      <c r="P526" s="3" t="str">
        <f t="shared" si="75"/>
        <v/>
      </c>
      <c r="Q526" s="3">
        <f t="shared" si="76"/>
        <v>0</v>
      </c>
      <c r="R526" s="3">
        <f t="shared" si="77"/>
        <v>0</v>
      </c>
      <c r="S526" s="3" t="e" cm="1">
        <f t="array" aca="1" ref="S526" ca="1">SUMPRODUCT(MID($P526,ROW(INDIRECT("1:23")),1)*2^(-ROW(INDIRECT("1:23"))))</f>
        <v>#VALUE!</v>
      </c>
      <c r="T526" s="3" t="e">
        <f t="shared" ca="1" si="78"/>
        <v>#VALUE!</v>
      </c>
      <c r="U526" s="3" t="e">
        <f t="shared" ca="1" si="79"/>
        <v>#VALUE!</v>
      </c>
      <c r="V526" s="73"/>
      <c r="W526" s="9" t="str">
        <f t="shared" si="80"/>
        <v>OK</v>
      </c>
    </row>
    <row r="527" spans="1:23" x14ac:dyDescent="0.3">
      <c r="A527" s="44">
        <v>524</v>
      </c>
      <c r="B527" s="14">
        <v>8</v>
      </c>
      <c r="C527" s="4">
        <v>16</v>
      </c>
      <c r="D527" s="3" t="str">
        <f>VLOOKUP($C527,Overall!$K$5:$T$36,2)</f>
        <v>Normal</v>
      </c>
      <c r="E527" s="3">
        <f ca="1">VLOOKUP($C527,Overall!$K$5:$T$36,10)</f>
        <v>1.1754944909521339E-38</v>
      </c>
      <c r="F527" s="9" t="str">
        <f>VLOOKUP($C527,Overall!$K$5:$T$36,6)</f>
        <v>00000000100000000000000000000001</v>
      </c>
      <c r="G527" s="8">
        <v>8</v>
      </c>
      <c r="H527" s="3" t="str">
        <f>VLOOKUP($G527,Overall!$K$5:$T$36,2)</f>
        <v>Overflow</v>
      </c>
      <c r="I527" s="3">
        <f ca="1">VLOOKUP($G527,Overall!$K$5:$T$36,10)</f>
        <v>4.2535303978081149E+38</v>
      </c>
      <c r="J527" s="62" t="str">
        <f>VLOOKUP($G527,Overall!$K$5:$T$36,6)</f>
        <v>01111111101000000000000000000010</v>
      </c>
      <c r="K527" s="8">
        <f t="shared" ca="1" si="72"/>
        <v>5.0000015497208778</v>
      </c>
      <c r="L527" s="62">
        <f>VLOOKUP($B527,Overall!$B$5:$I$13,8)</f>
        <v>0</v>
      </c>
      <c r="M527" s="58"/>
      <c r="N527" s="3" t="str">
        <f t="shared" si="73"/>
        <v/>
      </c>
      <c r="O527" s="3" t="str">
        <f t="shared" si="74"/>
        <v/>
      </c>
      <c r="P527" s="3" t="str">
        <f t="shared" si="75"/>
        <v/>
      </c>
      <c r="Q527" s="3">
        <f t="shared" si="76"/>
        <v>0</v>
      </c>
      <c r="R527" s="3">
        <f t="shared" si="77"/>
        <v>0</v>
      </c>
      <c r="S527" s="3" t="e" cm="1">
        <f t="array" aca="1" ref="S527" ca="1">SUMPRODUCT(MID($P527,ROW(INDIRECT("1:23")),1)*2^(-ROW(INDIRECT("1:23"))))</f>
        <v>#VALUE!</v>
      </c>
      <c r="T527" s="3" t="e">
        <f t="shared" ca="1" si="78"/>
        <v>#VALUE!</v>
      </c>
      <c r="U527" s="3" t="e">
        <f t="shared" ca="1" si="79"/>
        <v>#VALUE!</v>
      </c>
      <c r="V527" s="73"/>
      <c r="W527" s="9" t="str">
        <f t="shared" si="80"/>
        <v>OK</v>
      </c>
    </row>
    <row r="528" spans="1:23" x14ac:dyDescent="0.3">
      <c r="A528" s="44">
        <v>525</v>
      </c>
      <c r="B528" s="14">
        <v>8</v>
      </c>
      <c r="C528" s="4">
        <v>16</v>
      </c>
      <c r="D528" s="3" t="str">
        <f>VLOOKUP($C528,Overall!$K$5:$T$36,2)</f>
        <v>Normal</v>
      </c>
      <c r="E528" s="3">
        <f ca="1">VLOOKUP($C528,Overall!$K$5:$T$36,10)</f>
        <v>1.1754944909521339E-38</v>
      </c>
      <c r="F528" s="9" t="str">
        <f>VLOOKUP($C528,Overall!$K$5:$T$36,6)</f>
        <v>00000000100000000000000000000001</v>
      </c>
      <c r="G528" s="8">
        <v>9</v>
      </c>
      <c r="H528" s="3" t="str">
        <f>VLOOKUP($G528,Overall!$K$5:$T$36,2)</f>
        <v>Overflow</v>
      </c>
      <c r="I528" s="3">
        <f ca="1">VLOOKUP($G528,Overall!$K$5:$T$36,10)</f>
        <v>6.8056469327705772E+38</v>
      </c>
      <c r="J528" s="62" t="str">
        <f>VLOOKUP($G528,Overall!$K$5:$T$36,6)</f>
        <v>01111111111111111111111111111111</v>
      </c>
      <c r="K528" s="8">
        <f t="shared" ca="1" si="72"/>
        <v>8.0000004768371014</v>
      </c>
      <c r="L528" s="62">
        <f>VLOOKUP($B528,Overall!$B$5:$I$13,8)</f>
        <v>0</v>
      </c>
      <c r="M528" s="58"/>
      <c r="N528" s="3" t="str">
        <f t="shared" si="73"/>
        <v/>
      </c>
      <c r="O528" s="3" t="str">
        <f t="shared" si="74"/>
        <v/>
      </c>
      <c r="P528" s="3" t="str">
        <f t="shared" si="75"/>
        <v/>
      </c>
      <c r="Q528" s="3">
        <f t="shared" si="76"/>
        <v>0</v>
      </c>
      <c r="R528" s="3">
        <f t="shared" si="77"/>
        <v>0</v>
      </c>
      <c r="S528" s="3" t="e" cm="1">
        <f t="array" aca="1" ref="S528" ca="1">SUMPRODUCT(MID($P528,ROW(INDIRECT("1:23")),1)*2^(-ROW(INDIRECT("1:23"))))</f>
        <v>#VALUE!</v>
      </c>
      <c r="T528" s="3" t="e">
        <f t="shared" ca="1" si="78"/>
        <v>#VALUE!</v>
      </c>
      <c r="U528" s="3" t="e">
        <f t="shared" ca="1" si="79"/>
        <v>#VALUE!</v>
      </c>
      <c r="V528" s="73"/>
      <c r="W528" s="9" t="str">
        <f t="shared" si="80"/>
        <v>OK</v>
      </c>
    </row>
    <row r="529" spans="1:23" x14ac:dyDescent="0.3">
      <c r="A529" s="44">
        <v>526</v>
      </c>
      <c r="B529" s="14">
        <v>8</v>
      </c>
      <c r="C529" s="4">
        <v>16</v>
      </c>
      <c r="D529" s="3" t="str">
        <f>VLOOKUP($C529,Overall!$K$5:$T$36,2)</f>
        <v>Normal</v>
      </c>
      <c r="E529" s="3">
        <f ca="1">VLOOKUP($C529,Overall!$K$5:$T$36,10)</f>
        <v>1.1754944909521339E-38</v>
      </c>
      <c r="F529" s="9" t="str">
        <f>VLOOKUP($C529,Overall!$K$5:$T$36,6)</f>
        <v>00000000100000000000000000000001</v>
      </c>
      <c r="G529" s="8">
        <v>10</v>
      </c>
      <c r="H529" s="3" t="str">
        <f>VLOOKUP($G529,Overall!$K$5:$T$36,2)</f>
        <v>Overflow</v>
      </c>
      <c r="I529" s="3">
        <f ca="1">VLOOKUP($G529,Overall!$K$5:$T$36,10)</f>
        <v>-3.4028240748575767E+38</v>
      </c>
      <c r="J529" s="62" t="str">
        <f>VLOOKUP($G529,Overall!$K$5:$T$36,6)</f>
        <v>11111111100000000000000000000001</v>
      </c>
      <c r="K529" s="8">
        <f t="shared" ca="1" si="72"/>
        <v>-4.0000009536743732</v>
      </c>
      <c r="L529" s="62">
        <f>VLOOKUP($B529,Overall!$B$5:$I$13,8)</f>
        <v>0</v>
      </c>
      <c r="M529" s="58"/>
      <c r="N529" s="3" t="str">
        <f t="shared" si="73"/>
        <v/>
      </c>
      <c r="O529" s="3" t="str">
        <f t="shared" si="74"/>
        <v/>
      </c>
      <c r="P529" s="3" t="str">
        <f t="shared" si="75"/>
        <v/>
      </c>
      <c r="Q529" s="3">
        <f t="shared" si="76"/>
        <v>0</v>
      </c>
      <c r="R529" s="3">
        <f t="shared" si="77"/>
        <v>0</v>
      </c>
      <c r="S529" s="3" t="e" cm="1">
        <f t="array" aca="1" ref="S529" ca="1">SUMPRODUCT(MID($P529,ROW(INDIRECT("1:23")),1)*2^(-ROW(INDIRECT("1:23"))))</f>
        <v>#VALUE!</v>
      </c>
      <c r="T529" s="3" t="e">
        <f t="shared" ca="1" si="78"/>
        <v>#VALUE!</v>
      </c>
      <c r="U529" s="3" t="e">
        <f t="shared" ca="1" si="79"/>
        <v>#VALUE!</v>
      </c>
      <c r="V529" s="73"/>
      <c r="W529" s="9" t="str">
        <f t="shared" si="80"/>
        <v>OK</v>
      </c>
    </row>
    <row r="530" spans="1:23" x14ac:dyDescent="0.3">
      <c r="A530" s="44">
        <v>527</v>
      </c>
      <c r="B530" s="14">
        <v>8</v>
      </c>
      <c r="C530" s="4">
        <v>16</v>
      </c>
      <c r="D530" s="3" t="str">
        <f>VLOOKUP($C530,Overall!$K$5:$T$36,2)</f>
        <v>Normal</v>
      </c>
      <c r="E530" s="3">
        <f ca="1">VLOOKUP($C530,Overall!$K$5:$T$36,10)</f>
        <v>1.1754944909521339E-38</v>
      </c>
      <c r="F530" s="9" t="str">
        <f>VLOOKUP($C530,Overall!$K$5:$T$36,6)</f>
        <v>00000000100000000000000000000001</v>
      </c>
      <c r="G530" s="8">
        <v>11</v>
      </c>
      <c r="H530" s="3" t="str">
        <f>VLOOKUP($G530,Overall!$K$5:$T$36,2)</f>
        <v>Overflow</v>
      </c>
      <c r="I530" s="3">
        <f ca="1">VLOOKUP($G530,Overall!$K$5:$T$36,10)</f>
        <v>-4.2535303978081149E+38</v>
      </c>
      <c r="J530" s="62" t="str">
        <f>VLOOKUP($G530,Overall!$K$5:$T$36,6)</f>
        <v>11111111101000000000000000000010</v>
      </c>
      <c r="K530" s="8">
        <f t="shared" ca="1" si="72"/>
        <v>-5.0000015497208778</v>
      </c>
      <c r="L530" s="62">
        <f>VLOOKUP($B530,Overall!$B$5:$I$13,8)</f>
        <v>0</v>
      </c>
      <c r="M530" s="58"/>
      <c r="N530" s="3" t="str">
        <f t="shared" si="73"/>
        <v/>
      </c>
      <c r="O530" s="3" t="str">
        <f t="shared" si="74"/>
        <v/>
      </c>
      <c r="P530" s="3" t="str">
        <f t="shared" si="75"/>
        <v/>
      </c>
      <c r="Q530" s="3">
        <f t="shared" si="76"/>
        <v>0</v>
      </c>
      <c r="R530" s="3">
        <f t="shared" si="77"/>
        <v>0</v>
      </c>
      <c r="S530" s="3" t="e" cm="1">
        <f t="array" aca="1" ref="S530" ca="1">SUMPRODUCT(MID($P530,ROW(INDIRECT("1:23")),1)*2^(-ROW(INDIRECT("1:23"))))</f>
        <v>#VALUE!</v>
      </c>
      <c r="T530" s="3" t="e">
        <f t="shared" ca="1" si="78"/>
        <v>#VALUE!</v>
      </c>
      <c r="U530" s="3" t="e">
        <f t="shared" ca="1" si="79"/>
        <v>#VALUE!</v>
      </c>
      <c r="V530" s="73"/>
      <c r="W530" s="9" t="str">
        <f t="shared" si="80"/>
        <v>OK</v>
      </c>
    </row>
    <row r="531" spans="1:23" x14ac:dyDescent="0.3">
      <c r="A531" s="44">
        <v>528</v>
      </c>
      <c r="B531" s="14">
        <v>8</v>
      </c>
      <c r="C531" s="4">
        <v>16</v>
      </c>
      <c r="D531" s="3" t="str">
        <f>VLOOKUP($C531,Overall!$K$5:$T$36,2)</f>
        <v>Normal</v>
      </c>
      <c r="E531" s="3">
        <f ca="1">VLOOKUP($C531,Overall!$K$5:$T$36,10)</f>
        <v>1.1754944909521339E-38</v>
      </c>
      <c r="F531" s="9" t="str">
        <f>VLOOKUP($C531,Overall!$K$5:$T$36,6)</f>
        <v>00000000100000000000000000000001</v>
      </c>
      <c r="G531" s="8">
        <v>12</v>
      </c>
      <c r="H531" s="3" t="str">
        <f>VLOOKUP($G531,Overall!$K$5:$T$36,2)</f>
        <v>Overflow</v>
      </c>
      <c r="I531" s="3">
        <f ca="1">VLOOKUP($G531,Overall!$K$5:$T$36,10)</f>
        <v>-6.8056469327705772E+38</v>
      </c>
      <c r="J531" s="62" t="str">
        <f>VLOOKUP($G531,Overall!$K$5:$T$36,6)</f>
        <v>11111111111111111111111111111111</v>
      </c>
      <c r="K531" s="8">
        <f t="shared" ca="1" si="72"/>
        <v>-8.0000004768371014</v>
      </c>
      <c r="L531" s="62">
        <f>VLOOKUP($B531,Overall!$B$5:$I$13,8)</f>
        <v>0</v>
      </c>
      <c r="M531" s="58"/>
      <c r="N531" s="3" t="str">
        <f t="shared" si="73"/>
        <v/>
      </c>
      <c r="O531" s="3" t="str">
        <f t="shared" si="74"/>
        <v/>
      </c>
      <c r="P531" s="3" t="str">
        <f t="shared" si="75"/>
        <v/>
      </c>
      <c r="Q531" s="3">
        <f t="shared" si="76"/>
        <v>0</v>
      </c>
      <c r="R531" s="3">
        <f t="shared" si="77"/>
        <v>0</v>
      </c>
      <c r="S531" s="3" t="e" cm="1">
        <f t="array" aca="1" ref="S531" ca="1">SUMPRODUCT(MID($P531,ROW(INDIRECT("1:23")),1)*2^(-ROW(INDIRECT("1:23"))))</f>
        <v>#VALUE!</v>
      </c>
      <c r="T531" s="3" t="e">
        <f t="shared" ca="1" si="78"/>
        <v>#VALUE!</v>
      </c>
      <c r="U531" s="3" t="e">
        <f t="shared" ca="1" si="79"/>
        <v>#VALUE!</v>
      </c>
      <c r="V531" s="73"/>
      <c r="W531" s="9" t="str">
        <f t="shared" si="80"/>
        <v>OK</v>
      </c>
    </row>
    <row r="532" spans="1:23" x14ac:dyDescent="0.3">
      <c r="A532" s="44">
        <v>529</v>
      </c>
      <c r="B532" s="14">
        <v>8</v>
      </c>
      <c r="C532" s="4">
        <v>17</v>
      </c>
      <c r="D532" s="3" t="str">
        <f>VLOOKUP($C532,Overall!$K$5:$T$36,2)</f>
        <v>Normal</v>
      </c>
      <c r="E532" s="3">
        <f ca="1">VLOOKUP($C532,Overall!$K$5:$T$36,10)</f>
        <v>0.5</v>
      </c>
      <c r="F532" s="9" t="str">
        <f>VLOOKUP($C532,Overall!$K$5:$T$36,6)</f>
        <v>00111111000000000000000000000000</v>
      </c>
      <c r="G532" s="8">
        <v>7</v>
      </c>
      <c r="H532" s="3" t="str">
        <f>VLOOKUP($G532,Overall!$K$5:$T$36,2)</f>
        <v>Overflow</v>
      </c>
      <c r="I532" s="3">
        <f ca="1">VLOOKUP($G532,Overall!$K$5:$T$36,10)</f>
        <v>3.4028240748575767E+38</v>
      </c>
      <c r="J532" s="62" t="str">
        <f>VLOOKUP($G532,Overall!$K$5:$T$36,6)</f>
        <v>01111111100000000000000000000001</v>
      </c>
      <c r="K532" s="8">
        <f t="shared" ca="1" si="72"/>
        <v>1.7014120374287884E+38</v>
      </c>
      <c r="L532" s="62">
        <f>VLOOKUP($B532,Overall!$B$5:$I$13,8)</f>
        <v>0</v>
      </c>
      <c r="M532" s="58"/>
      <c r="N532" s="3" t="str">
        <f t="shared" si="73"/>
        <v/>
      </c>
      <c r="O532" s="3" t="str">
        <f t="shared" si="74"/>
        <v/>
      </c>
      <c r="P532" s="3" t="str">
        <f t="shared" si="75"/>
        <v/>
      </c>
      <c r="Q532" s="3">
        <f t="shared" si="76"/>
        <v>0</v>
      </c>
      <c r="R532" s="3">
        <f t="shared" si="77"/>
        <v>0</v>
      </c>
      <c r="S532" s="3" t="e" cm="1">
        <f t="array" aca="1" ref="S532" ca="1">SUMPRODUCT(MID($P532,ROW(INDIRECT("1:23")),1)*2^(-ROW(INDIRECT("1:23"))))</f>
        <v>#VALUE!</v>
      </c>
      <c r="T532" s="3" t="e">
        <f t="shared" ca="1" si="78"/>
        <v>#VALUE!</v>
      </c>
      <c r="U532" s="3" t="e">
        <f t="shared" ca="1" si="79"/>
        <v>#VALUE!</v>
      </c>
      <c r="V532" s="73"/>
      <c r="W532" s="9" t="str">
        <f t="shared" si="80"/>
        <v>OK</v>
      </c>
    </row>
    <row r="533" spans="1:23" x14ac:dyDescent="0.3">
      <c r="A533" s="44">
        <v>530</v>
      </c>
      <c r="B533" s="14">
        <v>8</v>
      </c>
      <c r="C533" s="4">
        <v>17</v>
      </c>
      <c r="D533" s="3" t="str">
        <f>VLOOKUP($C533,Overall!$K$5:$T$36,2)</f>
        <v>Normal</v>
      </c>
      <c r="E533" s="3">
        <f ca="1">VLOOKUP($C533,Overall!$K$5:$T$36,10)</f>
        <v>0.5</v>
      </c>
      <c r="F533" s="9" t="str">
        <f>VLOOKUP($C533,Overall!$K$5:$T$36,6)</f>
        <v>00111111000000000000000000000000</v>
      </c>
      <c r="G533" s="8">
        <v>8</v>
      </c>
      <c r="H533" s="3" t="str">
        <f>VLOOKUP($G533,Overall!$K$5:$T$36,2)</f>
        <v>Overflow</v>
      </c>
      <c r="I533" s="3">
        <f ca="1">VLOOKUP($G533,Overall!$K$5:$T$36,10)</f>
        <v>4.2535303978081149E+38</v>
      </c>
      <c r="J533" s="62" t="str">
        <f>VLOOKUP($G533,Overall!$K$5:$T$36,6)</f>
        <v>01111111101000000000000000000010</v>
      </c>
      <c r="K533" s="8">
        <f t="shared" ca="1" si="72"/>
        <v>2.1267651989040575E+38</v>
      </c>
      <c r="L533" s="62">
        <f>VLOOKUP($B533,Overall!$B$5:$I$13,8)</f>
        <v>0</v>
      </c>
      <c r="M533" s="58"/>
      <c r="N533" s="3" t="str">
        <f t="shared" si="73"/>
        <v/>
      </c>
      <c r="O533" s="3" t="str">
        <f t="shared" si="74"/>
        <v/>
      </c>
      <c r="P533" s="3" t="str">
        <f t="shared" si="75"/>
        <v/>
      </c>
      <c r="Q533" s="3">
        <f t="shared" si="76"/>
        <v>0</v>
      </c>
      <c r="R533" s="3">
        <f t="shared" si="77"/>
        <v>0</v>
      </c>
      <c r="S533" s="3" t="e" cm="1">
        <f t="array" aca="1" ref="S533" ca="1">SUMPRODUCT(MID($P533,ROW(INDIRECT("1:23")),1)*2^(-ROW(INDIRECT("1:23"))))</f>
        <v>#VALUE!</v>
      </c>
      <c r="T533" s="3" t="e">
        <f t="shared" ca="1" si="78"/>
        <v>#VALUE!</v>
      </c>
      <c r="U533" s="3" t="e">
        <f t="shared" ca="1" si="79"/>
        <v>#VALUE!</v>
      </c>
      <c r="V533" s="73"/>
      <c r="W533" s="9" t="str">
        <f t="shared" si="80"/>
        <v>OK</v>
      </c>
    </row>
    <row r="534" spans="1:23" x14ac:dyDescent="0.3">
      <c r="A534" s="44">
        <v>531</v>
      </c>
      <c r="B534" s="14">
        <v>8</v>
      </c>
      <c r="C534" s="4">
        <v>17</v>
      </c>
      <c r="D534" s="3" t="str">
        <f>VLOOKUP($C534,Overall!$K$5:$T$36,2)</f>
        <v>Normal</v>
      </c>
      <c r="E534" s="3">
        <f ca="1">VLOOKUP($C534,Overall!$K$5:$T$36,10)</f>
        <v>0.5</v>
      </c>
      <c r="F534" s="9" t="str">
        <f>VLOOKUP($C534,Overall!$K$5:$T$36,6)</f>
        <v>00111111000000000000000000000000</v>
      </c>
      <c r="G534" s="8">
        <v>9</v>
      </c>
      <c r="H534" s="3" t="str">
        <f>VLOOKUP($G534,Overall!$K$5:$T$36,2)</f>
        <v>Overflow</v>
      </c>
      <c r="I534" s="3">
        <f ca="1">VLOOKUP($G534,Overall!$K$5:$T$36,10)</f>
        <v>6.8056469327705772E+38</v>
      </c>
      <c r="J534" s="62" t="str">
        <f>VLOOKUP($G534,Overall!$K$5:$T$36,6)</f>
        <v>01111111111111111111111111111111</v>
      </c>
      <c r="K534" s="8">
        <f t="shared" ca="1" si="72"/>
        <v>3.4028234663852886E+38</v>
      </c>
      <c r="L534" s="62">
        <f>VLOOKUP($B534,Overall!$B$5:$I$13,8)</f>
        <v>0</v>
      </c>
      <c r="M534" s="58"/>
      <c r="N534" s="3" t="str">
        <f t="shared" si="73"/>
        <v/>
      </c>
      <c r="O534" s="3" t="str">
        <f t="shared" si="74"/>
        <v/>
      </c>
      <c r="P534" s="3" t="str">
        <f t="shared" si="75"/>
        <v/>
      </c>
      <c r="Q534" s="3">
        <f t="shared" si="76"/>
        <v>0</v>
      </c>
      <c r="R534" s="3">
        <f t="shared" si="77"/>
        <v>0</v>
      </c>
      <c r="S534" s="3" t="e" cm="1">
        <f t="array" aca="1" ref="S534" ca="1">SUMPRODUCT(MID($P534,ROW(INDIRECT("1:23")),1)*2^(-ROW(INDIRECT("1:23"))))</f>
        <v>#VALUE!</v>
      </c>
      <c r="T534" s="3" t="e">
        <f t="shared" ca="1" si="78"/>
        <v>#VALUE!</v>
      </c>
      <c r="U534" s="3" t="e">
        <f t="shared" ca="1" si="79"/>
        <v>#VALUE!</v>
      </c>
      <c r="V534" s="73"/>
      <c r="W534" s="9" t="str">
        <f t="shared" si="80"/>
        <v>OK</v>
      </c>
    </row>
    <row r="535" spans="1:23" x14ac:dyDescent="0.3">
      <c r="A535" s="44">
        <v>532</v>
      </c>
      <c r="B535" s="14">
        <v>8</v>
      </c>
      <c r="C535" s="4">
        <v>17</v>
      </c>
      <c r="D535" s="3" t="str">
        <f>VLOOKUP($C535,Overall!$K$5:$T$36,2)</f>
        <v>Normal</v>
      </c>
      <c r="E535" s="3">
        <f ca="1">VLOOKUP($C535,Overall!$K$5:$T$36,10)</f>
        <v>0.5</v>
      </c>
      <c r="F535" s="9" t="str">
        <f>VLOOKUP($C535,Overall!$K$5:$T$36,6)</f>
        <v>00111111000000000000000000000000</v>
      </c>
      <c r="G535" s="8">
        <v>10</v>
      </c>
      <c r="H535" s="3" t="str">
        <f>VLOOKUP($G535,Overall!$K$5:$T$36,2)</f>
        <v>Overflow</v>
      </c>
      <c r="I535" s="3">
        <f ca="1">VLOOKUP($G535,Overall!$K$5:$T$36,10)</f>
        <v>-3.4028240748575767E+38</v>
      </c>
      <c r="J535" s="62" t="str">
        <f>VLOOKUP($G535,Overall!$K$5:$T$36,6)</f>
        <v>11111111100000000000000000000001</v>
      </c>
      <c r="K535" s="8">
        <f t="shared" ca="1" si="72"/>
        <v>-1.7014120374287884E+38</v>
      </c>
      <c r="L535" s="62">
        <f>VLOOKUP($B535,Overall!$B$5:$I$13,8)</f>
        <v>0</v>
      </c>
      <c r="M535" s="58"/>
      <c r="N535" s="3" t="str">
        <f t="shared" si="73"/>
        <v/>
      </c>
      <c r="O535" s="3" t="str">
        <f t="shared" si="74"/>
        <v/>
      </c>
      <c r="P535" s="3" t="str">
        <f t="shared" si="75"/>
        <v/>
      </c>
      <c r="Q535" s="3">
        <f t="shared" si="76"/>
        <v>0</v>
      </c>
      <c r="R535" s="3">
        <f t="shared" si="77"/>
        <v>0</v>
      </c>
      <c r="S535" s="3" t="e" cm="1">
        <f t="array" aca="1" ref="S535" ca="1">SUMPRODUCT(MID($P535,ROW(INDIRECT("1:23")),1)*2^(-ROW(INDIRECT("1:23"))))</f>
        <v>#VALUE!</v>
      </c>
      <c r="T535" s="3" t="e">
        <f t="shared" ca="1" si="78"/>
        <v>#VALUE!</v>
      </c>
      <c r="U535" s="3" t="e">
        <f t="shared" ca="1" si="79"/>
        <v>#VALUE!</v>
      </c>
      <c r="V535" s="73"/>
      <c r="W535" s="9" t="str">
        <f t="shared" si="80"/>
        <v>OK</v>
      </c>
    </row>
    <row r="536" spans="1:23" x14ac:dyDescent="0.3">
      <c r="A536" s="44">
        <v>533</v>
      </c>
      <c r="B536" s="14">
        <v>8</v>
      </c>
      <c r="C536" s="4">
        <v>17</v>
      </c>
      <c r="D536" s="3" t="str">
        <f>VLOOKUP($C536,Overall!$K$5:$T$36,2)</f>
        <v>Normal</v>
      </c>
      <c r="E536" s="3">
        <f ca="1">VLOOKUP($C536,Overall!$K$5:$T$36,10)</f>
        <v>0.5</v>
      </c>
      <c r="F536" s="9" t="str">
        <f>VLOOKUP($C536,Overall!$K$5:$T$36,6)</f>
        <v>00111111000000000000000000000000</v>
      </c>
      <c r="G536" s="8">
        <v>11</v>
      </c>
      <c r="H536" s="3" t="str">
        <f>VLOOKUP($G536,Overall!$K$5:$T$36,2)</f>
        <v>Overflow</v>
      </c>
      <c r="I536" s="3">
        <f ca="1">VLOOKUP($G536,Overall!$K$5:$T$36,10)</f>
        <v>-4.2535303978081149E+38</v>
      </c>
      <c r="J536" s="62" t="str">
        <f>VLOOKUP($G536,Overall!$K$5:$T$36,6)</f>
        <v>11111111101000000000000000000010</v>
      </c>
      <c r="K536" s="8">
        <f t="shared" ca="1" si="72"/>
        <v>-2.1267651989040575E+38</v>
      </c>
      <c r="L536" s="62">
        <f>VLOOKUP($B536,Overall!$B$5:$I$13,8)</f>
        <v>0</v>
      </c>
      <c r="M536" s="58"/>
      <c r="N536" s="3" t="str">
        <f t="shared" si="73"/>
        <v/>
      </c>
      <c r="O536" s="3" t="str">
        <f t="shared" si="74"/>
        <v/>
      </c>
      <c r="P536" s="3" t="str">
        <f t="shared" si="75"/>
        <v/>
      </c>
      <c r="Q536" s="3">
        <f t="shared" si="76"/>
        <v>0</v>
      </c>
      <c r="R536" s="3">
        <f t="shared" si="77"/>
        <v>0</v>
      </c>
      <c r="S536" s="3" t="e" cm="1">
        <f t="array" aca="1" ref="S536" ca="1">SUMPRODUCT(MID($P536,ROW(INDIRECT("1:23")),1)*2^(-ROW(INDIRECT("1:23"))))</f>
        <v>#VALUE!</v>
      </c>
      <c r="T536" s="3" t="e">
        <f t="shared" ca="1" si="78"/>
        <v>#VALUE!</v>
      </c>
      <c r="U536" s="3" t="e">
        <f t="shared" ca="1" si="79"/>
        <v>#VALUE!</v>
      </c>
      <c r="V536" s="73"/>
      <c r="W536" s="9" t="str">
        <f t="shared" si="80"/>
        <v>OK</v>
      </c>
    </row>
    <row r="537" spans="1:23" x14ac:dyDescent="0.3">
      <c r="A537" s="44">
        <v>534</v>
      </c>
      <c r="B537" s="14">
        <v>8</v>
      </c>
      <c r="C537" s="4">
        <v>17</v>
      </c>
      <c r="D537" s="3" t="str">
        <f>VLOOKUP($C537,Overall!$K$5:$T$36,2)</f>
        <v>Normal</v>
      </c>
      <c r="E537" s="3">
        <f ca="1">VLOOKUP($C537,Overall!$K$5:$T$36,10)</f>
        <v>0.5</v>
      </c>
      <c r="F537" s="9" t="str">
        <f>VLOOKUP($C537,Overall!$K$5:$T$36,6)</f>
        <v>00111111000000000000000000000000</v>
      </c>
      <c r="G537" s="8">
        <v>12</v>
      </c>
      <c r="H537" s="3" t="str">
        <f>VLOOKUP($G537,Overall!$K$5:$T$36,2)</f>
        <v>Overflow</v>
      </c>
      <c r="I537" s="3">
        <f ca="1">VLOOKUP($G537,Overall!$K$5:$T$36,10)</f>
        <v>-6.8056469327705772E+38</v>
      </c>
      <c r="J537" s="62" t="str">
        <f>VLOOKUP($G537,Overall!$K$5:$T$36,6)</f>
        <v>11111111111111111111111111111111</v>
      </c>
      <c r="K537" s="8">
        <f t="shared" ca="1" si="72"/>
        <v>-3.4028234663852886E+38</v>
      </c>
      <c r="L537" s="62">
        <f>VLOOKUP($B537,Overall!$B$5:$I$13,8)</f>
        <v>0</v>
      </c>
      <c r="M537" s="58"/>
      <c r="N537" s="3" t="str">
        <f t="shared" si="73"/>
        <v/>
      </c>
      <c r="O537" s="3" t="str">
        <f t="shared" si="74"/>
        <v/>
      </c>
      <c r="P537" s="3" t="str">
        <f t="shared" si="75"/>
        <v/>
      </c>
      <c r="Q537" s="3">
        <f t="shared" si="76"/>
        <v>0</v>
      </c>
      <c r="R537" s="3">
        <f t="shared" si="77"/>
        <v>0</v>
      </c>
      <c r="S537" s="3" t="e" cm="1">
        <f t="array" aca="1" ref="S537" ca="1">SUMPRODUCT(MID($P537,ROW(INDIRECT("1:23")),1)*2^(-ROW(INDIRECT("1:23"))))</f>
        <v>#VALUE!</v>
      </c>
      <c r="T537" s="3" t="e">
        <f t="shared" ca="1" si="78"/>
        <v>#VALUE!</v>
      </c>
      <c r="U537" s="3" t="e">
        <f t="shared" ca="1" si="79"/>
        <v>#VALUE!</v>
      </c>
      <c r="V537" s="73"/>
      <c r="W537" s="9" t="str">
        <f t="shared" si="80"/>
        <v>OK</v>
      </c>
    </row>
    <row r="538" spans="1:23" x14ac:dyDescent="0.3">
      <c r="A538" s="44">
        <v>535</v>
      </c>
      <c r="B538" s="14">
        <v>8</v>
      </c>
      <c r="C538" s="4">
        <v>18</v>
      </c>
      <c r="D538" s="3" t="str">
        <f>VLOOKUP($C538,Overall!$K$5:$T$36,2)</f>
        <v>Normal</v>
      </c>
      <c r="E538" s="3">
        <f ca="1">VLOOKUP($C538,Overall!$K$5:$T$36,10)</f>
        <v>1</v>
      </c>
      <c r="F538" s="9" t="str">
        <f>VLOOKUP($C538,Overall!$K$5:$T$36,6)</f>
        <v>00111111100000000000000000000000</v>
      </c>
      <c r="G538" s="8">
        <v>7</v>
      </c>
      <c r="H538" s="3" t="str">
        <f>VLOOKUP($G538,Overall!$K$5:$T$36,2)</f>
        <v>Overflow</v>
      </c>
      <c r="I538" s="3">
        <f ca="1">VLOOKUP($G538,Overall!$K$5:$T$36,10)</f>
        <v>3.4028240748575767E+38</v>
      </c>
      <c r="J538" s="62" t="str">
        <f>VLOOKUP($G538,Overall!$K$5:$T$36,6)</f>
        <v>01111111100000000000000000000001</v>
      </c>
      <c r="K538" s="8">
        <f t="shared" ca="1" si="72"/>
        <v>3.4028240748575767E+38</v>
      </c>
      <c r="L538" s="62">
        <f>VLOOKUP($B538,Overall!$B$5:$I$13,8)</f>
        <v>0</v>
      </c>
      <c r="M538" s="58"/>
      <c r="N538" s="3" t="str">
        <f t="shared" si="73"/>
        <v/>
      </c>
      <c r="O538" s="3" t="str">
        <f t="shared" si="74"/>
        <v/>
      </c>
      <c r="P538" s="3" t="str">
        <f t="shared" si="75"/>
        <v/>
      </c>
      <c r="Q538" s="3">
        <f t="shared" si="76"/>
        <v>0</v>
      </c>
      <c r="R538" s="3">
        <f t="shared" si="77"/>
        <v>0</v>
      </c>
      <c r="S538" s="3" t="e" cm="1">
        <f t="array" aca="1" ref="S538" ca="1">SUMPRODUCT(MID($P538,ROW(INDIRECT("1:23")),1)*2^(-ROW(INDIRECT("1:23"))))</f>
        <v>#VALUE!</v>
      </c>
      <c r="T538" s="3" t="e">
        <f t="shared" ca="1" si="78"/>
        <v>#VALUE!</v>
      </c>
      <c r="U538" s="3" t="e">
        <f t="shared" ca="1" si="79"/>
        <v>#VALUE!</v>
      </c>
      <c r="V538" s="73"/>
      <c r="W538" s="9" t="str">
        <f t="shared" si="80"/>
        <v>OK</v>
      </c>
    </row>
    <row r="539" spans="1:23" x14ac:dyDescent="0.3">
      <c r="A539" s="44">
        <v>536</v>
      </c>
      <c r="B539" s="14">
        <v>8</v>
      </c>
      <c r="C539" s="4">
        <v>18</v>
      </c>
      <c r="D539" s="3" t="str">
        <f>VLOOKUP($C539,Overall!$K$5:$T$36,2)</f>
        <v>Normal</v>
      </c>
      <c r="E539" s="3">
        <f ca="1">VLOOKUP($C539,Overall!$K$5:$T$36,10)</f>
        <v>1</v>
      </c>
      <c r="F539" s="9" t="str">
        <f>VLOOKUP($C539,Overall!$K$5:$T$36,6)</f>
        <v>00111111100000000000000000000000</v>
      </c>
      <c r="G539" s="8">
        <v>8</v>
      </c>
      <c r="H539" s="3" t="str">
        <f>VLOOKUP($G539,Overall!$K$5:$T$36,2)</f>
        <v>Overflow</v>
      </c>
      <c r="I539" s="3">
        <f ca="1">VLOOKUP($G539,Overall!$K$5:$T$36,10)</f>
        <v>4.2535303978081149E+38</v>
      </c>
      <c r="J539" s="62" t="str">
        <f>VLOOKUP($G539,Overall!$K$5:$T$36,6)</f>
        <v>01111111101000000000000000000010</v>
      </c>
      <c r="K539" s="8">
        <f t="shared" ca="1" si="72"/>
        <v>4.2535303978081149E+38</v>
      </c>
      <c r="L539" s="62">
        <f>VLOOKUP($B539,Overall!$B$5:$I$13,8)</f>
        <v>0</v>
      </c>
      <c r="M539" s="58"/>
      <c r="N539" s="3" t="str">
        <f t="shared" si="73"/>
        <v/>
      </c>
      <c r="O539" s="3" t="str">
        <f t="shared" si="74"/>
        <v/>
      </c>
      <c r="P539" s="3" t="str">
        <f t="shared" si="75"/>
        <v/>
      </c>
      <c r="Q539" s="3">
        <f t="shared" si="76"/>
        <v>0</v>
      </c>
      <c r="R539" s="3">
        <f t="shared" si="77"/>
        <v>0</v>
      </c>
      <c r="S539" s="3" t="e" cm="1">
        <f t="array" aca="1" ref="S539" ca="1">SUMPRODUCT(MID($P539,ROW(INDIRECT("1:23")),1)*2^(-ROW(INDIRECT("1:23"))))</f>
        <v>#VALUE!</v>
      </c>
      <c r="T539" s="3" t="e">
        <f t="shared" ca="1" si="78"/>
        <v>#VALUE!</v>
      </c>
      <c r="U539" s="3" t="e">
        <f t="shared" ca="1" si="79"/>
        <v>#VALUE!</v>
      </c>
      <c r="V539" s="73"/>
      <c r="W539" s="9" t="str">
        <f t="shared" si="80"/>
        <v>OK</v>
      </c>
    </row>
    <row r="540" spans="1:23" x14ac:dyDescent="0.3">
      <c r="A540" s="44">
        <v>537</v>
      </c>
      <c r="B540" s="14">
        <v>8</v>
      </c>
      <c r="C540" s="4">
        <v>18</v>
      </c>
      <c r="D540" s="3" t="str">
        <f>VLOOKUP($C540,Overall!$K$5:$T$36,2)</f>
        <v>Normal</v>
      </c>
      <c r="E540" s="3">
        <f ca="1">VLOOKUP($C540,Overall!$K$5:$T$36,10)</f>
        <v>1</v>
      </c>
      <c r="F540" s="9" t="str">
        <f>VLOOKUP($C540,Overall!$K$5:$T$36,6)</f>
        <v>00111111100000000000000000000000</v>
      </c>
      <c r="G540" s="8">
        <v>9</v>
      </c>
      <c r="H540" s="3" t="str">
        <f>VLOOKUP($G540,Overall!$K$5:$T$36,2)</f>
        <v>Overflow</v>
      </c>
      <c r="I540" s="3">
        <f ca="1">VLOOKUP($G540,Overall!$K$5:$T$36,10)</f>
        <v>6.8056469327705772E+38</v>
      </c>
      <c r="J540" s="62" t="str">
        <f>VLOOKUP($G540,Overall!$K$5:$T$36,6)</f>
        <v>01111111111111111111111111111111</v>
      </c>
      <c r="K540" s="8">
        <f t="shared" ca="1" si="72"/>
        <v>6.8056469327705772E+38</v>
      </c>
      <c r="L540" s="62">
        <f>VLOOKUP($B540,Overall!$B$5:$I$13,8)</f>
        <v>0</v>
      </c>
      <c r="M540" s="58"/>
      <c r="N540" s="3" t="str">
        <f t="shared" si="73"/>
        <v/>
      </c>
      <c r="O540" s="3" t="str">
        <f t="shared" si="74"/>
        <v/>
      </c>
      <c r="P540" s="3" t="str">
        <f t="shared" si="75"/>
        <v/>
      </c>
      <c r="Q540" s="3">
        <f t="shared" si="76"/>
        <v>0</v>
      </c>
      <c r="R540" s="3">
        <f t="shared" si="77"/>
        <v>0</v>
      </c>
      <c r="S540" s="3" t="e" cm="1">
        <f t="array" aca="1" ref="S540" ca="1">SUMPRODUCT(MID($P540,ROW(INDIRECT("1:23")),1)*2^(-ROW(INDIRECT("1:23"))))</f>
        <v>#VALUE!</v>
      </c>
      <c r="T540" s="3" t="e">
        <f t="shared" ca="1" si="78"/>
        <v>#VALUE!</v>
      </c>
      <c r="U540" s="3" t="e">
        <f t="shared" ca="1" si="79"/>
        <v>#VALUE!</v>
      </c>
      <c r="V540" s="73"/>
      <c r="W540" s="9" t="str">
        <f t="shared" si="80"/>
        <v>OK</v>
      </c>
    </row>
    <row r="541" spans="1:23" x14ac:dyDescent="0.3">
      <c r="A541" s="44">
        <v>538</v>
      </c>
      <c r="B541" s="14">
        <v>8</v>
      </c>
      <c r="C541" s="4">
        <v>18</v>
      </c>
      <c r="D541" s="3" t="str">
        <f>VLOOKUP($C541,Overall!$K$5:$T$36,2)</f>
        <v>Normal</v>
      </c>
      <c r="E541" s="3">
        <f ca="1">VLOOKUP($C541,Overall!$K$5:$T$36,10)</f>
        <v>1</v>
      </c>
      <c r="F541" s="9" t="str">
        <f>VLOOKUP($C541,Overall!$K$5:$T$36,6)</f>
        <v>00111111100000000000000000000000</v>
      </c>
      <c r="G541" s="8">
        <v>10</v>
      </c>
      <c r="H541" s="3" t="str">
        <f>VLOOKUP($G541,Overall!$K$5:$T$36,2)</f>
        <v>Overflow</v>
      </c>
      <c r="I541" s="3">
        <f ca="1">VLOOKUP($G541,Overall!$K$5:$T$36,10)</f>
        <v>-3.4028240748575767E+38</v>
      </c>
      <c r="J541" s="62" t="str">
        <f>VLOOKUP($G541,Overall!$K$5:$T$36,6)</f>
        <v>11111111100000000000000000000001</v>
      </c>
      <c r="K541" s="8">
        <f t="shared" ca="1" si="72"/>
        <v>-3.4028240748575767E+38</v>
      </c>
      <c r="L541" s="62">
        <f>VLOOKUP($B541,Overall!$B$5:$I$13,8)</f>
        <v>0</v>
      </c>
      <c r="M541" s="58"/>
      <c r="N541" s="3" t="str">
        <f t="shared" si="73"/>
        <v/>
      </c>
      <c r="O541" s="3" t="str">
        <f t="shared" si="74"/>
        <v/>
      </c>
      <c r="P541" s="3" t="str">
        <f t="shared" si="75"/>
        <v/>
      </c>
      <c r="Q541" s="3">
        <f t="shared" si="76"/>
        <v>0</v>
      </c>
      <c r="R541" s="3">
        <f t="shared" si="77"/>
        <v>0</v>
      </c>
      <c r="S541" s="3" t="e" cm="1">
        <f t="array" aca="1" ref="S541" ca="1">SUMPRODUCT(MID($P541,ROW(INDIRECT("1:23")),1)*2^(-ROW(INDIRECT("1:23"))))</f>
        <v>#VALUE!</v>
      </c>
      <c r="T541" s="3" t="e">
        <f t="shared" ca="1" si="78"/>
        <v>#VALUE!</v>
      </c>
      <c r="U541" s="3" t="e">
        <f t="shared" ca="1" si="79"/>
        <v>#VALUE!</v>
      </c>
      <c r="V541" s="73"/>
      <c r="W541" s="9" t="str">
        <f t="shared" si="80"/>
        <v>OK</v>
      </c>
    </row>
    <row r="542" spans="1:23" x14ac:dyDescent="0.3">
      <c r="A542" s="44">
        <v>539</v>
      </c>
      <c r="B542" s="14">
        <v>8</v>
      </c>
      <c r="C542" s="4">
        <v>18</v>
      </c>
      <c r="D542" s="3" t="str">
        <f>VLOOKUP($C542,Overall!$K$5:$T$36,2)</f>
        <v>Normal</v>
      </c>
      <c r="E542" s="3">
        <f ca="1">VLOOKUP($C542,Overall!$K$5:$T$36,10)</f>
        <v>1</v>
      </c>
      <c r="F542" s="9" t="str">
        <f>VLOOKUP($C542,Overall!$K$5:$T$36,6)</f>
        <v>00111111100000000000000000000000</v>
      </c>
      <c r="G542" s="8">
        <v>11</v>
      </c>
      <c r="H542" s="3" t="str">
        <f>VLOOKUP($G542,Overall!$K$5:$T$36,2)</f>
        <v>Overflow</v>
      </c>
      <c r="I542" s="3">
        <f ca="1">VLOOKUP($G542,Overall!$K$5:$T$36,10)</f>
        <v>-4.2535303978081149E+38</v>
      </c>
      <c r="J542" s="62" t="str">
        <f>VLOOKUP($G542,Overall!$K$5:$T$36,6)</f>
        <v>11111111101000000000000000000010</v>
      </c>
      <c r="K542" s="8">
        <f t="shared" ca="1" si="72"/>
        <v>-4.2535303978081149E+38</v>
      </c>
      <c r="L542" s="62">
        <f>VLOOKUP($B542,Overall!$B$5:$I$13,8)</f>
        <v>0</v>
      </c>
      <c r="M542" s="58"/>
      <c r="N542" s="3" t="str">
        <f t="shared" si="73"/>
        <v/>
      </c>
      <c r="O542" s="3" t="str">
        <f t="shared" si="74"/>
        <v/>
      </c>
      <c r="P542" s="3" t="str">
        <f t="shared" si="75"/>
        <v/>
      </c>
      <c r="Q542" s="3">
        <f t="shared" si="76"/>
        <v>0</v>
      </c>
      <c r="R542" s="3">
        <f t="shared" si="77"/>
        <v>0</v>
      </c>
      <c r="S542" s="3" t="e" cm="1">
        <f t="array" aca="1" ref="S542" ca="1">SUMPRODUCT(MID($P542,ROW(INDIRECT("1:23")),1)*2^(-ROW(INDIRECT("1:23"))))</f>
        <v>#VALUE!</v>
      </c>
      <c r="T542" s="3" t="e">
        <f t="shared" ca="1" si="78"/>
        <v>#VALUE!</v>
      </c>
      <c r="U542" s="3" t="e">
        <f t="shared" ca="1" si="79"/>
        <v>#VALUE!</v>
      </c>
      <c r="V542" s="73"/>
      <c r="W542" s="9" t="str">
        <f t="shared" si="80"/>
        <v>OK</v>
      </c>
    </row>
    <row r="543" spans="1:23" x14ac:dyDescent="0.3">
      <c r="A543" s="44">
        <v>540</v>
      </c>
      <c r="B543" s="14">
        <v>8</v>
      </c>
      <c r="C543" s="4">
        <v>18</v>
      </c>
      <c r="D543" s="3" t="str">
        <f>VLOOKUP($C543,Overall!$K$5:$T$36,2)</f>
        <v>Normal</v>
      </c>
      <c r="E543" s="3">
        <f ca="1">VLOOKUP($C543,Overall!$K$5:$T$36,10)</f>
        <v>1</v>
      </c>
      <c r="F543" s="9" t="str">
        <f>VLOOKUP($C543,Overall!$K$5:$T$36,6)</f>
        <v>00111111100000000000000000000000</v>
      </c>
      <c r="G543" s="8">
        <v>12</v>
      </c>
      <c r="H543" s="3" t="str">
        <f>VLOOKUP($G543,Overall!$K$5:$T$36,2)</f>
        <v>Overflow</v>
      </c>
      <c r="I543" s="3">
        <f ca="1">VLOOKUP($G543,Overall!$K$5:$T$36,10)</f>
        <v>-6.8056469327705772E+38</v>
      </c>
      <c r="J543" s="62" t="str">
        <f>VLOOKUP($G543,Overall!$K$5:$T$36,6)</f>
        <v>11111111111111111111111111111111</v>
      </c>
      <c r="K543" s="8">
        <f t="shared" ca="1" si="72"/>
        <v>-6.8056469327705772E+38</v>
      </c>
      <c r="L543" s="62">
        <f>VLOOKUP($B543,Overall!$B$5:$I$13,8)</f>
        <v>0</v>
      </c>
      <c r="M543" s="58"/>
      <c r="N543" s="3" t="str">
        <f t="shared" si="73"/>
        <v/>
      </c>
      <c r="O543" s="3" t="str">
        <f t="shared" si="74"/>
        <v/>
      </c>
      <c r="P543" s="3" t="str">
        <f t="shared" si="75"/>
        <v/>
      </c>
      <c r="Q543" s="3">
        <f t="shared" si="76"/>
        <v>0</v>
      </c>
      <c r="R543" s="3">
        <f t="shared" si="77"/>
        <v>0</v>
      </c>
      <c r="S543" s="3" t="e" cm="1">
        <f t="array" aca="1" ref="S543" ca="1">SUMPRODUCT(MID($P543,ROW(INDIRECT("1:23")),1)*2^(-ROW(INDIRECT("1:23"))))</f>
        <v>#VALUE!</v>
      </c>
      <c r="T543" s="3" t="e">
        <f t="shared" ca="1" si="78"/>
        <v>#VALUE!</v>
      </c>
      <c r="U543" s="3" t="e">
        <f t="shared" ca="1" si="79"/>
        <v>#VALUE!</v>
      </c>
      <c r="V543" s="73"/>
      <c r="W543" s="9" t="str">
        <f t="shared" si="80"/>
        <v>OK</v>
      </c>
    </row>
    <row r="544" spans="1:23" x14ac:dyDescent="0.3">
      <c r="A544" s="44">
        <v>541</v>
      </c>
      <c r="B544" s="14">
        <v>8</v>
      </c>
      <c r="C544" s="4">
        <v>19</v>
      </c>
      <c r="D544" s="3" t="str">
        <f>VLOOKUP($C544,Overall!$K$5:$T$36,2)</f>
        <v>Normal</v>
      </c>
      <c r="E544" s="3">
        <f ca="1">VLOOKUP($C544,Overall!$K$5:$T$36,10)</f>
        <v>1.5</v>
      </c>
      <c r="F544" s="9" t="str">
        <f>VLOOKUP($C544,Overall!$K$5:$T$36,6)</f>
        <v>00111111110000000000000000000000</v>
      </c>
      <c r="G544" s="8">
        <v>7</v>
      </c>
      <c r="H544" s="3" t="str">
        <f>VLOOKUP($G544,Overall!$K$5:$T$36,2)</f>
        <v>Overflow</v>
      </c>
      <c r="I544" s="3">
        <f ca="1">VLOOKUP($G544,Overall!$K$5:$T$36,10)</f>
        <v>3.4028240748575767E+38</v>
      </c>
      <c r="J544" s="62" t="str">
        <f>VLOOKUP($G544,Overall!$K$5:$T$36,6)</f>
        <v>01111111100000000000000000000001</v>
      </c>
      <c r="K544" s="8">
        <f t="shared" ca="1" si="72"/>
        <v>5.1042361122863651E+38</v>
      </c>
      <c r="L544" s="62">
        <f>VLOOKUP($B544,Overall!$B$5:$I$13,8)</f>
        <v>0</v>
      </c>
      <c r="M544" s="58"/>
      <c r="N544" s="3" t="str">
        <f t="shared" si="73"/>
        <v/>
      </c>
      <c r="O544" s="3" t="str">
        <f t="shared" si="74"/>
        <v/>
      </c>
      <c r="P544" s="3" t="str">
        <f t="shared" si="75"/>
        <v/>
      </c>
      <c r="Q544" s="3">
        <f t="shared" si="76"/>
        <v>0</v>
      </c>
      <c r="R544" s="3">
        <f t="shared" si="77"/>
        <v>0</v>
      </c>
      <c r="S544" s="3" t="e" cm="1">
        <f t="array" aca="1" ref="S544" ca="1">SUMPRODUCT(MID($P544,ROW(INDIRECT("1:23")),1)*2^(-ROW(INDIRECT("1:23"))))</f>
        <v>#VALUE!</v>
      </c>
      <c r="T544" s="3" t="e">
        <f t="shared" ca="1" si="78"/>
        <v>#VALUE!</v>
      </c>
      <c r="U544" s="3" t="e">
        <f t="shared" ca="1" si="79"/>
        <v>#VALUE!</v>
      </c>
      <c r="V544" s="73"/>
      <c r="W544" s="9" t="str">
        <f t="shared" si="80"/>
        <v>OK</v>
      </c>
    </row>
    <row r="545" spans="1:23" x14ac:dyDescent="0.3">
      <c r="A545" s="44">
        <v>542</v>
      </c>
      <c r="B545" s="14">
        <v>8</v>
      </c>
      <c r="C545" s="4">
        <v>19</v>
      </c>
      <c r="D545" s="3" t="str">
        <f>VLOOKUP($C545,Overall!$K$5:$T$36,2)</f>
        <v>Normal</v>
      </c>
      <c r="E545" s="3">
        <f ca="1">VLOOKUP($C545,Overall!$K$5:$T$36,10)</f>
        <v>1.5</v>
      </c>
      <c r="F545" s="9" t="str">
        <f>VLOOKUP($C545,Overall!$K$5:$T$36,6)</f>
        <v>00111111110000000000000000000000</v>
      </c>
      <c r="G545" s="8">
        <v>8</v>
      </c>
      <c r="H545" s="3" t="str">
        <f>VLOOKUP($G545,Overall!$K$5:$T$36,2)</f>
        <v>Overflow</v>
      </c>
      <c r="I545" s="3">
        <f ca="1">VLOOKUP($G545,Overall!$K$5:$T$36,10)</f>
        <v>4.2535303978081149E+38</v>
      </c>
      <c r="J545" s="62" t="str">
        <f>VLOOKUP($G545,Overall!$K$5:$T$36,6)</f>
        <v>01111111101000000000000000000010</v>
      </c>
      <c r="K545" s="8">
        <f t="shared" ca="1" si="72"/>
        <v>6.3802955967121724E+38</v>
      </c>
      <c r="L545" s="62">
        <f>VLOOKUP($B545,Overall!$B$5:$I$13,8)</f>
        <v>0</v>
      </c>
      <c r="M545" s="58"/>
      <c r="N545" s="3" t="str">
        <f t="shared" si="73"/>
        <v/>
      </c>
      <c r="O545" s="3" t="str">
        <f t="shared" si="74"/>
        <v/>
      </c>
      <c r="P545" s="3" t="str">
        <f t="shared" si="75"/>
        <v/>
      </c>
      <c r="Q545" s="3">
        <f t="shared" si="76"/>
        <v>0</v>
      </c>
      <c r="R545" s="3">
        <f t="shared" si="77"/>
        <v>0</v>
      </c>
      <c r="S545" s="3" t="e" cm="1">
        <f t="array" aca="1" ref="S545" ca="1">SUMPRODUCT(MID($P545,ROW(INDIRECT("1:23")),1)*2^(-ROW(INDIRECT("1:23"))))</f>
        <v>#VALUE!</v>
      </c>
      <c r="T545" s="3" t="e">
        <f t="shared" ca="1" si="78"/>
        <v>#VALUE!</v>
      </c>
      <c r="U545" s="3" t="e">
        <f t="shared" ca="1" si="79"/>
        <v>#VALUE!</v>
      </c>
      <c r="V545" s="73"/>
      <c r="W545" s="9" t="str">
        <f t="shared" si="80"/>
        <v>OK</v>
      </c>
    </row>
    <row r="546" spans="1:23" x14ac:dyDescent="0.3">
      <c r="A546" s="44">
        <v>543</v>
      </c>
      <c r="B546" s="14">
        <v>8</v>
      </c>
      <c r="C546" s="4">
        <v>19</v>
      </c>
      <c r="D546" s="3" t="str">
        <f>VLOOKUP($C546,Overall!$K$5:$T$36,2)</f>
        <v>Normal</v>
      </c>
      <c r="E546" s="3">
        <f ca="1">VLOOKUP($C546,Overall!$K$5:$T$36,10)</f>
        <v>1.5</v>
      </c>
      <c r="F546" s="9" t="str">
        <f>VLOOKUP($C546,Overall!$K$5:$T$36,6)</f>
        <v>00111111110000000000000000000000</v>
      </c>
      <c r="G546" s="8">
        <v>9</v>
      </c>
      <c r="H546" s="3" t="str">
        <f>VLOOKUP($G546,Overall!$K$5:$T$36,2)</f>
        <v>Overflow</v>
      </c>
      <c r="I546" s="3">
        <f ca="1">VLOOKUP($G546,Overall!$K$5:$T$36,10)</f>
        <v>6.8056469327705772E+38</v>
      </c>
      <c r="J546" s="62" t="str">
        <f>VLOOKUP($G546,Overall!$K$5:$T$36,6)</f>
        <v>01111111111111111111111111111111</v>
      </c>
      <c r="K546" s="8">
        <f t="shared" ca="1" si="72"/>
        <v>1.0208470399155866E+39</v>
      </c>
      <c r="L546" s="62">
        <f>VLOOKUP($B546,Overall!$B$5:$I$13,8)</f>
        <v>0</v>
      </c>
      <c r="M546" s="58"/>
      <c r="N546" s="3" t="str">
        <f t="shared" si="73"/>
        <v/>
      </c>
      <c r="O546" s="3" t="str">
        <f t="shared" si="74"/>
        <v/>
      </c>
      <c r="P546" s="3" t="str">
        <f t="shared" si="75"/>
        <v/>
      </c>
      <c r="Q546" s="3">
        <f t="shared" si="76"/>
        <v>0</v>
      </c>
      <c r="R546" s="3">
        <f t="shared" si="77"/>
        <v>0</v>
      </c>
      <c r="S546" s="3" t="e" cm="1">
        <f t="array" aca="1" ref="S546" ca="1">SUMPRODUCT(MID($P546,ROW(INDIRECT("1:23")),1)*2^(-ROW(INDIRECT("1:23"))))</f>
        <v>#VALUE!</v>
      </c>
      <c r="T546" s="3" t="e">
        <f t="shared" ca="1" si="78"/>
        <v>#VALUE!</v>
      </c>
      <c r="U546" s="3" t="e">
        <f t="shared" ca="1" si="79"/>
        <v>#VALUE!</v>
      </c>
      <c r="V546" s="73"/>
      <c r="W546" s="9" t="str">
        <f t="shared" si="80"/>
        <v>OK</v>
      </c>
    </row>
    <row r="547" spans="1:23" x14ac:dyDescent="0.3">
      <c r="A547" s="44">
        <v>544</v>
      </c>
      <c r="B547" s="14">
        <v>8</v>
      </c>
      <c r="C547" s="4">
        <v>19</v>
      </c>
      <c r="D547" s="3" t="str">
        <f>VLOOKUP($C547,Overall!$K$5:$T$36,2)</f>
        <v>Normal</v>
      </c>
      <c r="E547" s="3">
        <f ca="1">VLOOKUP($C547,Overall!$K$5:$T$36,10)</f>
        <v>1.5</v>
      </c>
      <c r="F547" s="9" t="str">
        <f>VLOOKUP($C547,Overall!$K$5:$T$36,6)</f>
        <v>00111111110000000000000000000000</v>
      </c>
      <c r="G547" s="8">
        <v>10</v>
      </c>
      <c r="H547" s="3" t="str">
        <f>VLOOKUP($G547,Overall!$K$5:$T$36,2)</f>
        <v>Overflow</v>
      </c>
      <c r="I547" s="3">
        <f ca="1">VLOOKUP($G547,Overall!$K$5:$T$36,10)</f>
        <v>-3.4028240748575767E+38</v>
      </c>
      <c r="J547" s="62" t="str">
        <f>VLOOKUP($G547,Overall!$K$5:$T$36,6)</f>
        <v>11111111100000000000000000000001</v>
      </c>
      <c r="K547" s="8">
        <f t="shared" ca="1" si="72"/>
        <v>-5.1042361122863651E+38</v>
      </c>
      <c r="L547" s="62">
        <f>VLOOKUP($B547,Overall!$B$5:$I$13,8)</f>
        <v>0</v>
      </c>
      <c r="M547" s="58"/>
      <c r="N547" s="3" t="str">
        <f t="shared" si="73"/>
        <v/>
      </c>
      <c r="O547" s="3" t="str">
        <f t="shared" si="74"/>
        <v/>
      </c>
      <c r="P547" s="3" t="str">
        <f t="shared" si="75"/>
        <v/>
      </c>
      <c r="Q547" s="3">
        <f t="shared" si="76"/>
        <v>0</v>
      </c>
      <c r="R547" s="3">
        <f t="shared" si="77"/>
        <v>0</v>
      </c>
      <c r="S547" s="3" t="e" cm="1">
        <f t="array" aca="1" ref="S547" ca="1">SUMPRODUCT(MID($P547,ROW(INDIRECT("1:23")),1)*2^(-ROW(INDIRECT("1:23"))))</f>
        <v>#VALUE!</v>
      </c>
      <c r="T547" s="3" t="e">
        <f t="shared" ca="1" si="78"/>
        <v>#VALUE!</v>
      </c>
      <c r="U547" s="3" t="e">
        <f t="shared" ca="1" si="79"/>
        <v>#VALUE!</v>
      </c>
      <c r="V547" s="73"/>
      <c r="W547" s="9" t="str">
        <f t="shared" si="80"/>
        <v>OK</v>
      </c>
    </row>
    <row r="548" spans="1:23" x14ac:dyDescent="0.3">
      <c r="A548" s="44">
        <v>545</v>
      </c>
      <c r="B548" s="14">
        <v>8</v>
      </c>
      <c r="C548" s="4">
        <v>19</v>
      </c>
      <c r="D548" s="3" t="str">
        <f>VLOOKUP($C548,Overall!$K$5:$T$36,2)</f>
        <v>Normal</v>
      </c>
      <c r="E548" s="3">
        <f ca="1">VLOOKUP($C548,Overall!$K$5:$T$36,10)</f>
        <v>1.5</v>
      </c>
      <c r="F548" s="9" t="str">
        <f>VLOOKUP($C548,Overall!$K$5:$T$36,6)</f>
        <v>00111111110000000000000000000000</v>
      </c>
      <c r="G548" s="8">
        <v>11</v>
      </c>
      <c r="H548" s="3" t="str">
        <f>VLOOKUP($G548,Overall!$K$5:$T$36,2)</f>
        <v>Overflow</v>
      </c>
      <c r="I548" s="3">
        <f ca="1">VLOOKUP($G548,Overall!$K$5:$T$36,10)</f>
        <v>-4.2535303978081149E+38</v>
      </c>
      <c r="J548" s="62" t="str">
        <f>VLOOKUP($G548,Overall!$K$5:$T$36,6)</f>
        <v>11111111101000000000000000000010</v>
      </c>
      <c r="K548" s="8">
        <f t="shared" ca="1" si="72"/>
        <v>-6.3802955967121724E+38</v>
      </c>
      <c r="L548" s="62">
        <f>VLOOKUP($B548,Overall!$B$5:$I$13,8)</f>
        <v>0</v>
      </c>
      <c r="M548" s="58"/>
      <c r="N548" s="3" t="str">
        <f t="shared" si="73"/>
        <v/>
      </c>
      <c r="O548" s="3" t="str">
        <f t="shared" si="74"/>
        <v/>
      </c>
      <c r="P548" s="3" t="str">
        <f t="shared" si="75"/>
        <v/>
      </c>
      <c r="Q548" s="3">
        <f t="shared" si="76"/>
        <v>0</v>
      </c>
      <c r="R548" s="3">
        <f t="shared" si="77"/>
        <v>0</v>
      </c>
      <c r="S548" s="3" t="e" cm="1">
        <f t="array" aca="1" ref="S548" ca="1">SUMPRODUCT(MID($P548,ROW(INDIRECT("1:23")),1)*2^(-ROW(INDIRECT("1:23"))))</f>
        <v>#VALUE!</v>
      </c>
      <c r="T548" s="3" t="e">
        <f t="shared" ca="1" si="78"/>
        <v>#VALUE!</v>
      </c>
      <c r="U548" s="3" t="e">
        <f t="shared" ca="1" si="79"/>
        <v>#VALUE!</v>
      </c>
      <c r="V548" s="73"/>
      <c r="W548" s="9" t="str">
        <f t="shared" si="80"/>
        <v>OK</v>
      </c>
    </row>
    <row r="549" spans="1:23" x14ac:dyDescent="0.3">
      <c r="A549" s="44">
        <v>546</v>
      </c>
      <c r="B549" s="14">
        <v>8</v>
      </c>
      <c r="C549" s="4">
        <v>19</v>
      </c>
      <c r="D549" s="3" t="str">
        <f>VLOOKUP($C549,Overall!$K$5:$T$36,2)</f>
        <v>Normal</v>
      </c>
      <c r="E549" s="3">
        <f ca="1">VLOOKUP($C549,Overall!$K$5:$T$36,10)</f>
        <v>1.5</v>
      </c>
      <c r="F549" s="9" t="str">
        <f>VLOOKUP($C549,Overall!$K$5:$T$36,6)</f>
        <v>00111111110000000000000000000000</v>
      </c>
      <c r="G549" s="8">
        <v>12</v>
      </c>
      <c r="H549" s="3" t="str">
        <f>VLOOKUP($G549,Overall!$K$5:$T$36,2)</f>
        <v>Overflow</v>
      </c>
      <c r="I549" s="3">
        <f ca="1">VLOOKUP($G549,Overall!$K$5:$T$36,10)</f>
        <v>-6.8056469327705772E+38</v>
      </c>
      <c r="J549" s="62" t="str">
        <f>VLOOKUP($G549,Overall!$K$5:$T$36,6)</f>
        <v>11111111111111111111111111111111</v>
      </c>
      <c r="K549" s="8">
        <f t="shared" ca="1" si="72"/>
        <v>-1.0208470399155866E+39</v>
      </c>
      <c r="L549" s="62">
        <f>VLOOKUP($B549,Overall!$B$5:$I$13,8)</f>
        <v>0</v>
      </c>
      <c r="M549" s="58"/>
      <c r="N549" s="3" t="str">
        <f t="shared" si="73"/>
        <v/>
      </c>
      <c r="O549" s="3" t="str">
        <f t="shared" si="74"/>
        <v/>
      </c>
      <c r="P549" s="3" t="str">
        <f t="shared" si="75"/>
        <v/>
      </c>
      <c r="Q549" s="3">
        <f t="shared" si="76"/>
        <v>0</v>
      </c>
      <c r="R549" s="3">
        <f t="shared" si="77"/>
        <v>0</v>
      </c>
      <c r="S549" s="3" t="e" cm="1">
        <f t="array" aca="1" ref="S549" ca="1">SUMPRODUCT(MID($P549,ROW(INDIRECT("1:23")),1)*2^(-ROW(INDIRECT("1:23"))))</f>
        <v>#VALUE!</v>
      </c>
      <c r="T549" s="3" t="e">
        <f t="shared" ca="1" si="78"/>
        <v>#VALUE!</v>
      </c>
      <c r="U549" s="3" t="e">
        <f t="shared" ca="1" si="79"/>
        <v>#VALUE!</v>
      </c>
      <c r="V549" s="73"/>
      <c r="W549" s="9" t="str">
        <f t="shared" si="80"/>
        <v>OK</v>
      </c>
    </row>
    <row r="550" spans="1:23" x14ac:dyDescent="0.3">
      <c r="A550" s="44">
        <v>547</v>
      </c>
      <c r="B550" s="14">
        <v>8</v>
      </c>
      <c r="C550" s="4">
        <v>20</v>
      </c>
      <c r="D550" s="3" t="str">
        <f>VLOOKUP($C550,Overall!$K$5:$T$36,2)</f>
        <v>Normal</v>
      </c>
      <c r="E550" s="3">
        <f ca="1">VLOOKUP($C550,Overall!$K$5:$T$36,10)</f>
        <v>12345.6787109375</v>
      </c>
      <c r="F550" s="9" t="str">
        <f>VLOOKUP($C550,Overall!$K$5:$T$36,6)</f>
        <v>001000110010000001110011010110111</v>
      </c>
      <c r="G550" s="8">
        <v>7</v>
      </c>
      <c r="H550" s="3" t="str">
        <f>VLOOKUP($G550,Overall!$K$5:$T$36,2)</f>
        <v>Overflow</v>
      </c>
      <c r="I550" s="3">
        <f ca="1">VLOOKUP($G550,Overall!$K$5:$T$36,10)</f>
        <v>3.4028240748575767E+38</v>
      </c>
      <c r="J550" s="62" t="str">
        <f>VLOOKUP($G550,Overall!$K$5:$T$36,6)</f>
        <v>01111111100000000000000000000001</v>
      </c>
      <c r="K550" s="8">
        <f t="shared" ca="1" si="72"/>
        <v>4.2010172738034779E+42</v>
      </c>
      <c r="L550" s="62">
        <f>VLOOKUP($B550,Overall!$B$5:$I$13,8)</f>
        <v>0</v>
      </c>
      <c r="M550" s="58"/>
      <c r="N550" s="3" t="str">
        <f t="shared" si="73"/>
        <v/>
      </c>
      <c r="O550" s="3" t="str">
        <f t="shared" si="74"/>
        <v/>
      </c>
      <c r="P550" s="3" t="str">
        <f t="shared" si="75"/>
        <v/>
      </c>
      <c r="Q550" s="3">
        <f t="shared" si="76"/>
        <v>0</v>
      </c>
      <c r="R550" s="3">
        <f t="shared" si="77"/>
        <v>0</v>
      </c>
      <c r="S550" s="3" t="e" cm="1">
        <f t="array" aca="1" ref="S550" ca="1">SUMPRODUCT(MID($P550,ROW(INDIRECT("1:23")),1)*2^(-ROW(INDIRECT("1:23"))))</f>
        <v>#VALUE!</v>
      </c>
      <c r="T550" s="3" t="e">
        <f t="shared" ca="1" si="78"/>
        <v>#VALUE!</v>
      </c>
      <c r="U550" s="3" t="e">
        <f t="shared" ca="1" si="79"/>
        <v>#VALUE!</v>
      </c>
      <c r="V550" s="73"/>
      <c r="W550" s="9" t="str">
        <f t="shared" si="80"/>
        <v>OK</v>
      </c>
    </row>
    <row r="551" spans="1:23" x14ac:dyDescent="0.3">
      <c r="A551" s="44">
        <v>548</v>
      </c>
      <c r="B551" s="14">
        <v>8</v>
      </c>
      <c r="C551" s="4">
        <v>20</v>
      </c>
      <c r="D551" s="3" t="str">
        <f>VLOOKUP($C551,Overall!$K$5:$T$36,2)</f>
        <v>Normal</v>
      </c>
      <c r="E551" s="3">
        <f ca="1">VLOOKUP($C551,Overall!$K$5:$T$36,10)</f>
        <v>12345.6787109375</v>
      </c>
      <c r="F551" s="9" t="str">
        <f>VLOOKUP($C551,Overall!$K$5:$T$36,6)</f>
        <v>001000110010000001110011010110111</v>
      </c>
      <c r="G551" s="8">
        <v>8</v>
      </c>
      <c r="H551" s="3" t="str">
        <f>VLOOKUP($G551,Overall!$K$5:$T$36,2)</f>
        <v>Overflow</v>
      </c>
      <c r="I551" s="3">
        <f ca="1">VLOOKUP($G551,Overall!$K$5:$T$36,10)</f>
        <v>4.2535303978081149E+38</v>
      </c>
      <c r="J551" s="62" t="str">
        <f>VLOOKUP($G551,Overall!$K$5:$T$36,6)</f>
        <v>01111111101000000000000000000010</v>
      </c>
      <c r="K551" s="8">
        <f t="shared" ca="1" si="72"/>
        <v>5.251271967854516E+42</v>
      </c>
      <c r="L551" s="62">
        <f>VLOOKUP($B551,Overall!$B$5:$I$13,8)</f>
        <v>0</v>
      </c>
      <c r="M551" s="58"/>
      <c r="N551" s="3" t="str">
        <f t="shared" si="73"/>
        <v/>
      </c>
      <c r="O551" s="3" t="str">
        <f t="shared" si="74"/>
        <v/>
      </c>
      <c r="P551" s="3" t="str">
        <f t="shared" si="75"/>
        <v/>
      </c>
      <c r="Q551" s="3">
        <f t="shared" si="76"/>
        <v>0</v>
      </c>
      <c r="R551" s="3">
        <f t="shared" si="77"/>
        <v>0</v>
      </c>
      <c r="S551" s="3" t="e" cm="1">
        <f t="array" aca="1" ref="S551" ca="1">SUMPRODUCT(MID($P551,ROW(INDIRECT("1:23")),1)*2^(-ROW(INDIRECT("1:23"))))</f>
        <v>#VALUE!</v>
      </c>
      <c r="T551" s="3" t="e">
        <f t="shared" ca="1" si="78"/>
        <v>#VALUE!</v>
      </c>
      <c r="U551" s="3" t="e">
        <f t="shared" ca="1" si="79"/>
        <v>#VALUE!</v>
      </c>
      <c r="V551" s="73"/>
      <c r="W551" s="9" t="str">
        <f t="shared" si="80"/>
        <v>OK</v>
      </c>
    </row>
    <row r="552" spans="1:23" x14ac:dyDescent="0.3">
      <c r="A552" s="44">
        <v>549</v>
      </c>
      <c r="B552" s="14">
        <v>8</v>
      </c>
      <c r="C552" s="4">
        <v>20</v>
      </c>
      <c r="D552" s="3" t="str">
        <f>VLOOKUP($C552,Overall!$K$5:$T$36,2)</f>
        <v>Normal</v>
      </c>
      <c r="E552" s="3">
        <f ca="1">VLOOKUP($C552,Overall!$K$5:$T$36,10)</f>
        <v>12345.6787109375</v>
      </c>
      <c r="F552" s="9" t="str">
        <f>VLOOKUP($C552,Overall!$K$5:$T$36,6)</f>
        <v>001000110010000001110011010110111</v>
      </c>
      <c r="G552" s="8">
        <v>9</v>
      </c>
      <c r="H552" s="3" t="str">
        <f>VLOOKUP($G552,Overall!$K$5:$T$36,2)</f>
        <v>Overflow</v>
      </c>
      <c r="I552" s="3">
        <f ca="1">VLOOKUP($G552,Overall!$K$5:$T$36,10)</f>
        <v>6.8056469327705772E+38</v>
      </c>
      <c r="J552" s="62" t="str">
        <f>VLOOKUP($G552,Overall!$K$5:$T$36,6)</f>
        <v>01111111111111111111111111111111</v>
      </c>
      <c r="K552" s="8">
        <f t="shared" ca="1" si="72"/>
        <v>8.402033045206281E+42</v>
      </c>
      <c r="L552" s="62">
        <f>VLOOKUP($B552,Overall!$B$5:$I$13,8)</f>
        <v>0</v>
      </c>
      <c r="M552" s="58"/>
      <c r="N552" s="3" t="str">
        <f t="shared" si="73"/>
        <v/>
      </c>
      <c r="O552" s="3" t="str">
        <f t="shared" si="74"/>
        <v/>
      </c>
      <c r="P552" s="3" t="str">
        <f t="shared" si="75"/>
        <v/>
      </c>
      <c r="Q552" s="3">
        <f t="shared" si="76"/>
        <v>0</v>
      </c>
      <c r="R552" s="3">
        <f t="shared" si="77"/>
        <v>0</v>
      </c>
      <c r="S552" s="3" t="e" cm="1">
        <f t="array" aca="1" ref="S552" ca="1">SUMPRODUCT(MID($P552,ROW(INDIRECT("1:23")),1)*2^(-ROW(INDIRECT("1:23"))))</f>
        <v>#VALUE!</v>
      </c>
      <c r="T552" s="3" t="e">
        <f t="shared" ca="1" si="78"/>
        <v>#VALUE!</v>
      </c>
      <c r="U552" s="3" t="e">
        <f t="shared" ca="1" si="79"/>
        <v>#VALUE!</v>
      </c>
      <c r="V552" s="73"/>
      <c r="W552" s="9" t="str">
        <f t="shared" si="80"/>
        <v>OK</v>
      </c>
    </row>
    <row r="553" spans="1:23" x14ac:dyDescent="0.3">
      <c r="A553" s="44">
        <v>550</v>
      </c>
      <c r="B553" s="14">
        <v>8</v>
      </c>
      <c r="C553" s="4">
        <v>20</v>
      </c>
      <c r="D553" s="3" t="str">
        <f>VLOOKUP($C553,Overall!$K$5:$T$36,2)</f>
        <v>Normal</v>
      </c>
      <c r="E553" s="3">
        <f ca="1">VLOOKUP($C553,Overall!$K$5:$T$36,10)</f>
        <v>12345.6787109375</v>
      </c>
      <c r="F553" s="9" t="str">
        <f>VLOOKUP($C553,Overall!$K$5:$T$36,6)</f>
        <v>001000110010000001110011010110111</v>
      </c>
      <c r="G553" s="8">
        <v>10</v>
      </c>
      <c r="H553" s="3" t="str">
        <f>VLOOKUP($G553,Overall!$K$5:$T$36,2)</f>
        <v>Overflow</v>
      </c>
      <c r="I553" s="3">
        <f ca="1">VLOOKUP($G553,Overall!$K$5:$T$36,10)</f>
        <v>-3.4028240748575767E+38</v>
      </c>
      <c r="J553" s="62" t="str">
        <f>VLOOKUP($G553,Overall!$K$5:$T$36,6)</f>
        <v>11111111100000000000000000000001</v>
      </c>
      <c r="K553" s="8">
        <f t="shared" ca="1" si="72"/>
        <v>-4.2010172738034779E+42</v>
      </c>
      <c r="L553" s="62">
        <f>VLOOKUP($B553,Overall!$B$5:$I$13,8)</f>
        <v>0</v>
      </c>
      <c r="M553" s="58"/>
      <c r="N553" s="3" t="str">
        <f t="shared" si="73"/>
        <v/>
      </c>
      <c r="O553" s="3" t="str">
        <f t="shared" si="74"/>
        <v/>
      </c>
      <c r="P553" s="3" t="str">
        <f t="shared" si="75"/>
        <v/>
      </c>
      <c r="Q553" s="3">
        <f t="shared" si="76"/>
        <v>0</v>
      </c>
      <c r="R553" s="3">
        <f t="shared" si="77"/>
        <v>0</v>
      </c>
      <c r="S553" s="3" t="e" cm="1">
        <f t="array" aca="1" ref="S553" ca="1">SUMPRODUCT(MID($P553,ROW(INDIRECT("1:23")),1)*2^(-ROW(INDIRECT("1:23"))))</f>
        <v>#VALUE!</v>
      </c>
      <c r="T553" s="3" t="e">
        <f t="shared" ca="1" si="78"/>
        <v>#VALUE!</v>
      </c>
      <c r="U553" s="3" t="e">
        <f t="shared" ca="1" si="79"/>
        <v>#VALUE!</v>
      </c>
      <c r="V553" s="73"/>
      <c r="W553" s="9" t="str">
        <f t="shared" si="80"/>
        <v>OK</v>
      </c>
    </row>
    <row r="554" spans="1:23" x14ac:dyDescent="0.3">
      <c r="A554" s="44">
        <v>551</v>
      </c>
      <c r="B554" s="14">
        <v>8</v>
      </c>
      <c r="C554" s="4">
        <v>20</v>
      </c>
      <c r="D554" s="3" t="str">
        <f>VLOOKUP($C554,Overall!$K$5:$T$36,2)</f>
        <v>Normal</v>
      </c>
      <c r="E554" s="3">
        <f ca="1">VLOOKUP($C554,Overall!$K$5:$T$36,10)</f>
        <v>12345.6787109375</v>
      </c>
      <c r="F554" s="9" t="str">
        <f>VLOOKUP($C554,Overall!$K$5:$T$36,6)</f>
        <v>001000110010000001110011010110111</v>
      </c>
      <c r="G554" s="8">
        <v>11</v>
      </c>
      <c r="H554" s="3" t="str">
        <f>VLOOKUP($G554,Overall!$K$5:$T$36,2)</f>
        <v>Overflow</v>
      </c>
      <c r="I554" s="3">
        <f ca="1">VLOOKUP($G554,Overall!$K$5:$T$36,10)</f>
        <v>-4.2535303978081149E+38</v>
      </c>
      <c r="J554" s="62" t="str">
        <f>VLOOKUP($G554,Overall!$K$5:$T$36,6)</f>
        <v>11111111101000000000000000000010</v>
      </c>
      <c r="K554" s="8">
        <f t="shared" ca="1" si="72"/>
        <v>-5.251271967854516E+42</v>
      </c>
      <c r="L554" s="62">
        <f>VLOOKUP($B554,Overall!$B$5:$I$13,8)</f>
        <v>0</v>
      </c>
      <c r="M554" s="58"/>
      <c r="N554" s="3" t="str">
        <f t="shared" si="73"/>
        <v/>
      </c>
      <c r="O554" s="3" t="str">
        <f t="shared" si="74"/>
        <v/>
      </c>
      <c r="P554" s="3" t="str">
        <f t="shared" si="75"/>
        <v/>
      </c>
      <c r="Q554" s="3">
        <f t="shared" si="76"/>
        <v>0</v>
      </c>
      <c r="R554" s="3">
        <f t="shared" si="77"/>
        <v>0</v>
      </c>
      <c r="S554" s="3" t="e" cm="1">
        <f t="array" aca="1" ref="S554" ca="1">SUMPRODUCT(MID($P554,ROW(INDIRECT("1:23")),1)*2^(-ROW(INDIRECT("1:23"))))</f>
        <v>#VALUE!</v>
      </c>
      <c r="T554" s="3" t="e">
        <f t="shared" ca="1" si="78"/>
        <v>#VALUE!</v>
      </c>
      <c r="U554" s="3" t="e">
        <f t="shared" ca="1" si="79"/>
        <v>#VALUE!</v>
      </c>
      <c r="V554" s="73"/>
      <c r="W554" s="9" t="str">
        <f t="shared" si="80"/>
        <v>OK</v>
      </c>
    </row>
    <row r="555" spans="1:23" x14ac:dyDescent="0.3">
      <c r="A555" s="44">
        <v>552</v>
      </c>
      <c r="B555" s="14">
        <v>8</v>
      </c>
      <c r="C555" s="4">
        <v>20</v>
      </c>
      <c r="D555" s="3" t="str">
        <f>VLOOKUP($C555,Overall!$K$5:$T$36,2)</f>
        <v>Normal</v>
      </c>
      <c r="E555" s="3">
        <f ca="1">VLOOKUP($C555,Overall!$K$5:$T$36,10)</f>
        <v>12345.6787109375</v>
      </c>
      <c r="F555" s="9" t="str">
        <f>VLOOKUP($C555,Overall!$K$5:$T$36,6)</f>
        <v>001000110010000001110011010110111</v>
      </c>
      <c r="G555" s="8">
        <v>12</v>
      </c>
      <c r="H555" s="3" t="str">
        <f>VLOOKUP($G555,Overall!$K$5:$T$36,2)</f>
        <v>Overflow</v>
      </c>
      <c r="I555" s="3">
        <f ca="1">VLOOKUP($G555,Overall!$K$5:$T$36,10)</f>
        <v>-6.8056469327705772E+38</v>
      </c>
      <c r="J555" s="62" t="str">
        <f>VLOOKUP($G555,Overall!$K$5:$T$36,6)</f>
        <v>11111111111111111111111111111111</v>
      </c>
      <c r="K555" s="8">
        <f t="shared" ca="1" si="72"/>
        <v>-8.402033045206281E+42</v>
      </c>
      <c r="L555" s="62">
        <f>VLOOKUP($B555,Overall!$B$5:$I$13,8)</f>
        <v>0</v>
      </c>
      <c r="M555" s="58"/>
      <c r="N555" s="3" t="str">
        <f t="shared" si="73"/>
        <v/>
      </c>
      <c r="O555" s="3" t="str">
        <f t="shared" si="74"/>
        <v/>
      </c>
      <c r="P555" s="3" t="str">
        <f t="shared" si="75"/>
        <v/>
      </c>
      <c r="Q555" s="3">
        <f t="shared" si="76"/>
        <v>0</v>
      </c>
      <c r="R555" s="3">
        <f t="shared" si="77"/>
        <v>0</v>
      </c>
      <c r="S555" s="3" t="e" cm="1">
        <f t="array" aca="1" ref="S555" ca="1">SUMPRODUCT(MID($P555,ROW(INDIRECT("1:23")),1)*2^(-ROW(INDIRECT("1:23"))))</f>
        <v>#VALUE!</v>
      </c>
      <c r="T555" s="3" t="e">
        <f t="shared" ca="1" si="78"/>
        <v>#VALUE!</v>
      </c>
      <c r="U555" s="3" t="e">
        <f t="shared" ca="1" si="79"/>
        <v>#VALUE!</v>
      </c>
      <c r="V555" s="73"/>
      <c r="W555" s="9" t="str">
        <f t="shared" si="80"/>
        <v>OK</v>
      </c>
    </row>
    <row r="556" spans="1:23" x14ac:dyDescent="0.3">
      <c r="A556" s="44">
        <v>553</v>
      </c>
      <c r="B556" s="14">
        <v>8</v>
      </c>
      <c r="C556" s="4">
        <v>21</v>
      </c>
      <c r="D556" s="3" t="str">
        <f>VLOOKUP($C556,Overall!$K$5:$T$36,2)</f>
        <v>Normal</v>
      </c>
      <c r="E556" s="3">
        <f ca="1">VLOOKUP($C556,Overall!$K$5:$T$36,10)</f>
        <v>2.345678924830959E+38</v>
      </c>
      <c r="F556" s="9" t="str">
        <f>VLOOKUP($C556,Overall!$K$5:$T$36,6)</f>
        <v>01111111001100000111100000100010</v>
      </c>
      <c r="G556" s="8">
        <v>7</v>
      </c>
      <c r="H556" s="3" t="str">
        <f>VLOOKUP($G556,Overall!$K$5:$T$36,2)</f>
        <v>Overflow</v>
      </c>
      <c r="I556" s="3">
        <f ca="1">VLOOKUP($G556,Overall!$K$5:$T$36,10)</f>
        <v>3.4028240748575767E+38</v>
      </c>
      <c r="J556" s="62" t="str">
        <f>VLOOKUP($G556,Overall!$K$5:$T$36,6)</f>
        <v>01111111100000000000000000000001</v>
      </c>
      <c r="K556" s="8">
        <f t="shared" ca="1" si="72"/>
        <v>7.9819327173008232E+76</v>
      </c>
      <c r="L556" s="62">
        <f>VLOOKUP($B556,Overall!$B$5:$I$13,8)</f>
        <v>0</v>
      </c>
      <c r="M556" s="58"/>
      <c r="N556" s="3" t="str">
        <f t="shared" si="73"/>
        <v/>
      </c>
      <c r="O556" s="3" t="str">
        <f t="shared" si="74"/>
        <v/>
      </c>
      <c r="P556" s="3" t="str">
        <f t="shared" si="75"/>
        <v/>
      </c>
      <c r="Q556" s="3">
        <f t="shared" si="76"/>
        <v>0</v>
      </c>
      <c r="R556" s="3">
        <f t="shared" si="77"/>
        <v>0</v>
      </c>
      <c r="S556" s="3" t="e" cm="1">
        <f t="array" aca="1" ref="S556" ca="1">SUMPRODUCT(MID($P556,ROW(INDIRECT("1:23")),1)*2^(-ROW(INDIRECT("1:23"))))</f>
        <v>#VALUE!</v>
      </c>
      <c r="T556" s="3" t="e">
        <f t="shared" ca="1" si="78"/>
        <v>#VALUE!</v>
      </c>
      <c r="U556" s="3" t="e">
        <f t="shared" ca="1" si="79"/>
        <v>#VALUE!</v>
      </c>
      <c r="V556" s="73"/>
      <c r="W556" s="9" t="str">
        <f t="shared" si="80"/>
        <v>OK</v>
      </c>
    </row>
    <row r="557" spans="1:23" x14ac:dyDescent="0.3">
      <c r="A557" s="44">
        <v>554</v>
      </c>
      <c r="B557" s="14">
        <v>8</v>
      </c>
      <c r="C557" s="4">
        <v>21</v>
      </c>
      <c r="D557" s="3" t="str">
        <f>VLOOKUP($C557,Overall!$K$5:$T$36,2)</f>
        <v>Normal</v>
      </c>
      <c r="E557" s="3">
        <f ca="1">VLOOKUP($C557,Overall!$K$5:$T$36,10)</f>
        <v>2.345678924830959E+38</v>
      </c>
      <c r="F557" s="9" t="str">
        <f>VLOOKUP($C557,Overall!$K$5:$T$36,6)</f>
        <v>01111111001100000111100000100010</v>
      </c>
      <c r="G557" s="8">
        <v>8</v>
      </c>
      <c r="H557" s="3" t="str">
        <f>VLOOKUP($G557,Overall!$K$5:$T$36,2)</f>
        <v>Overflow</v>
      </c>
      <c r="I557" s="3">
        <f ca="1">VLOOKUP($G557,Overall!$K$5:$T$36,10)</f>
        <v>4.2535303978081149E+38</v>
      </c>
      <c r="J557" s="62" t="str">
        <f>VLOOKUP($G557,Overall!$K$5:$T$36,6)</f>
        <v>01111111101000000000000000000010</v>
      </c>
      <c r="K557" s="8">
        <f t="shared" ca="1" si="72"/>
        <v>9.9774166102663403E+76</v>
      </c>
      <c r="L557" s="62">
        <f>VLOOKUP($B557,Overall!$B$5:$I$13,8)</f>
        <v>0</v>
      </c>
      <c r="M557" s="58"/>
      <c r="N557" s="3" t="str">
        <f t="shared" si="73"/>
        <v/>
      </c>
      <c r="O557" s="3" t="str">
        <f t="shared" si="74"/>
        <v/>
      </c>
      <c r="P557" s="3" t="str">
        <f t="shared" si="75"/>
        <v/>
      </c>
      <c r="Q557" s="3">
        <f t="shared" si="76"/>
        <v>0</v>
      </c>
      <c r="R557" s="3">
        <f t="shared" si="77"/>
        <v>0</v>
      </c>
      <c r="S557" s="3" t="e" cm="1">
        <f t="array" aca="1" ref="S557" ca="1">SUMPRODUCT(MID($P557,ROW(INDIRECT("1:23")),1)*2^(-ROW(INDIRECT("1:23"))))</f>
        <v>#VALUE!</v>
      </c>
      <c r="T557" s="3" t="e">
        <f t="shared" ca="1" si="78"/>
        <v>#VALUE!</v>
      </c>
      <c r="U557" s="3" t="e">
        <f t="shared" ca="1" si="79"/>
        <v>#VALUE!</v>
      </c>
      <c r="V557" s="73"/>
      <c r="W557" s="9" t="str">
        <f t="shared" si="80"/>
        <v>OK</v>
      </c>
    </row>
    <row r="558" spans="1:23" x14ac:dyDescent="0.3">
      <c r="A558" s="44">
        <v>555</v>
      </c>
      <c r="B558" s="14">
        <v>8</v>
      </c>
      <c r="C558" s="4">
        <v>21</v>
      </c>
      <c r="D558" s="3" t="str">
        <f>VLOOKUP($C558,Overall!$K$5:$T$36,2)</f>
        <v>Normal</v>
      </c>
      <c r="E558" s="3">
        <f ca="1">VLOOKUP($C558,Overall!$K$5:$T$36,10)</f>
        <v>2.345678924830959E+38</v>
      </c>
      <c r="F558" s="9" t="str">
        <f>VLOOKUP($C558,Overall!$K$5:$T$36,6)</f>
        <v>01111111001100000111100000100010</v>
      </c>
      <c r="G558" s="8">
        <v>9</v>
      </c>
      <c r="H558" s="3" t="str">
        <f>VLOOKUP($G558,Overall!$K$5:$T$36,2)</f>
        <v>Overflow</v>
      </c>
      <c r="I558" s="3">
        <f ca="1">VLOOKUP($G558,Overall!$K$5:$T$36,10)</f>
        <v>6.8056469327705772E+38</v>
      </c>
      <c r="J558" s="62" t="str">
        <f>VLOOKUP($G558,Overall!$K$5:$T$36,6)</f>
        <v>01111111111111111111111111111111</v>
      </c>
      <c r="K558" s="8">
        <f t="shared" ca="1" si="72"/>
        <v>1.5963862580040401E+77</v>
      </c>
      <c r="L558" s="62">
        <f>VLOOKUP($B558,Overall!$B$5:$I$13,8)</f>
        <v>0</v>
      </c>
      <c r="M558" s="58"/>
      <c r="N558" s="3" t="str">
        <f t="shared" si="73"/>
        <v/>
      </c>
      <c r="O558" s="3" t="str">
        <f t="shared" si="74"/>
        <v/>
      </c>
      <c r="P558" s="3" t="str">
        <f t="shared" si="75"/>
        <v/>
      </c>
      <c r="Q558" s="3">
        <f t="shared" si="76"/>
        <v>0</v>
      </c>
      <c r="R558" s="3">
        <f t="shared" si="77"/>
        <v>0</v>
      </c>
      <c r="S558" s="3" t="e" cm="1">
        <f t="array" aca="1" ref="S558" ca="1">SUMPRODUCT(MID($P558,ROW(INDIRECT("1:23")),1)*2^(-ROW(INDIRECT("1:23"))))</f>
        <v>#VALUE!</v>
      </c>
      <c r="T558" s="3" t="e">
        <f t="shared" ca="1" si="78"/>
        <v>#VALUE!</v>
      </c>
      <c r="U558" s="3" t="e">
        <f t="shared" ca="1" si="79"/>
        <v>#VALUE!</v>
      </c>
      <c r="V558" s="73"/>
      <c r="W558" s="9" t="str">
        <f t="shared" si="80"/>
        <v>OK</v>
      </c>
    </row>
    <row r="559" spans="1:23" x14ac:dyDescent="0.3">
      <c r="A559" s="44">
        <v>556</v>
      </c>
      <c r="B559" s="14">
        <v>8</v>
      </c>
      <c r="C559" s="4">
        <v>21</v>
      </c>
      <c r="D559" s="3" t="str">
        <f>VLOOKUP($C559,Overall!$K$5:$T$36,2)</f>
        <v>Normal</v>
      </c>
      <c r="E559" s="3">
        <f ca="1">VLOOKUP($C559,Overall!$K$5:$T$36,10)</f>
        <v>2.345678924830959E+38</v>
      </c>
      <c r="F559" s="9" t="str">
        <f>VLOOKUP($C559,Overall!$K$5:$T$36,6)</f>
        <v>01111111001100000111100000100010</v>
      </c>
      <c r="G559" s="8">
        <v>10</v>
      </c>
      <c r="H559" s="3" t="str">
        <f>VLOOKUP($G559,Overall!$K$5:$T$36,2)</f>
        <v>Overflow</v>
      </c>
      <c r="I559" s="3">
        <f ca="1">VLOOKUP($G559,Overall!$K$5:$T$36,10)</f>
        <v>-3.4028240748575767E+38</v>
      </c>
      <c r="J559" s="62" t="str">
        <f>VLOOKUP($G559,Overall!$K$5:$T$36,6)</f>
        <v>11111111100000000000000000000001</v>
      </c>
      <c r="K559" s="8">
        <f t="shared" ca="1" si="72"/>
        <v>-7.9819327173008232E+76</v>
      </c>
      <c r="L559" s="62">
        <f>VLOOKUP($B559,Overall!$B$5:$I$13,8)</f>
        <v>0</v>
      </c>
      <c r="M559" s="58"/>
      <c r="N559" s="3" t="str">
        <f t="shared" si="73"/>
        <v/>
      </c>
      <c r="O559" s="3" t="str">
        <f t="shared" si="74"/>
        <v/>
      </c>
      <c r="P559" s="3" t="str">
        <f t="shared" si="75"/>
        <v/>
      </c>
      <c r="Q559" s="3">
        <f t="shared" si="76"/>
        <v>0</v>
      </c>
      <c r="R559" s="3">
        <f t="shared" si="77"/>
        <v>0</v>
      </c>
      <c r="S559" s="3" t="e" cm="1">
        <f t="array" aca="1" ref="S559" ca="1">SUMPRODUCT(MID($P559,ROW(INDIRECT("1:23")),1)*2^(-ROW(INDIRECT("1:23"))))</f>
        <v>#VALUE!</v>
      </c>
      <c r="T559" s="3" t="e">
        <f t="shared" ca="1" si="78"/>
        <v>#VALUE!</v>
      </c>
      <c r="U559" s="3" t="e">
        <f t="shared" ca="1" si="79"/>
        <v>#VALUE!</v>
      </c>
      <c r="V559" s="73"/>
      <c r="W559" s="9" t="str">
        <f t="shared" si="80"/>
        <v>OK</v>
      </c>
    </row>
    <row r="560" spans="1:23" x14ac:dyDescent="0.3">
      <c r="A560" s="44">
        <v>557</v>
      </c>
      <c r="B560" s="14">
        <v>8</v>
      </c>
      <c r="C560" s="4">
        <v>21</v>
      </c>
      <c r="D560" s="3" t="str">
        <f>VLOOKUP($C560,Overall!$K$5:$T$36,2)</f>
        <v>Normal</v>
      </c>
      <c r="E560" s="3">
        <f ca="1">VLOOKUP($C560,Overall!$K$5:$T$36,10)</f>
        <v>2.345678924830959E+38</v>
      </c>
      <c r="F560" s="9" t="str">
        <f>VLOOKUP($C560,Overall!$K$5:$T$36,6)</f>
        <v>01111111001100000111100000100010</v>
      </c>
      <c r="G560" s="8">
        <v>11</v>
      </c>
      <c r="H560" s="3" t="str">
        <f>VLOOKUP($G560,Overall!$K$5:$T$36,2)</f>
        <v>Overflow</v>
      </c>
      <c r="I560" s="3">
        <f ca="1">VLOOKUP($G560,Overall!$K$5:$T$36,10)</f>
        <v>-4.2535303978081149E+38</v>
      </c>
      <c r="J560" s="62" t="str">
        <f>VLOOKUP($G560,Overall!$K$5:$T$36,6)</f>
        <v>11111111101000000000000000000010</v>
      </c>
      <c r="K560" s="8">
        <f t="shared" ca="1" si="72"/>
        <v>-9.9774166102663403E+76</v>
      </c>
      <c r="L560" s="62">
        <f>VLOOKUP($B560,Overall!$B$5:$I$13,8)</f>
        <v>0</v>
      </c>
      <c r="M560" s="58"/>
      <c r="N560" s="3" t="str">
        <f t="shared" si="73"/>
        <v/>
      </c>
      <c r="O560" s="3" t="str">
        <f t="shared" si="74"/>
        <v/>
      </c>
      <c r="P560" s="3" t="str">
        <f t="shared" si="75"/>
        <v/>
      </c>
      <c r="Q560" s="3">
        <f t="shared" si="76"/>
        <v>0</v>
      </c>
      <c r="R560" s="3">
        <f t="shared" si="77"/>
        <v>0</v>
      </c>
      <c r="S560" s="3" t="e" cm="1">
        <f t="array" aca="1" ref="S560" ca="1">SUMPRODUCT(MID($P560,ROW(INDIRECT("1:23")),1)*2^(-ROW(INDIRECT("1:23"))))</f>
        <v>#VALUE!</v>
      </c>
      <c r="T560" s="3" t="e">
        <f t="shared" ca="1" si="78"/>
        <v>#VALUE!</v>
      </c>
      <c r="U560" s="3" t="e">
        <f t="shared" ca="1" si="79"/>
        <v>#VALUE!</v>
      </c>
      <c r="V560" s="73"/>
      <c r="W560" s="9" t="str">
        <f t="shared" si="80"/>
        <v>OK</v>
      </c>
    </row>
    <row r="561" spans="1:23" x14ac:dyDescent="0.3">
      <c r="A561" s="44">
        <v>558</v>
      </c>
      <c r="B561" s="14">
        <v>8</v>
      </c>
      <c r="C561" s="4">
        <v>21</v>
      </c>
      <c r="D561" s="3" t="str">
        <f>VLOOKUP($C561,Overall!$K$5:$T$36,2)</f>
        <v>Normal</v>
      </c>
      <c r="E561" s="3">
        <f ca="1">VLOOKUP($C561,Overall!$K$5:$T$36,10)</f>
        <v>2.345678924830959E+38</v>
      </c>
      <c r="F561" s="9" t="str">
        <f>VLOOKUP($C561,Overall!$K$5:$T$36,6)</f>
        <v>01111111001100000111100000100010</v>
      </c>
      <c r="G561" s="8">
        <v>12</v>
      </c>
      <c r="H561" s="3" t="str">
        <f>VLOOKUP($G561,Overall!$K$5:$T$36,2)</f>
        <v>Overflow</v>
      </c>
      <c r="I561" s="3">
        <f ca="1">VLOOKUP($G561,Overall!$K$5:$T$36,10)</f>
        <v>-6.8056469327705772E+38</v>
      </c>
      <c r="J561" s="62" t="str">
        <f>VLOOKUP($G561,Overall!$K$5:$T$36,6)</f>
        <v>11111111111111111111111111111111</v>
      </c>
      <c r="K561" s="8">
        <f t="shared" ca="1" si="72"/>
        <v>-1.5963862580040401E+77</v>
      </c>
      <c r="L561" s="62">
        <f>VLOOKUP($B561,Overall!$B$5:$I$13,8)</f>
        <v>0</v>
      </c>
      <c r="M561" s="58"/>
      <c r="N561" s="3" t="str">
        <f t="shared" si="73"/>
        <v/>
      </c>
      <c r="O561" s="3" t="str">
        <f t="shared" si="74"/>
        <v/>
      </c>
      <c r="P561" s="3" t="str">
        <f t="shared" si="75"/>
        <v/>
      </c>
      <c r="Q561" s="3">
        <f t="shared" si="76"/>
        <v>0</v>
      </c>
      <c r="R561" s="3">
        <f t="shared" si="77"/>
        <v>0</v>
      </c>
      <c r="S561" s="3" t="e" cm="1">
        <f t="array" aca="1" ref="S561" ca="1">SUMPRODUCT(MID($P561,ROW(INDIRECT("1:23")),1)*2^(-ROW(INDIRECT("1:23"))))</f>
        <v>#VALUE!</v>
      </c>
      <c r="T561" s="3" t="e">
        <f t="shared" ca="1" si="78"/>
        <v>#VALUE!</v>
      </c>
      <c r="U561" s="3" t="e">
        <f t="shared" ca="1" si="79"/>
        <v>#VALUE!</v>
      </c>
      <c r="V561" s="73"/>
      <c r="W561" s="9" t="str">
        <f t="shared" si="80"/>
        <v>OK</v>
      </c>
    </row>
    <row r="562" spans="1:23" x14ac:dyDescent="0.3">
      <c r="A562" s="44">
        <v>559</v>
      </c>
      <c r="B562" s="14">
        <v>8</v>
      </c>
      <c r="C562" s="4">
        <v>22</v>
      </c>
      <c r="D562" s="3" t="str">
        <f>VLOOKUP($C562,Overall!$K$5:$T$36,2)</f>
        <v>Normal</v>
      </c>
      <c r="E562" s="3">
        <f ca="1">VLOOKUP($C562,Overall!$K$5:$T$36,10)</f>
        <v>3.4028232635611926E+38</v>
      </c>
      <c r="F562" s="9" t="str">
        <f>VLOOKUP($C562,Overall!$K$5:$T$36,6)</f>
        <v>01111111011111111111111111111110</v>
      </c>
      <c r="G562" s="8">
        <v>7</v>
      </c>
      <c r="H562" s="3" t="str">
        <f>VLOOKUP($G562,Overall!$K$5:$T$36,2)</f>
        <v>Overflow</v>
      </c>
      <c r="I562" s="3">
        <f ca="1">VLOOKUP($G562,Overall!$K$5:$T$36,10)</f>
        <v>3.4028240748575767E+38</v>
      </c>
      <c r="J562" s="62" t="str">
        <f>VLOOKUP($G562,Overall!$K$5:$T$36,6)</f>
        <v>01111111100000000000000000000001</v>
      </c>
      <c r="K562" s="8">
        <f t="shared" ca="1" si="72"/>
        <v>1.1579208923731455E+77</v>
      </c>
      <c r="L562" s="62">
        <f>VLOOKUP($B562,Overall!$B$5:$I$13,8)</f>
        <v>0</v>
      </c>
      <c r="M562" s="58"/>
      <c r="N562" s="3" t="str">
        <f t="shared" si="73"/>
        <v/>
      </c>
      <c r="O562" s="3" t="str">
        <f t="shared" si="74"/>
        <v/>
      </c>
      <c r="P562" s="3" t="str">
        <f t="shared" si="75"/>
        <v/>
      </c>
      <c r="Q562" s="3">
        <f t="shared" si="76"/>
        <v>0</v>
      </c>
      <c r="R562" s="3">
        <f t="shared" si="77"/>
        <v>0</v>
      </c>
      <c r="S562" s="3" t="e" cm="1">
        <f t="array" aca="1" ref="S562" ca="1">SUMPRODUCT(MID($P562,ROW(INDIRECT("1:23")),1)*2^(-ROW(INDIRECT("1:23"))))</f>
        <v>#VALUE!</v>
      </c>
      <c r="T562" s="3" t="e">
        <f t="shared" ca="1" si="78"/>
        <v>#VALUE!</v>
      </c>
      <c r="U562" s="3" t="e">
        <f t="shared" ca="1" si="79"/>
        <v>#VALUE!</v>
      </c>
      <c r="V562" s="73"/>
      <c r="W562" s="9" t="str">
        <f t="shared" si="80"/>
        <v>OK</v>
      </c>
    </row>
    <row r="563" spans="1:23" x14ac:dyDescent="0.3">
      <c r="A563" s="44">
        <v>560</v>
      </c>
      <c r="B563" s="14">
        <v>8</v>
      </c>
      <c r="C563" s="4">
        <v>22</v>
      </c>
      <c r="D563" s="3" t="str">
        <f>VLOOKUP($C563,Overall!$K$5:$T$36,2)</f>
        <v>Normal</v>
      </c>
      <c r="E563" s="3">
        <f ca="1">VLOOKUP($C563,Overall!$K$5:$T$36,10)</f>
        <v>3.4028232635611926E+38</v>
      </c>
      <c r="F563" s="9" t="str">
        <f>VLOOKUP($C563,Overall!$K$5:$T$36,6)</f>
        <v>01111111011111111111111111111110</v>
      </c>
      <c r="G563" s="8">
        <v>8</v>
      </c>
      <c r="H563" s="3" t="str">
        <f>VLOOKUP($G563,Overall!$K$5:$T$36,2)</f>
        <v>Overflow</v>
      </c>
      <c r="I563" s="3">
        <f ca="1">VLOOKUP($G563,Overall!$K$5:$T$36,10)</f>
        <v>4.2535303978081149E+38</v>
      </c>
      <c r="J563" s="62" t="str">
        <f>VLOOKUP($G563,Overall!$K$5:$T$36,6)</f>
        <v>01111111101000000000000000000010</v>
      </c>
      <c r="K563" s="8">
        <f t="shared" ca="1" si="72"/>
        <v>1.4474012189926147E+77</v>
      </c>
      <c r="L563" s="62">
        <f>VLOOKUP($B563,Overall!$B$5:$I$13,8)</f>
        <v>0</v>
      </c>
      <c r="M563" s="58"/>
      <c r="N563" s="3" t="str">
        <f t="shared" si="73"/>
        <v/>
      </c>
      <c r="O563" s="3" t="str">
        <f t="shared" si="74"/>
        <v/>
      </c>
      <c r="P563" s="3" t="str">
        <f t="shared" si="75"/>
        <v/>
      </c>
      <c r="Q563" s="3">
        <f t="shared" si="76"/>
        <v>0</v>
      </c>
      <c r="R563" s="3">
        <f t="shared" si="77"/>
        <v>0</v>
      </c>
      <c r="S563" s="3" t="e" cm="1">
        <f t="array" aca="1" ref="S563" ca="1">SUMPRODUCT(MID($P563,ROW(INDIRECT("1:23")),1)*2^(-ROW(INDIRECT("1:23"))))</f>
        <v>#VALUE!</v>
      </c>
      <c r="T563" s="3" t="e">
        <f t="shared" ca="1" si="78"/>
        <v>#VALUE!</v>
      </c>
      <c r="U563" s="3" t="e">
        <f t="shared" ca="1" si="79"/>
        <v>#VALUE!</v>
      </c>
      <c r="V563" s="73"/>
      <c r="W563" s="9" t="str">
        <f t="shared" si="80"/>
        <v>OK</v>
      </c>
    </row>
    <row r="564" spans="1:23" x14ac:dyDescent="0.3">
      <c r="A564" s="44">
        <v>561</v>
      </c>
      <c r="B564" s="14">
        <v>8</v>
      </c>
      <c r="C564" s="4">
        <v>22</v>
      </c>
      <c r="D564" s="3" t="str">
        <f>VLOOKUP($C564,Overall!$K$5:$T$36,2)</f>
        <v>Normal</v>
      </c>
      <c r="E564" s="3">
        <f ca="1">VLOOKUP($C564,Overall!$K$5:$T$36,10)</f>
        <v>3.4028232635611926E+38</v>
      </c>
      <c r="F564" s="9" t="str">
        <f>VLOOKUP($C564,Overall!$K$5:$T$36,6)</f>
        <v>01111111011111111111111111111110</v>
      </c>
      <c r="G564" s="8">
        <v>9</v>
      </c>
      <c r="H564" s="3" t="str">
        <f>VLOOKUP($G564,Overall!$K$5:$T$36,2)</f>
        <v>Overflow</v>
      </c>
      <c r="I564" s="3">
        <f ca="1">VLOOKUP($G564,Overall!$K$5:$T$36,10)</f>
        <v>6.8056469327705772E+38</v>
      </c>
      <c r="J564" s="62" t="str">
        <f>VLOOKUP($G564,Overall!$K$5:$T$36,6)</f>
        <v>01111111111111111111111111111111</v>
      </c>
      <c r="K564" s="8">
        <f t="shared" ca="1" si="72"/>
        <v>2.3158413706415596E+77</v>
      </c>
      <c r="L564" s="62">
        <f>VLOOKUP($B564,Overall!$B$5:$I$13,8)</f>
        <v>0</v>
      </c>
      <c r="M564" s="58"/>
      <c r="N564" s="3" t="str">
        <f t="shared" si="73"/>
        <v/>
      </c>
      <c r="O564" s="3" t="str">
        <f t="shared" si="74"/>
        <v/>
      </c>
      <c r="P564" s="3" t="str">
        <f t="shared" si="75"/>
        <v/>
      </c>
      <c r="Q564" s="3">
        <f t="shared" si="76"/>
        <v>0</v>
      </c>
      <c r="R564" s="3">
        <f t="shared" si="77"/>
        <v>0</v>
      </c>
      <c r="S564" s="3" t="e" cm="1">
        <f t="array" aca="1" ref="S564" ca="1">SUMPRODUCT(MID($P564,ROW(INDIRECT("1:23")),1)*2^(-ROW(INDIRECT("1:23"))))</f>
        <v>#VALUE!</v>
      </c>
      <c r="T564" s="3" t="e">
        <f t="shared" ca="1" si="78"/>
        <v>#VALUE!</v>
      </c>
      <c r="U564" s="3" t="e">
        <f t="shared" ca="1" si="79"/>
        <v>#VALUE!</v>
      </c>
      <c r="V564" s="73"/>
      <c r="W564" s="9" t="str">
        <f t="shared" si="80"/>
        <v>OK</v>
      </c>
    </row>
    <row r="565" spans="1:23" x14ac:dyDescent="0.3">
      <c r="A565" s="44">
        <v>562</v>
      </c>
      <c r="B565" s="14">
        <v>8</v>
      </c>
      <c r="C565" s="4">
        <v>22</v>
      </c>
      <c r="D565" s="3" t="str">
        <f>VLOOKUP($C565,Overall!$K$5:$T$36,2)</f>
        <v>Normal</v>
      </c>
      <c r="E565" s="3">
        <f ca="1">VLOOKUP($C565,Overall!$K$5:$T$36,10)</f>
        <v>3.4028232635611926E+38</v>
      </c>
      <c r="F565" s="9" t="str">
        <f>VLOOKUP($C565,Overall!$K$5:$T$36,6)</f>
        <v>01111111011111111111111111111110</v>
      </c>
      <c r="G565" s="8">
        <v>10</v>
      </c>
      <c r="H565" s="3" t="str">
        <f>VLOOKUP($G565,Overall!$K$5:$T$36,2)</f>
        <v>Overflow</v>
      </c>
      <c r="I565" s="3">
        <f ca="1">VLOOKUP($G565,Overall!$K$5:$T$36,10)</f>
        <v>-3.4028240748575767E+38</v>
      </c>
      <c r="J565" s="62" t="str">
        <f>VLOOKUP($G565,Overall!$K$5:$T$36,6)</f>
        <v>11111111100000000000000000000001</v>
      </c>
      <c r="K565" s="8">
        <f t="shared" ca="1" si="72"/>
        <v>-1.1579208923731455E+77</v>
      </c>
      <c r="L565" s="62">
        <f>VLOOKUP($B565,Overall!$B$5:$I$13,8)</f>
        <v>0</v>
      </c>
      <c r="M565" s="58"/>
      <c r="N565" s="3" t="str">
        <f t="shared" si="73"/>
        <v/>
      </c>
      <c r="O565" s="3" t="str">
        <f t="shared" si="74"/>
        <v/>
      </c>
      <c r="P565" s="3" t="str">
        <f t="shared" si="75"/>
        <v/>
      </c>
      <c r="Q565" s="3">
        <f t="shared" si="76"/>
        <v>0</v>
      </c>
      <c r="R565" s="3">
        <f t="shared" si="77"/>
        <v>0</v>
      </c>
      <c r="S565" s="3" t="e" cm="1">
        <f t="array" aca="1" ref="S565" ca="1">SUMPRODUCT(MID($P565,ROW(INDIRECT("1:23")),1)*2^(-ROW(INDIRECT("1:23"))))</f>
        <v>#VALUE!</v>
      </c>
      <c r="T565" s="3" t="e">
        <f t="shared" ca="1" si="78"/>
        <v>#VALUE!</v>
      </c>
      <c r="U565" s="3" t="e">
        <f t="shared" ca="1" si="79"/>
        <v>#VALUE!</v>
      </c>
      <c r="V565" s="73"/>
      <c r="W565" s="9" t="str">
        <f t="shared" si="80"/>
        <v>OK</v>
      </c>
    </row>
    <row r="566" spans="1:23" x14ac:dyDescent="0.3">
      <c r="A566" s="44">
        <v>563</v>
      </c>
      <c r="B566" s="14">
        <v>8</v>
      </c>
      <c r="C566" s="4">
        <v>22</v>
      </c>
      <c r="D566" s="3" t="str">
        <f>VLOOKUP($C566,Overall!$K$5:$T$36,2)</f>
        <v>Normal</v>
      </c>
      <c r="E566" s="3">
        <f ca="1">VLOOKUP($C566,Overall!$K$5:$T$36,10)</f>
        <v>3.4028232635611926E+38</v>
      </c>
      <c r="F566" s="9" t="str">
        <f>VLOOKUP($C566,Overall!$K$5:$T$36,6)</f>
        <v>01111111011111111111111111111110</v>
      </c>
      <c r="G566" s="8">
        <v>11</v>
      </c>
      <c r="H566" s="3" t="str">
        <f>VLOOKUP($G566,Overall!$K$5:$T$36,2)</f>
        <v>Overflow</v>
      </c>
      <c r="I566" s="3">
        <f ca="1">VLOOKUP($G566,Overall!$K$5:$T$36,10)</f>
        <v>-4.2535303978081149E+38</v>
      </c>
      <c r="J566" s="62" t="str">
        <f>VLOOKUP($G566,Overall!$K$5:$T$36,6)</f>
        <v>11111111101000000000000000000010</v>
      </c>
      <c r="K566" s="8">
        <f t="shared" ca="1" si="72"/>
        <v>-1.4474012189926147E+77</v>
      </c>
      <c r="L566" s="62">
        <f>VLOOKUP($B566,Overall!$B$5:$I$13,8)</f>
        <v>0</v>
      </c>
      <c r="M566" s="58"/>
      <c r="N566" s="3" t="str">
        <f t="shared" si="73"/>
        <v/>
      </c>
      <c r="O566" s="3" t="str">
        <f t="shared" si="74"/>
        <v/>
      </c>
      <c r="P566" s="3" t="str">
        <f t="shared" si="75"/>
        <v/>
      </c>
      <c r="Q566" s="3">
        <f t="shared" si="76"/>
        <v>0</v>
      </c>
      <c r="R566" s="3">
        <f t="shared" si="77"/>
        <v>0</v>
      </c>
      <c r="S566" s="3" t="e" cm="1">
        <f t="array" aca="1" ref="S566" ca="1">SUMPRODUCT(MID($P566,ROW(INDIRECT("1:23")),1)*2^(-ROW(INDIRECT("1:23"))))</f>
        <v>#VALUE!</v>
      </c>
      <c r="T566" s="3" t="e">
        <f t="shared" ca="1" si="78"/>
        <v>#VALUE!</v>
      </c>
      <c r="U566" s="3" t="e">
        <f t="shared" ca="1" si="79"/>
        <v>#VALUE!</v>
      </c>
      <c r="V566" s="73"/>
      <c r="W566" s="9" t="str">
        <f t="shared" si="80"/>
        <v>OK</v>
      </c>
    </row>
    <row r="567" spans="1:23" x14ac:dyDescent="0.3">
      <c r="A567" s="44">
        <v>564</v>
      </c>
      <c r="B567" s="14">
        <v>8</v>
      </c>
      <c r="C567" s="4">
        <v>22</v>
      </c>
      <c r="D567" s="3" t="str">
        <f>VLOOKUP($C567,Overall!$K$5:$T$36,2)</f>
        <v>Normal</v>
      </c>
      <c r="E567" s="3">
        <f ca="1">VLOOKUP($C567,Overall!$K$5:$T$36,10)</f>
        <v>3.4028232635611926E+38</v>
      </c>
      <c r="F567" s="9" t="str">
        <f>VLOOKUP($C567,Overall!$K$5:$T$36,6)</f>
        <v>01111111011111111111111111111110</v>
      </c>
      <c r="G567" s="8">
        <v>12</v>
      </c>
      <c r="H567" s="3" t="str">
        <f>VLOOKUP($G567,Overall!$K$5:$T$36,2)</f>
        <v>Overflow</v>
      </c>
      <c r="I567" s="3">
        <f ca="1">VLOOKUP($G567,Overall!$K$5:$T$36,10)</f>
        <v>-6.8056469327705772E+38</v>
      </c>
      <c r="J567" s="62" t="str">
        <f>VLOOKUP($G567,Overall!$K$5:$T$36,6)</f>
        <v>11111111111111111111111111111111</v>
      </c>
      <c r="K567" s="8">
        <f t="shared" ca="1" si="72"/>
        <v>-2.3158413706415596E+77</v>
      </c>
      <c r="L567" s="62">
        <f>VLOOKUP($B567,Overall!$B$5:$I$13,8)</f>
        <v>0</v>
      </c>
      <c r="M567" s="58"/>
      <c r="N567" s="3" t="str">
        <f t="shared" si="73"/>
        <v/>
      </c>
      <c r="O567" s="3" t="str">
        <f t="shared" si="74"/>
        <v/>
      </c>
      <c r="P567" s="3" t="str">
        <f t="shared" si="75"/>
        <v/>
      </c>
      <c r="Q567" s="3">
        <f t="shared" si="76"/>
        <v>0</v>
      </c>
      <c r="R567" s="3">
        <f t="shared" si="77"/>
        <v>0</v>
      </c>
      <c r="S567" s="3" t="e" cm="1">
        <f t="array" aca="1" ref="S567" ca="1">SUMPRODUCT(MID($P567,ROW(INDIRECT("1:23")),1)*2^(-ROW(INDIRECT("1:23"))))</f>
        <v>#VALUE!</v>
      </c>
      <c r="T567" s="3" t="e">
        <f t="shared" ca="1" si="78"/>
        <v>#VALUE!</v>
      </c>
      <c r="U567" s="3" t="e">
        <f t="shared" ca="1" si="79"/>
        <v>#VALUE!</v>
      </c>
      <c r="V567" s="73"/>
      <c r="W567" s="9" t="str">
        <f t="shared" si="80"/>
        <v>OK</v>
      </c>
    </row>
    <row r="568" spans="1:23" x14ac:dyDescent="0.3">
      <c r="A568" s="44">
        <v>565</v>
      </c>
      <c r="B568" s="14">
        <v>8</v>
      </c>
      <c r="C568" s="4">
        <v>23</v>
      </c>
      <c r="D568" s="3" t="str">
        <f>VLOOKUP($C568,Overall!$K$5:$T$36,2)</f>
        <v>Normal</v>
      </c>
      <c r="E568" s="3">
        <f ca="1">VLOOKUP($C568,Overall!$K$5:$T$36,10)</f>
        <v>3.4028234663852886E+38</v>
      </c>
      <c r="F568" s="9" t="str">
        <f>VLOOKUP($C568,Overall!$K$5:$T$36,6)</f>
        <v>01111111011111111111111111111111</v>
      </c>
      <c r="G568" s="8">
        <v>7</v>
      </c>
      <c r="H568" s="3" t="str">
        <f>VLOOKUP($G568,Overall!$K$5:$T$36,2)</f>
        <v>Overflow</v>
      </c>
      <c r="I568" s="3">
        <f ca="1">VLOOKUP($G568,Overall!$K$5:$T$36,10)</f>
        <v>3.4028240748575767E+38</v>
      </c>
      <c r="J568" s="62" t="str">
        <f>VLOOKUP($G568,Overall!$K$5:$T$36,6)</f>
        <v>01111111100000000000000000000001</v>
      </c>
      <c r="K568" s="8">
        <f t="shared" ca="1" si="72"/>
        <v>1.1579209613906172E+77</v>
      </c>
      <c r="L568" s="62">
        <f>VLOOKUP($B568,Overall!$B$5:$I$13,8)</f>
        <v>0</v>
      </c>
      <c r="M568" s="58"/>
      <c r="N568" s="3" t="str">
        <f t="shared" si="73"/>
        <v/>
      </c>
      <c r="O568" s="3" t="str">
        <f t="shared" si="74"/>
        <v/>
      </c>
      <c r="P568" s="3" t="str">
        <f t="shared" si="75"/>
        <v/>
      </c>
      <c r="Q568" s="3">
        <f t="shared" si="76"/>
        <v>0</v>
      </c>
      <c r="R568" s="3">
        <f t="shared" si="77"/>
        <v>0</v>
      </c>
      <c r="S568" s="3" t="e" cm="1">
        <f t="array" aca="1" ref="S568" ca="1">SUMPRODUCT(MID($P568,ROW(INDIRECT("1:23")),1)*2^(-ROW(INDIRECT("1:23"))))</f>
        <v>#VALUE!</v>
      </c>
      <c r="T568" s="3" t="e">
        <f t="shared" ca="1" si="78"/>
        <v>#VALUE!</v>
      </c>
      <c r="U568" s="3" t="e">
        <f t="shared" ca="1" si="79"/>
        <v>#VALUE!</v>
      </c>
      <c r="V568" s="73"/>
      <c r="W568" s="9" t="str">
        <f t="shared" si="80"/>
        <v>OK</v>
      </c>
    </row>
    <row r="569" spans="1:23" x14ac:dyDescent="0.3">
      <c r="A569" s="44">
        <v>566</v>
      </c>
      <c r="B569" s="14">
        <v>8</v>
      </c>
      <c r="C569" s="4">
        <v>23</v>
      </c>
      <c r="D569" s="3" t="str">
        <f>VLOOKUP($C569,Overall!$K$5:$T$36,2)</f>
        <v>Normal</v>
      </c>
      <c r="E569" s="3">
        <f ca="1">VLOOKUP($C569,Overall!$K$5:$T$36,10)</f>
        <v>3.4028234663852886E+38</v>
      </c>
      <c r="F569" s="9" t="str">
        <f>VLOOKUP($C569,Overall!$K$5:$T$36,6)</f>
        <v>01111111011111111111111111111111</v>
      </c>
      <c r="G569" s="8">
        <v>8</v>
      </c>
      <c r="H569" s="3" t="str">
        <f>VLOOKUP($G569,Overall!$K$5:$T$36,2)</f>
        <v>Overflow</v>
      </c>
      <c r="I569" s="3">
        <f ca="1">VLOOKUP($G569,Overall!$K$5:$T$36,10)</f>
        <v>4.2535303978081149E+38</v>
      </c>
      <c r="J569" s="62" t="str">
        <f>VLOOKUP($G569,Overall!$K$5:$T$36,6)</f>
        <v>01111111101000000000000000000010</v>
      </c>
      <c r="K569" s="8">
        <f t="shared" ca="1" si="72"/>
        <v>1.4474013052644605E+77</v>
      </c>
      <c r="L569" s="62">
        <f>VLOOKUP($B569,Overall!$B$5:$I$13,8)</f>
        <v>0</v>
      </c>
      <c r="M569" s="58"/>
      <c r="N569" s="3" t="str">
        <f t="shared" si="73"/>
        <v/>
      </c>
      <c r="O569" s="3" t="str">
        <f t="shared" si="74"/>
        <v/>
      </c>
      <c r="P569" s="3" t="str">
        <f t="shared" si="75"/>
        <v/>
      </c>
      <c r="Q569" s="3">
        <f t="shared" si="76"/>
        <v>0</v>
      </c>
      <c r="R569" s="3">
        <f t="shared" si="77"/>
        <v>0</v>
      </c>
      <c r="S569" s="3" t="e" cm="1">
        <f t="array" aca="1" ref="S569" ca="1">SUMPRODUCT(MID($P569,ROW(INDIRECT("1:23")),1)*2^(-ROW(INDIRECT("1:23"))))</f>
        <v>#VALUE!</v>
      </c>
      <c r="T569" s="3" t="e">
        <f t="shared" ca="1" si="78"/>
        <v>#VALUE!</v>
      </c>
      <c r="U569" s="3" t="e">
        <f t="shared" ca="1" si="79"/>
        <v>#VALUE!</v>
      </c>
      <c r="V569" s="73"/>
      <c r="W569" s="9" t="str">
        <f t="shared" si="80"/>
        <v>OK</v>
      </c>
    </row>
    <row r="570" spans="1:23" x14ac:dyDescent="0.3">
      <c r="A570" s="44">
        <v>567</v>
      </c>
      <c r="B570" s="14">
        <v>8</v>
      </c>
      <c r="C570" s="4">
        <v>23</v>
      </c>
      <c r="D570" s="3" t="str">
        <f>VLOOKUP($C570,Overall!$K$5:$T$36,2)</f>
        <v>Normal</v>
      </c>
      <c r="E570" s="3">
        <f ca="1">VLOOKUP($C570,Overall!$K$5:$T$36,10)</f>
        <v>3.4028234663852886E+38</v>
      </c>
      <c r="F570" s="9" t="str">
        <f>VLOOKUP($C570,Overall!$K$5:$T$36,6)</f>
        <v>01111111011111111111111111111111</v>
      </c>
      <c r="G570" s="8">
        <v>9</v>
      </c>
      <c r="H570" s="3" t="str">
        <f>VLOOKUP($G570,Overall!$K$5:$T$36,2)</f>
        <v>Overflow</v>
      </c>
      <c r="I570" s="3">
        <f ca="1">VLOOKUP($G570,Overall!$K$5:$T$36,10)</f>
        <v>6.8056469327705772E+38</v>
      </c>
      <c r="J570" s="62" t="str">
        <f>VLOOKUP($G570,Overall!$K$5:$T$36,6)</f>
        <v>01111111111111111111111111111111</v>
      </c>
      <c r="K570" s="8">
        <f t="shared" ca="1" si="72"/>
        <v>2.3158415086764783E+77</v>
      </c>
      <c r="L570" s="62">
        <f>VLOOKUP($B570,Overall!$B$5:$I$13,8)</f>
        <v>0</v>
      </c>
      <c r="M570" s="58"/>
      <c r="N570" s="3" t="str">
        <f t="shared" si="73"/>
        <v/>
      </c>
      <c r="O570" s="3" t="str">
        <f t="shared" si="74"/>
        <v/>
      </c>
      <c r="P570" s="3" t="str">
        <f t="shared" si="75"/>
        <v/>
      </c>
      <c r="Q570" s="3">
        <f t="shared" si="76"/>
        <v>0</v>
      </c>
      <c r="R570" s="3">
        <f t="shared" si="77"/>
        <v>0</v>
      </c>
      <c r="S570" s="3" t="e" cm="1">
        <f t="array" aca="1" ref="S570" ca="1">SUMPRODUCT(MID($P570,ROW(INDIRECT("1:23")),1)*2^(-ROW(INDIRECT("1:23"))))</f>
        <v>#VALUE!</v>
      </c>
      <c r="T570" s="3" t="e">
        <f t="shared" ca="1" si="78"/>
        <v>#VALUE!</v>
      </c>
      <c r="U570" s="3" t="e">
        <f t="shared" ca="1" si="79"/>
        <v>#VALUE!</v>
      </c>
      <c r="V570" s="73"/>
      <c r="W570" s="9" t="str">
        <f t="shared" si="80"/>
        <v>OK</v>
      </c>
    </row>
    <row r="571" spans="1:23" x14ac:dyDescent="0.3">
      <c r="A571" s="44">
        <v>568</v>
      </c>
      <c r="B571" s="14">
        <v>8</v>
      </c>
      <c r="C571" s="4">
        <v>23</v>
      </c>
      <c r="D571" s="3" t="str">
        <f>VLOOKUP($C571,Overall!$K$5:$T$36,2)</f>
        <v>Normal</v>
      </c>
      <c r="E571" s="3">
        <f ca="1">VLOOKUP($C571,Overall!$K$5:$T$36,10)</f>
        <v>3.4028234663852886E+38</v>
      </c>
      <c r="F571" s="9" t="str">
        <f>VLOOKUP($C571,Overall!$K$5:$T$36,6)</f>
        <v>01111111011111111111111111111111</v>
      </c>
      <c r="G571" s="8">
        <v>10</v>
      </c>
      <c r="H571" s="3" t="str">
        <f>VLOOKUP($G571,Overall!$K$5:$T$36,2)</f>
        <v>Overflow</v>
      </c>
      <c r="I571" s="3">
        <f ca="1">VLOOKUP($G571,Overall!$K$5:$T$36,10)</f>
        <v>-3.4028240748575767E+38</v>
      </c>
      <c r="J571" s="62" t="str">
        <f>VLOOKUP($G571,Overall!$K$5:$T$36,6)</f>
        <v>11111111100000000000000000000001</v>
      </c>
      <c r="K571" s="8">
        <f t="shared" ca="1" si="72"/>
        <v>-1.1579209613906172E+77</v>
      </c>
      <c r="L571" s="62">
        <f>VLOOKUP($B571,Overall!$B$5:$I$13,8)</f>
        <v>0</v>
      </c>
      <c r="M571" s="58"/>
      <c r="N571" s="3" t="str">
        <f t="shared" si="73"/>
        <v/>
      </c>
      <c r="O571" s="3" t="str">
        <f t="shared" si="74"/>
        <v/>
      </c>
      <c r="P571" s="3" t="str">
        <f t="shared" si="75"/>
        <v/>
      </c>
      <c r="Q571" s="3">
        <f t="shared" si="76"/>
        <v>0</v>
      </c>
      <c r="R571" s="3">
        <f t="shared" si="77"/>
        <v>0</v>
      </c>
      <c r="S571" s="3" t="e" cm="1">
        <f t="array" aca="1" ref="S571" ca="1">SUMPRODUCT(MID($P571,ROW(INDIRECT("1:23")),1)*2^(-ROW(INDIRECT("1:23"))))</f>
        <v>#VALUE!</v>
      </c>
      <c r="T571" s="3" t="e">
        <f t="shared" ca="1" si="78"/>
        <v>#VALUE!</v>
      </c>
      <c r="U571" s="3" t="e">
        <f t="shared" ca="1" si="79"/>
        <v>#VALUE!</v>
      </c>
      <c r="V571" s="73"/>
      <c r="W571" s="9" t="str">
        <f t="shared" si="80"/>
        <v>OK</v>
      </c>
    </row>
    <row r="572" spans="1:23" x14ac:dyDescent="0.3">
      <c r="A572" s="44">
        <v>569</v>
      </c>
      <c r="B572" s="14">
        <v>8</v>
      </c>
      <c r="C572" s="4">
        <v>23</v>
      </c>
      <c r="D572" s="3" t="str">
        <f>VLOOKUP($C572,Overall!$K$5:$T$36,2)</f>
        <v>Normal</v>
      </c>
      <c r="E572" s="3">
        <f ca="1">VLOOKUP($C572,Overall!$K$5:$T$36,10)</f>
        <v>3.4028234663852886E+38</v>
      </c>
      <c r="F572" s="9" t="str">
        <f>VLOOKUP($C572,Overall!$K$5:$T$36,6)</f>
        <v>01111111011111111111111111111111</v>
      </c>
      <c r="G572" s="8">
        <v>11</v>
      </c>
      <c r="H572" s="3" t="str">
        <f>VLOOKUP($G572,Overall!$K$5:$T$36,2)</f>
        <v>Overflow</v>
      </c>
      <c r="I572" s="3">
        <f ca="1">VLOOKUP($G572,Overall!$K$5:$T$36,10)</f>
        <v>-4.2535303978081149E+38</v>
      </c>
      <c r="J572" s="62" t="str">
        <f>VLOOKUP($G572,Overall!$K$5:$T$36,6)</f>
        <v>11111111101000000000000000000010</v>
      </c>
      <c r="K572" s="8">
        <f t="shared" ca="1" si="72"/>
        <v>-1.4474013052644605E+77</v>
      </c>
      <c r="L572" s="62">
        <f>VLOOKUP($B572,Overall!$B$5:$I$13,8)</f>
        <v>0</v>
      </c>
      <c r="M572" s="58"/>
      <c r="N572" s="3" t="str">
        <f t="shared" si="73"/>
        <v/>
      </c>
      <c r="O572" s="3" t="str">
        <f t="shared" si="74"/>
        <v/>
      </c>
      <c r="P572" s="3" t="str">
        <f t="shared" si="75"/>
        <v/>
      </c>
      <c r="Q572" s="3">
        <f t="shared" si="76"/>
        <v>0</v>
      </c>
      <c r="R572" s="3">
        <f t="shared" si="77"/>
        <v>0</v>
      </c>
      <c r="S572" s="3" t="e" cm="1">
        <f t="array" aca="1" ref="S572" ca="1">SUMPRODUCT(MID($P572,ROW(INDIRECT("1:23")),1)*2^(-ROW(INDIRECT("1:23"))))</f>
        <v>#VALUE!</v>
      </c>
      <c r="T572" s="3" t="e">
        <f t="shared" ca="1" si="78"/>
        <v>#VALUE!</v>
      </c>
      <c r="U572" s="3" t="e">
        <f t="shared" ca="1" si="79"/>
        <v>#VALUE!</v>
      </c>
      <c r="V572" s="73"/>
      <c r="W572" s="9" t="str">
        <f t="shared" si="80"/>
        <v>OK</v>
      </c>
    </row>
    <row r="573" spans="1:23" x14ac:dyDescent="0.3">
      <c r="A573" s="44">
        <v>570</v>
      </c>
      <c r="B573" s="14">
        <v>8</v>
      </c>
      <c r="C573" s="4">
        <v>23</v>
      </c>
      <c r="D573" s="3" t="str">
        <f>VLOOKUP($C573,Overall!$K$5:$T$36,2)</f>
        <v>Normal</v>
      </c>
      <c r="E573" s="3">
        <f ca="1">VLOOKUP($C573,Overall!$K$5:$T$36,10)</f>
        <v>3.4028234663852886E+38</v>
      </c>
      <c r="F573" s="9" t="str">
        <f>VLOOKUP($C573,Overall!$K$5:$T$36,6)</f>
        <v>01111111011111111111111111111111</v>
      </c>
      <c r="G573" s="8">
        <v>12</v>
      </c>
      <c r="H573" s="3" t="str">
        <f>VLOOKUP($G573,Overall!$K$5:$T$36,2)</f>
        <v>Overflow</v>
      </c>
      <c r="I573" s="3">
        <f ca="1">VLOOKUP($G573,Overall!$K$5:$T$36,10)</f>
        <v>-6.8056469327705772E+38</v>
      </c>
      <c r="J573" s="62" t="str">
        <f>VLOOKUP($G573,Overall!$K$5:$T$36,6)</f>
        <v>11111111111111111111111111111111</v>
      </c>
      <c r="K573" s="8">
        <f t="shared" ca="1" si="72"/>
        <v>-2.3158415086764783E+77</v>
      </c>
      <c r="L573" s="62">
        <f>VLOOKUP($B573,Overall!$B$5:$I$13,8)</f>
        <v>0</v>
      </c>
      <c r="M573" s="58"/>
      <c r="N573" s="3" t="str">
        <f t="shared" si="73"/>
        <v/>
      </c>
      <c r="O573" s="3" t="str">
        <f t="shared" si="74"/>
        <v/>
      </c>
      <c r="P573" s="3" t="str">
        <f t="shared" si="75"/>
        <v/>
      </c>
      <c r="Q573" s="3">
        <f t="shared" si="76"/>
        <v>0</v>
      </c>
      <c r="R573" s="3">
        <f t="shared" si="77"/>
        <v>0</v>
      </c>
      <c r="S573" s="3" t="e" cm="1">
        <f t="array" aca="1" ref="S573" ca="1">SUMPRODUCT(MID($P573,ROW(INDIRECT("1:23")),1)*2^(-ROW(INDIRECT("1:23"))))</f>
        <v>#VALUE!</v>
      </c>
      <c r="T573" s="3" t="e">
        <f t="shared" ca="1" si="78"/>
        <v>#VALUE!</v>
      </c>
      <c r="U573" s="3" t="e">
        <f t="shared" ca="1" si="79"/>
        <v>#VALUE!</v>
      </c>
      <c r="V573" s="73"/>
      <c r="W573" s="9" t="str">
        <f t="shared" si="80"/>
        <v>OK</v>
      </c>
    </row>
    <row r="574" spans="1:23" x14ac:dyDescent="0.3">
      <c r="A574" s="44">
        <v>571</v>
      </c>
      <c r="B574" s="14">
        <v>8</v>
      </c>
      <c r="C574" s="4">
        <v>24</v>
      </c>
      <c r="D574" s="3" t="str">
        <f>VLOOKUP($C574,Overall!$K$5:$T$36,2)</f>
        <v>Normal</v>
      </c>
      <c r="E574" s="3">
        <f ca="1">VLOOKUP($C574,Overall!$K$5:$T$36,10)</f>
        <v>-1.1754943508222875E-38</v>
      </c>
      <c r="F574" s="9" t="str">
        <f>VLOOKUP($C574,Overall!$K$5:$T$36,6)</f>
        <v>10000000100000000000000000000000</v>
      </c>
      <c r="G574" s="8">
        <v>7</v>
      </c>
      <c r="H574" s="3" t="str">
        <f>VLOOKUP($G574,Overall!$K$5:$T$36,2)</f>
        <v>Overflow</v>
      </c>
      <c r="I574" s="3">
        <f ca="1">VLOOKUP($G574,Overall!$K$5:$T$36,10)</f>
        <v>3.4028240748575767E+38</v>
      </c>
      <c r="J574" s="62" t="str">
        <f>VLOOKUP($G574,Overall!$K$5:$T$36,6)</f>
        <v>01111111100000000000000000000001</v>
      </c>
      <c r="K574" s="8">
        <f t="shared" ca="1" si="72"/>
        <v>-4.0000004768371582</v>
      </c>
      <c r="L574" s="62">
        <f>VLOOKUP($B574,Overall!$B$5:$I$13,8)</f>
        <v>0</v>
      </c>
      <c r="M574" s="58"/>
      <c r="N574" s="3" t="str">
        <f t="shared" si="73"/>
        <v/>
      </c>
      <c r="O574" s="3" t="str">
        <f t="shared" si="74"/>
        <v/>
      </c>
      <c r="P574" s="3" t="str">
        <f t="shared" si="75"/>
        <v/>
      </c>
      <c r="Q574" s="3">
        <f t="shared" si="76"/>
        <v>0</v>
      </c>
      <c r="R574" s="3">
        <f t="shared" si="77"/>
        <v>0</v>
      </c>
      <c r="S574" s="3" t="e" cm="1">
        <f t="array" aca="1" ref="S574" ca="1">SUMPRODUCT(MID($P574,ROW(INDIRECT("1:23")),1)*2^(-ROW(INDIRECT("1:23"))))</f>
        <v>#VALUE!</v>
      </c>
      <c r="T574" s="3" t="e">
        <f t="shared" ca="1" si="78"/>
        <v>#VALUE!</v>
      </c>
      <c r="U574" s="3" t="e">
        <f t="shared" ca="1" si="79"/>
        <v>#VALUE!</v>
      </c>
      <c r="V574" s="73"/>
      <c r="W574" s="9" t="str">
        <f t="shared" si="80"/>
        <v>OK</v>
      </c>
    </row>
    <row r="575" spans="1:23" x14ac:dyDescent="0.3">
      <c r="A575" s="44">
        <v>572</v>
      </c>
      <c r="B575" s="14">
        <v>8</v>
      </c>
      <c r="C575" s="4">
        <v>24</v>
      </c>
      <c r="D575" s="3" t="str">
        <f>VLOOKUP($C575,Overall!$K$5:$T$36,2)</f>
        <v>Normal</v>
      </c>
      <c r="E575" s="3">
        <f ca="1">VLOOKUP($C575,Overall!$K$5:$T$36,10)</f>
        <v>-1.1754943508222875E-38</v>
      </c>
      <c r="F575" s="9" t="str">
        <f>VLOOKUP($C575,Overall!$K$5:$T$36,6)</f>
        <v>10000000100000000000000000000000</v>
      </c>
      <c r="G575" s="8">
        <v>8</v>
      </c>
      <c r="H575" s="3" t="str">
        <f>VLOOKUP($G575,Overall!$K$5:$T$36,2)</f>
        <v>Overflow</v>
      </c>
      <c r="I575" s="3">
        <f ca="1">VLOOKUP($G575,Overall!$K$5:$T$36,10)</f>
        <v>4.2535303978081149E+38</v>
      </c>
      <c r="J575" s="62" t="str">
        <f>VLOOKUP($G575,Overall!$K$5:$T$36,6)</f>
        <v>01111111101000000000000000000010</v>
      </c>
      <c r="K575" s="8">
        <f t="shared" ca="1" si="72"/>
        <v>-5.0000009536743164</v>
      </c>
      <c r="L575" s="62">
        <f>VLOOKUP($B575,Overall!$B$5:$I$13,8)</f>
        <v>0</v>
      </c>
      <c r="M575" s="58"/>
      <c r="N575" s="3" t="str">
        <f t="shared" si="73"/>
        <v/>
      </c>
      <c r="O575" s="3" t="str">
        <f t="shared" si="74"/>
        <v/>
      </c>
      <c r="P575" s="3" t="str">
        <f t="shared" si="75"/>
        <v/>
      </c>
      <c r="Q575" s="3">
        <f t="shared" si="76"/>
        <v>0</v>
      </c>
      <c r="R575" s="3">
        <f t="shared" si="77"/>
        <v>0</v>
      </c>
      <c r="S575" s="3" t="e" cm="1">
        <f t="array" aca="1" ref="S575" ca="1">SUMPRODUCT(MID($P575,ROW(INDIRECT("1:23")),1)*2^(-ROW(INDIRECT("1:23"))))</f>
        <v>#VALUE!</v>
      </c>
      <c r="T575" s="3" t="e">
        <f t="shared" ca="1" si="78"/>
        <v>#VALUE!</v>
      </c>
      <c r="U575" s="3" t="e">
        <f t="shared" ca="1" si="79"/>
        <v>#VALUE!</v>
      </c>
      <c r="V575" s="73"/>
      <c r="W575" s="9" t="str">
        <f t="shared" si="80"/>
        <v>OK</v>
      </c>
    </row>
    <row r="576" spans="1:23" x14ac:dyDescent="0.3">
      <c r="A576" s="44">
        <v>573</v>
      </c>
      <c r="B576" s="14">
        <v>8</v>
      </c>
      <c r="C576" s="4">
        <v>24</v>
      </c>
      <c r="D576" s="3" t="str">
        <f>VLOOKUP($C576,Overall!$K$5:$T$36,2)</f>
        <v>Normal</v>
      </c>
      <c r="E576" s="3">
        <f ca="1">VLOOKUP($C576,Overall!$K$5:$T$36,10)</f>
        <v>-1.1754943508222875E-38</v>
      </c>
      <c r="F576" s="9" t="str">
        <f>VLOOKUP($C576,Overall!$K$5:$T$36,6)</f>
        <v>10000000100000000000000000000000</v>
      </c>
      <c r="G576" s="8">
        <v>9</v>
      </c>
      <c r="H576" s="3" t="str">
        <f>VLOOKUP($G576,Overall!$K$5:$T$36,2)</f>
        <v>Overflow</v>
      </c>
      <c r="I576" s="3">
        <f ca="1">VLOOKUP($G576,Overall!$K$5:$T$36,10)</f>
        <v>6.8056469327705772E+38</v>
      </c>
      <c r="J576" s="62" t="str">
        <f>VLOOKUP($G576,Overall!$K$5:$T$36,6)</f>
        <v>01111111111111111111111111111111</v>
      </c>
      <c r="K576" s="8">
        <f t="shared" ca="1" si="72"/>
        <v>-7.9999995231628418</v>
      </c>
      <c r="L576" s="62">
        <f>VLOOKUP($B576,Overall!$B$5:$I$13,8)</f>
        <v>0</v>
      </c>
      <c r="M576" s="58"/>
      <c r="N576" s="3" t="str">
        <f t="shared" si="73"/>
        <v/>
      </c>
      <c r="O576" s="3" t="str">
        <f t="shared" si="74"/>
        <v/>
      </c>
      <c r="P576" s="3" t="str">
        <f t="shared" si="75"/>
        <v/>
      </c>
      <c r="Q576" s="3">
        <f t="shared" si="76"/>
        <v>0</v>
      </c>
      <c r="R576" s="3">
        <f t="shared" si="77"/>
        <v>0</v>
      </c>
      <c r="S576" s="3" t="e" cm="1">
        <f t="array" aca="1" ref="S576" ca="1">SUMPRODUCT(MID($P576,ROW(INDIRECT("1:23")),1)*2^(-ROW(INDIRECT("1:23"))))</f>
        <v>#VALUE!</v>
      </c>
      <c r="T576" s="3" t="e">
        <f t="shared" ca="1" si="78"/>
        <v>#VALUE!</v>
      </c>
      <c r="U576" s="3" t="e">
        <f t="shared" ca="1" si="79"/>
        <v>#VALUE!</v>
      </c>
      <c r="V576" s="73"/>
      <c r="W576" s="9" t="str">
        <f t="shared" si="80"/>
        <v>OK</v>
      </c>
    </row>
    <row r="577" spans="1:23" x14ac:dyDescent="0.3">
      <c r="A577" s="44">
        <v>574</v>
      </c>
      <c r="B577" s="14">
        <v>8</v>
      </c>
      <c r="C577" s="4">
        <v>24</v>
      </c>
      <c r="D577" s="3" t="str">
        <f>VLOOKUP($C577,Overall!$K$5:$T$36,2)</f>
        <v>Normal</v>
      </c>
      <c r="E577" s="3">
        <f ca="1">VLOOKUP($C577,Overall!$K$5:$T$36,10)</f>
        <v>-1.1754943508222875E-38</v>
      </c>
      <c r="F577" s="9" t="str">
        <f>VLOOKUP($C577,Overall!$K$5:$T$36,6)</f>
        <v>10000000100000000000000000000000</v>
      </c>
      <c r="G577" s="8">
        <v>10</v>
      </c>
      <c r="H577" s="3" t="str">
        <f>VLOOKUP($G577,Overall!$K$5:$T$36,2)</f>
        <v>Overflow</v>
      </c>
      <c r="I577" s="3">
        <f ca="1">VLOOKUP($G577,Overall!$K$5:$T$36,10)</f>
        <v>-3.4028240748575767E+38</v>
      </c>
      <c r="J577" s="62" t="str">
        <f>VLOOKUP($G577,Overall!$K$5:$T$36,6)</f>
        <v>11111111100000000000000000000001</v>
      </c>
      <c r="K577" s="8">
        <f t="shared" ca="1" si="72"/>
        <v>4.0000004768371582</v>
      </c>
      <c r="L577" s="62">
        <f>VLOOKUP($B577,Overall!$B$5:$I$13,8)</f>
        <v>0</v>
      </c>
      <c r="M577" s="58"/>
      <c r="N577" s="3" t="str">
        <f t="shared" si="73"/>
        <v/>
      </c>
      <c r="O577" s="3" t="str">
        <f t="shared" si="74"/>
        <v/>
      </c>
      <c r="P577" s="3" t="str">
        <f t="shared" si="75"/>
        <v/>
      </c>
      <c r="Q577" s="3">
        <f t="shared" si="76"/>
        <v>0</v>
      </c>
      <c r="R577" s="3">
        <f t="shared" si="77"/>
        <v>0</v>
      </c>
      <c r="S577" s="3" t="e" cm="1">
        <f t="array" aca="1" ref="S577" ca="1">SUMPRODUCT(MID($P577,ROW(INDIRECT("1:23")),1)*2^(-ROW(INDIRECT("1:23"))))</f>
        <v>#VALUE!</v>
      </c>
      <c r="T577" s="3" t="e">
        <f t="shared" ca="1" si="78"/>
        <v>#VALUE!</v>
      </c>
      <c r="U577" s="3" t="e">
        <f t="shared" ca="1" si="79"/>
        <v>#VALUE!</v>
      </c>
      <c r="V577" s="73"/>
      <c r="W577" s="9" t="str">
        <f t="shared" si="80"/>
        <v>OK</v>
      </c>
    </row>
    <row r="578" spans="1:23" x14ac:dyDescent="0.3">
      <c r="A578" s="44">
        <v>575</v>
      </c>
      <c r="B578" s="14">
        <v>8</v>
      </c>
      <c r="C578" s="4">
        <v>24</v>
      </c>
      <c r="D578" s="3" t="str">
        <f>VLOOKUP($C578,Overall!$K$5:$T$36,2)</f>
        <v>Normal</v>
      </c>
      <c r="E578" s="3">
        <f ca="1">VLOOKUP($C578,Overall!$K$5:$T$36,10)</f>
        <v>-1.1754943508222875E-38</v>
      </c>
      <c r="F578" s="9" t="str">
        <f>VLOOKUP($C578,Overall!$K$5:$T$36,6)</f>
        <v>10000000100000000000000000000000</v>
      </c>
      <c r="G578" s="8">
        <v>11</v>
      </c>
      <c r="H578" s="3" t="str">
        <f>VLOOKUP($G578,Overall!$K$5:$T$36,2)</f>
        <v>Overflow</v>
      </c>
      <c r="I578" s="3">
        <f ca="1">VLOOKUP($G578,Overall!$K$5:$T$36,10)</f>
        <v>-4.2535303978081149E+38</v>
      </c>
      <c r="J578" s="62" t="str">
        <f>VLOOKUP($G578,Overall!$K$5:$T$36,6)</f>
        <v>11111111101000000000000000000010</v>
      </c>
      <c r="K578" s="8">
        <f t="shared" ca="1" si="72"/>
        <v>5.0000009536743164</v>
      </c>
      <c r="L578" s="62">
        <f>VLOOKUP($B578,Overall!$B$5:$I$13,8)</f>
        <v>0</v>
      </c>
      <c r="M578" s="58"/>
      <c r="N578" s="3" t="str">
        <f t="shared" si="73"/>
        <v/>
      </c>
      <c r="O578" s="3" t="str">
        <f t="shared" si="74"/>
        <v/>
      </c>
      <c r="P578" s="3" t="str">
        <f t="shared" si="75"/>
        <v/>
      </c>
      <c r="Q578" s="3">
        <f t="shared" si="76"/>
        <v>0</v>
      </c>
      <c r="R578" s="3">
        <f t="shared" si="77"/>
        <v>0</v>
      </c>
      <c r="S578" s="3" t="e" cm="1">
        <f t="array" aca="1" ref="S578" ca="1">SUMPRODUCT(MID($P578,ROW(INDIRECT("1:23")),1)*2^(-ROW(INDIRECT("1:23"))))</f>
        <v>#VALUE!</v>
      </c>
      <c r="T578" s="3" t="e">
        <f t="shared" ca="1" si="78"/>
        <v>#VALUE!</v>
      </c>
      <c r="U578" s="3" t="e">
        <f t="shared" ca="1" si="79"/>
        <v>#VALUE!</v>
      </c>
      <c r="V578" s="73"/>
      <c r="W578" s="9" t="str">
        <f t="shared" si="80"/>
        <v>OK</v>
      </c>
    </row>
    <row r="579" spans="1:23" x14ac:dyDescent="0.3">
      <c r="A579" s="44">
        <v>576</v>
      </c>
      <c r="B579" s="14">
        <v>8</v>
      </c>
      <c r="C579" s="4">
        <v>24</v>
      </c>
      <c r="D579" s="3" t="str">
        <f>VLOOKUP($C579,Overall!$K$5:$T$36,2)</f>
        <v>Normal</v>
      </c>
      <c r="E579" s="3">
        <f ca="1">VLOOKUP($C579,Overall!$K$5:$T$36,10)</f>
        <v>-1.1754943508222875E-38</v>
      </c>
      <c r="F579" s="9" t="str">
        <f>VLOOKUP($C579,Overall!$K$5:$T$36,6)</f>
        <v>10000000100000000000000000000000</v>
      </c>
      <c r="G579" s="8">
        <v>12</v>
      </c>
      <c r="H579" s="3" t="str">
        <f>VLOOKUP($G579,Overall!$K$5:$T$36,2)</f>
        <v>Overflow</v>
      </c>
      <c r="I579" s="3">
        <f ca="1">VLOOKUP($G579,Overall!$K$5:$T$36,10)</f>
        <v>-6.8056469327705772E+38</v>
      </c>
      <c r="J579" s="62" t="str">
        <f>VLOOKUP($G579,Overall!$K$5:$T$36,6)</f>
        <v>11111111111111111111111111111111</v>
      </c>
      <c r="K579" s="8">
        <f t="shared" ca="1" si="72"/>
        <v>7.9999995231628418</v>
      </c>
      <c r="L579" s="62">
        <f>VLOOKUP($B579,Overall!$B$5:$I$13,8)</f>
        <v>0</v>
      </c>
      <c r="M579" s="58"/>
      <c r="N579" s="3" t="str">
        <f t="shared" si="73"/>
        <v/>
      </c>
      <c r="O579" s="3" t="str">
        <f t="shared" si="74"/>
        <v/>
      </c>
      <c r="P579" s="3" t="str">
        <f t="shared" si="75"/>
        <v/>
      </c>
      <c r="Q579" s="3">
        <f t="shared" si="76"/>
        <v>0</v>
      </c>
      <c r="R579" s="3">
        <f t="shared" si="77"/>
        <v>0</v>
      </c>
      <c r="S579" s="3" t="e" cm="1">
        <f t="array" aca="1" ref="S579" ca="1">SUMPRODUCT(MID($P579,ROW(INDIRECT("1:23")),1)*2^(-ROW(INDIRECT("1:23"))))</f>
        <v>#VALUE!</v>
      </c>
      <c r="T579" s="3" t="e">
        <f t="shared" ca="1" si="78"/>
        <v>#VALUE!</v>
      </c>
      <c r="U579" s="3" t="e">
        <f t="shared" ca="1" si="79"/>
        <v>#VALUE!</v>
      </c>
      <c r="V579" s="73"/>
      <c r="W579" s="9" t="str">
        <f t="shared" si="80"/>
        <v>OK</v>
      </c>
    </row>
    <row r="580" spans="1:23" x14ac:dyDescent="0.3">
      <c r="A580" s="44">
        <v>577</v>
      </c>
      <c r="B580" s="14">
        <v>8</v>
      </c>
      <c r="C580" s="4">
        <v>25</v>
      </c>
      <c r="D580" s="3" t="str">
        <f>VLOOKUP($C580,Overall!$K$5:$T$36,2)</f>
        <v>Normal</v>
      </c>
      <c r="E580" s="3">
        <f ca="1">VLOOKUP($C580,Overall!$K$5:$T$36,10)</f>
        <v>-1.1754944909521339E-38</v>
      </c>
      <c r="F580" s="9" t="str">
        <f>VLOOKUP($C580,Overall!$K$5:$T$36,6)</f>
        <v>10000000100000000000000000000001</v>
      </c>
      <c r="G580" s="8">
        <v>7</v>
      </c>
      <c r="H580" s="3" t="str">
        <f>VLOOKUP($G580,Overall!$K$5:$T$36,2)</f>
        <v>Overflow</v>
      </c>
      <c r="I580" s="3">
        <f ca="1">VLOOKUP($G580,Overall!$K$5:$T$36,10)</f>
        <v>3.4028240748575767E+38</v>
      </c>
      <c r="J580" s="62" t="str">
        <f>VLOOKUP($G580,Overall!$K$5:$T$36,6)</f>
        <v>01111111100000000000000000000001</v>
      </c>
      <c r="K580" s="8">
        <f t="shared" ca="1" si="72"/>
        <v>-4.0000009536743732</v>
      </c>
      <c r="L580" s="62">
        <f>VLOOKUP($B580,Overall!$B$5:$I$13,8)</f>
        <v>0</v>
      </c>
      <c r="M580" s="58"/>
      <c r="N580" s="3" t="str">
        <f t="shared" si="73"/>
        <v/>
      </c>
      <c r="O580" s="3" t="str">
        <f t="shared" si="74"/>
        <v/>
      </c>
      <c r="P580" s="3" t="str">
        <f t="shared" si="75"/>
        <v/>
      </c>
      <c r="Q580" s="3">
        <f t="shared" si="76"/>
        <v>0</v>
      </c>
      <c r="R580" s="3">
        <f t="shared" si="77"/>
        <v>0</v>
      </c>
      <c r="S580" s="3" t="e" cm="1">
        <f t="array" aca="1" ref="S580" ca="1">SUMPRODUCT(MID($P580,ROW(INDIRECT("1:23")),1)*2^(-ROW(INDIRECT("1:23"))))</f>
        <v>#VALUE!</v>
      </c>
      <c r="T580" s="3" t="e">
        <f t="shared" ca="1" si="78"/>
        <v>#VALUE!</v>
      </c>
      <c r="U580" s="3" t="e">
        <f t="shared" ca="1" si="79"/>
        <v>#VALUE!</v>
      </c>
      <c r="V580" s="73"/>
      <c r="W580" s="9" t="str">
        <f t="shared" si="80"/>
        <v>OK</v>
      </c>
    </row>
    <row r="581" spans="1:23" x14ac:dyDescent="0.3">
      <c r="A581" s="44">
        <v>578</v>
      </c>
      <c r="B581" s="14">
        <v>8</v>
      </c>
      <c r="C581" s="4">
        <v>25</v>
      </c>
      <c r="D581" s="3" t="str">
        <f>VLOOKUP($C581,Overall!$K$5:$T$36,2)</f>
        <v>Normal</v>
      </c>
      <c r="E581" s="3">
        <f ca="1">VLOOKUP($C581,Overall!$K$5:$T$36,10)</f>
        <v>-1.1754944909521339E-38</v>
      </c>
      <c r="F581" s="9" t="str">
        <f>VLOOKUP($C581,Overall!$K$5:$T$36,6)</f>
        <v>10000000100000000000000000000001</v>
      </c>
      <c r="G581" s="8">
        <v>8</v>
      </c>
      <c r="H581" s="3" t="str">
        <f>VLOOKUP($G581,Overall!$K$5:$T$36,2)</f>
        <v>Overflow</v>
      </c>
      <c r="I581" s="3">
        <f ca="1">VLOOKUP($G581,Overall!$K$5:$T$36,10)</f>
        <v>4.2535303978081149E+38</v>
      </c>
      <c r="J581" s="62" t="str">
        <f>VLOOKUP($G581,Overall!$K$5:$T$36,6)</f>
        <v>01111111101000000000000000000010</v>
      </c>
      <c r="K581" s="8">
        <f t="shared" ref="K581:K644" ca="1" si="81">E581*I581</f>
        <v>-5.0000015497208778</v>
      </c>
      <c r="L581" s="62">
        <f>VLOOKUP($B581,Overall!$B$5:$I$13,8)</f>
        <v>0</v>
      </c>
      <c r="M581" s="58"/>
      <c r="N581" s="3" t="str">
        <f t="shared" ref="N581:N644" si="82">LEFT($M581,1)</f>
        <v/>
      </c>
      <c r="O581" s="3" t="str">
        <f t="shared" ref="O581:O644" si="83">MID($M581,2,8)</f>
        <v/>
      </c>
      <c r="P581" s="3" t="str">
        <f t="shared" ref="P581:P644" si="84">MID($M581,10,23)</f>
        <v/>
      </c>
      <c r="Q581" s="3">
        <f t="shared" ref="Q581:Q644" si="85">BIN2DEC($N581)</f>
        <v>0</v>
      </c>
      <c r="R581" s="3">
        <f t="shared" ref="R581:R644" si="86">BIN2DEC($O581)</f>
        <v>0</v>
      </c>
      <c r="S581" s="3" t="e" cm="1">
        <f t="array" aca="1" ref="S581" ca="1">SUMPRODUCT(MID($P581,ROW(INDIRECT("1:23")),1)*2^(-ROW(INDIRECT("1:23"))))</f>
        <v>#VALUE!</v>
      </c>
      <c r="T581" s="3" t="e">
        <f t="shared" ref="T581:T644" ca="1" si="87">IF($R581=0,
   (-1)^$Q581 * $S581 * 2^(-126),
   (-1)^$Q581 * (1 + $S581) * 2^($R581 - 127)
)</f>
        <v>#VALUE!</v>
      </c>
      <c r="U581" s="3" t="e">
        <f t="shared" ref="U581:U644" ca="1" si="88">$T581-$K581</f>
        <v>#VALUE!</v>
      </c>
      <c r="V581" s="73"/>
      <c r="W581" s="9" t="str">
        <f t="shared" ref="W581:W644" si="89">IF(L581=V581,"OK","NG")</f>
        <v>OK</v>
      </c>
    </row>
    <row r="582" spans="1:23" x14ac:dyDescent="0.3">
      <c r="A582" s="44">
        <v>579</v>
      </c>
      <c r="B582" s="14">
        <v>8</v>
      </c>
      <c r="C582" s="4">
        <v>25</v>
      </c>
      <c r="D582" s="3" t="str">
        <f>VLOOKUP($C582,Overall!$K$5:$T$36,2)</f>
        <v>Normal</v>
      </c>
      <c r="E582" s="3">
        <f ca="1">VLOOKUP($C582,Overall!$K$5:$T$36,10)</f>
        <v>-1.1754944909521339E-38</v>
      </c>
      <c r="F582" s="9" t="str">
        <f>VLOOKUP($C582,Overall!$K$5:$T$36,6)</f>
        <v>10000000100000000000000000000001</v>
      </c>
      <c r="G582" s="8">
        <v>9</v>
      </c>
      <c r="H582" s="3" t="str">
        <f>VLOOKUP($G582,Overall!$K$5:$T$36,2)</f>
        <v>Overflow</v>
      </c>
      <c r="I582" s="3">
        <f ca="1">VLOOKUP($G582,Overall!$K$5:$T$36,10)</f>
        <v>6.8056469327705772E+38</v>
      </c>
      <c r="J582" s="62" t="str">
        <f>VLOOKUP($G582,Overall!$K$5:$T$36,6)</f>
        <v>01111111111111111111111111111111</v>
      </c>
      <c r="K582" s="8">
        <f t="shared" ca="1" si="81"/>
        <v>-8.0000004768371014</v>
      </c>
      <c r="L582" s="62">
        <f>VLOOKUP($B582,Overall!$B$5:$I$13,8)</f>
        <v>0</v>
      </c>
      <c r="M582" s="58"/>
      <c r="N582" s="3" t="str">
        <f t="shared" si="82"/>
        <v/>
      </c>
      <c r="O582" s="3" t="str">
        <f t="shared" si="83"/>
        <v/>
      </c>
      <c r="P582" s="3" t="str">
        <f t="shared" si="84"/>
        <v/>
      </c>
      <c r="Q582" s="3">
        <f t="shared" si="85"/>
        <v>0</v>
      </c>
      <c r="R582" s="3">
        <f t="shared" si="86"/>
        <v>0</v>
      </c>
      <c r="S582" s="3" t="e" cm="1">
        <f t="array" aca="1" ref="S582" ca="1">SUMPRODUCT(MID($P582,ROW(INDIRECT("1:23")),1)*2^(-ROW(INDIRECT("1:23"))))</f>
        <v>#VALUE!</v>
      </c>
      <c r="T582" s="3" t="e">
        <f t="shared" ca="1" si="87"/>
        <v>#VALUE!</v>
      </c>
      <c r="U582" s="3" t="e">
        <f t="shared" ca="1" si="88"/>
        <v>#VALUE!</v>
      </c>
      <c r="V582" s="73"/>
      <c r="W582" s="9" t="str">
        <f t="shared" si="89"/>
        <v>OK</v>
      </c>
    </row>
    <row r="583" spans="1:23" x14ac:dyDescent="0.3">
      <c r="A583" s="44">
        <v>580</v>
      </c>
      <c r="B583" s="14">
        <v>8</v>
      </c>
      <c r="C583" s="4">
        <v>25</v>
      </c>
      <c r="D583" s="3" t="str">
        <f>VLOOKUP($C583,Overall!$K$5:$T$36,2)</f>
        <v>Normal</v>
      </c>
      <c r="E583" s="3">
        <f ca="1">VLOOKUP($C583,Overall!$K$5:$T$36,10)</f>
        <v>-1.1754944909521339E-38</v>
      </c>
      <c r="F583" s="9" t="str">
        <f>VLOOKUP($C583,Overall!$K$5:$T$36,6)</f>
        <v>10000000100000000000000000000001</v>
      </c>
      <c r="G583" s="8">
        <v>10</v>
      </c>
      <c r="H583" s="3" t="str">
        <f>VLOOKUP($G583,Overall!$K$5:$T$36,2)</f>
        <v>Overflow</v>
      </c>
      <c r="I583" s="3">
        <f ca="1">VLOOKUP($G583,Overall!$K$5:$T$36,10)</f>
        <v>-3.4028240748575767E+38</v>
      </c>
      <c r="J583" s="62" t="str">
        <f>VLOOKUP($G583,Overall!$K$5:$T$36,6)</f>
        <v>11111111100000000000000000000001</v>
      </c>
      <c r="K583" s="8">
        <f t="shared" ca="1" si="81"/>
        <v>4.0000009536743732</v>
      </c>
      <c r="L583" s="62">
        <f>VLOOKUP($B583,Overall!$B$5:$I$13,8)</f>
        <v>0</v>
      </c>
      <c r="M583" s="58"/>
      <c r="N583" s="3" t="str">
        <f t="shared" si="82"/>
        <v/>
      </c>
      <c r="O583" s="3" t="str">
        <f t="shared" si="83"/>
        <v/>
      </c>
      <c r="P583" s="3" t="str">
        <f t="shared" si="84"/>
        <v/>
      </c>
      <c r="Q583" s="3">
        <f t="shared" si="85"/>
        <v>0</v>
      </c>
      <c r="R583" s="3">
        <f t="shared" si="86"/>
        <v>0</v>
      </c>
      <c r="S583" s="3" t="e" cm="1">
        <f t="array" aca="1" ref="S583" ca="1">SUMPRODUCT(MID($P583,ROW(INDIRECT("1:23")),1)*2^(-ROW(INDIRECT("1:23"))))</f>
        <v>#VALUE!</v>
      </c>
      <c r="T583" s="3" t="e">
        <f t="shared" ca="1" si="87"/>
        <v>#VALUE!</v>
      </c>
      <c r="U583" s="3" t="e">
        <f t="shared" ca="1" si="88"/>
        <v>#VALUE!</v>
      </c>
      <c r="V583" s="73"/>
      <c r="W583" s="9" t="str">
        <f t="shared" si="89"/>
        <v>OK</v>
      </c>
    </row>
    <row r="584" spans="1:23" x14ac:dyDescent="0.3">
      <c r="A584" s="44">
        <v>581</v>
      </c>
      <c r="B584" s="14">
        <v>8</v>
      </c>
      <c r="C584" s="4">
        <v>25</v>
      </c>
      <c r="D584" s="3" t="str">
        <f>VLOOKUP($C584,Overall!$K$5:$T$36,2)</f>
        <v>Normal</v>
      </c>
      <c r="E584" s="3">
        <f ca="1">VLOOKUP($C584,Overall!$K$5:$T$36,10)</f>
        <v>-1.1754944909521339E-38</v>
      </c>
      <c r="F584" s="9" t="str">
        <f>VLOOKUP($C584,Overall!$K$5:$T$36,6)</f>
        <v>10000000100000000000000000000001</v>
      </c>
      <c r="G584" s="8">
        <v>11</v>
      </c>
      <c r="H584" s="3" t="str">
        <f>VLOOKUP($G584,Overall!$K$5:$T$36,2)</f>
        <v>Overflow</v>
      </c>
      <c r="I584" s="3">
        <f ca="1">VLOOKUP($G584,Overall!$K$5:$T$36,10)</f>
        <v>-4.2535303978081149E+38</v>
      </c>
      <c r="J584" s="62" t="str">
        <f>VLOOKUP($G584,Overall!$K$5:$T$36,6)</f>
        <v>11111111101000000000000000000010</v>
      </c>
      <c r="K584" s="8">
        <f t="shared" ca="1" si="81"/>
        <v>5.0000015497208778</v>
      </c>
      <c r="L584" s="62">
        <f>VLOOKUP($B584,Overall!$B$5:$I$13,8)</f>
        <v>0</v>
      </c>
      <c r="M584" s="58"/>
      <c r="N584" s="3" t="str">
        <f t="shared" si="82"/>
        <v/>
      </c>
      <c r="O584" s="3" t="str">
        <f t="shared" si="83"/>
        <v/>
      </c>
      <c r="P584" s="3" t="str">
        <f t="shared" si="84"/>
        <v/>
      </c>
      <c r="Q584" s="3">
        <f t="shared" si="85"/>
        <v>0</v>
      </c>
      <c r="R584" s="3">
        <f t="shared" si="86"/>
        <v>0</v>
      </c>
      <c r="S584" s="3" t="e" cm="1">
        <f t="array" aca="1" ref="S584" ca="1">SUMPRODUCT(MID($P584,ROW(INDIRECT("1:23")),1)*2^(-ROW(INDIRECT("1:23"))))</f>
        <v>#VALUE!</v>
      </c>
      <c r="T584" s="3" t="e">
        <f t="shared" ca="1" si="87"/>
        <v>#VALUE!</v>
      </c>
      <c r="U584" s="3" t="e">
        <f t="shared" ca="1" si="88"/>
        <v>#VALUE!</v>
      </c>
      <c r="V584" s="73"/>
      <c r="W584" s="9" t="str">
        <f t="shared" si="89"/>
        <v>OK</v>
      </c>
    </row>
    <row r="585" spans="1:23" x14ac:dyDescent="0.3">
      <c r="A585" s="44">
        <v>582</v>
      </c>
      <c r="B585" s="14">
        <v>8</v>
      </c>
      <c r="C585" s="4">
        <v>25</v>
      </c>
      <c r="D585" s="3" t="str">
        <f>VLOOKUP($C585,Overall!$K$5:$T$36,2)</f>
        <v>Normal</v>
      </c>
      <c r="E585" s="3">
        <f ca="1">VLOOKUP($C585,Overall!$K$5:$T$36,10)</f>
        <v>-1.1754944909521339E-38</v>
      </c>
      <c r="F585" s="9" t="str">
        <f>VLOOKUP($C585,Overall!$K$5:$T$36,6)</f>
        <v>10000000100000000000000000000001</v>
      </c>
      <c r="G585" s="8">
        <v>12</v>
      </c>
      <c r="H585" s="3" t="str">
        <f>VLOOKUP($G585,Overall!$K$5:$T$36,2)</f>
        <v>Overflow</v>
      </c>
      <c r="I585" s="3">
        <f ca="1">VLOOKUP($G585,Overall!$K$5:$T$36,10)</f>
        <v>-6.8056469327705772E+38</v>
      </c>
      <c r="J585" s="62" t="str">
        <f>VLOOKUP($G585,Overall!$K$5:$T$36,6)</f>
        <v>11111111111111111111111111111111</v>
      </c>
      <c r="K585" s="8">
        <f t="shared" ca="1" si="81"/>
        <v>8.0000004768371014</v>
      </c>
      <c r="L585" s="62">
        <f>VLOOKUP($B585,Overall!$B$5:$I$13,8)</f>
        <v>0</v>
      </c>
      <c r="M585" s="58"/>
      <c r="N585" s="3" t="str">
        <f t="shared" si="82"/>
        <v/>
      </c>
      <c r="O585" s="3" t="str">
        <f t="shared" si="83"/>
        <v/>
      </c>
      <c r="P585" s="3" t="str">
        <f t="shared" si="84"/>
        <v/>
      </c>
      <c r="Q585" s="3">
        <f t="shared" si="85"/>
        <v>0</v>
      </c>
      <c r="R585" s="3">
        <f t="shared" si="86"/>
        <v>0</v>
      </c>
      <c r="S585" s="3" t="e" cm="1">
        <f t="array" aca="1" ref="S585" ca="1">SUMPRODUCT(MID($P585,ROW(INDIRECT("1:23")),1)*2^(-ROW(INDIRECT("1:23"))))</f>
        <v>#VALUE!</v>
      </c>
      <c r="T585" s="3" t="e">
        <f t="shared" ca="1" si="87"/>
        <v>#VALUE!</v>
      </c>
      <c r="U585" s="3" t="e">
        <f t="shared" ca="1" si="88"/>
        <v>#VALUE!</v>
      </c>
      <c r="V585" s="73"/>
      <c r="W585" s="9" t="str">
        <f t="shared" si="89"/>
        <v>OK</v>
      </c>
    </row>
    <row r="586" spans="1:23" x14ac:dyDescent="0.3">
      <c r="A586" s="44">
        <v>583</v>
      </c>
      <c r="B586" s="14">
        <v>8</v>
      </c>
      <c r="C586" s="4">
        <v>26</v>
      </c>
      <c r="D586" s="3" t="str">
        <f>VLOOKUP($C586,Overall!$K$5:$T$36,2)</f>
        <v>Normal</v>
      </c>
      <c r="E586" s="3">
        <f ca="1">VLOOKUP($C586,Overall!$K$5:$T$36,10)</f>
        <v>-0.5</v>
      </c>
      <c r="F586" s="9" t="str">
        <f>VLOOKUP($C586,Overall!$K$5:$T$36,6)</f>
        <v>10111111000000000000000000000000</v>
      </c>
      <c r="G586" s="8">
        <v>7</v>
      </c>
      <c r="H586" s="3" t="str">
        <f>VLOOKUP($G586,Overall!$K$5:$T$36,2)</f>
        <v>Overflow</v>
      </c>
      <c r="I586" s="3">
        <f ca="1">VLOOKUP($G586,Overall!$K$5:$T$36,10)</f>
        <v>3.4028240748575767E+38</v>
      </c>
      <c r="J586" s="62" t="str">
        <f>VLOOKUP($G586,Overall!$K$5:$T$36,6)</f>
        <v>01111111100000000000000000000001</v>
      </c>
      <c r="K586" s="8">
        <f t="shared" ca="1" si="81"/>
        <v>-1.7014120374287884E+38</v>
      </c>
      <c r="L586" s="62">
        <f>VLOOKUP($B586,Overall!$B$5:$I$13,8)</f>
        <v>0</v>
      </c>
      <c r="M586" s="58"/>
      <c r="N586" s="3" t="str">
        <f t="shared" si="82"/>
        <v/>
      </c>
      <c r="O586" s="3" t="str">
        <f t="shared" si="83"/>
        <v/>
      </c>
      <c r="P586" s="3" t="str">
        <f t="shared" si="84"/>
        <v/>
      </c>
      <c r="Q586" s="3">
        <f t="shared" si="85"/>
        <v>0</v>
      </c>
      <c r="R586" s="3">
        <f t="shared" si="86"/>
        <v>0</v>
      </c>
      <c r="S586" s="3" t="e" cm="1">
        <f t="array" aca="1" ref="S586" ca="1">SUMPRODUCT(MID($P586,ROW(INDIRECT("1:23")),1)*2^(-ROW(INDIRECT("1:23"))))</f>
        <v>#VALUE!</v>
      </c>
      <c r="T586" s="3" t="e">
        <f t="shared" ca="1" si="87"/>
        <v>#VALUE!</v>
      </c>
      <c r="U586" s="3" t="e">
        <f t="shared" ca="1" si="88"/>
        <v>#VALUE!</v>
      </c>
      <c r="V586" s="73"/>
      <c r="W586" s="9" t="str">
        <f t="shared" si="89"/>
        <v>OK</v>
      </c>
    </row>
    <row r="587" spans="1:23" x14ac:dyDescent="0.3">
      <c r="A587" s="44">
        <v>584</v>
      </c>
      <c r="B587" s="14">
        <v>8</v>
      </c>
      <c r="C587" s="4">
        <v>26</v>
      </c>
      <c r="D587" s="3" t="str">
        <f>VLOOKUP($C587,Overall!$K$5:$T$36,2)</f>
        <v>Normal</v>
      </c>
      <c r="E587" s="3">
        <f ca="1">VLOOKUP($C587,Overall!$K$5:$T$36,10)</f>
        <v>-0.5</v>
      </c>
      <c r="F587" s="9" t="str">
        <f>VLOOKUP($C587,Overall!$K$5:$T$36,6)</f>
        <v>10111111000000000000000000000000</v>
      </c>
      <c r="G587" s="8">
        <v>8</v>
      </c>
      <c r="H587" s="3" t="str">
        <f>VLOOKUP($G587,Overall!$K$5:$T$36,2)</f>
        <v>Overflow</v>
      </c>
      <c r="I587" s="3">
        <f ca="1">VLOOKUP($G587,Overall!$K$5:$T$36,10)</f>
        <v>4.2535303978081149E+38</v>
      </c>
      <c r="J587" s="62" t="str">
        <f>VLOOKUP($G587,Overall!$K$5:$T$36,6)</f>
        <v>01111111101000000000000000000010</v>
      </c>
      <c r="K587" s="8">
        <f t="shared" ca="1" si="81"/>
        <v>-2.1267651989040575E+38</v>
      </c>
      <c r="L587" s="62">
        <f>VLOOKUP($B587,Overall!$B$5:$I$13,8)</f>
        <v>0</v>
      </c>
      <c r="M587" s="58"/>
      <c r="N587" s="3" t="str">
        <f t="shared" si="82"/>
        <v/>
      </c>
      <c r="O587" s="3" t="str">
        <f t="shared" si="83"/>
        <v/>
      </c>
      <c r="P587" s="3" t="str">
        <f t="shared" si="84"/>
        <v/>
      </c>
      <c r="Q587" s="3">
        <f t="shared" si="85"/>
        <v>0</v>
      </c>
      <c r="R587" s="3">
        <f t="shared" si="86"/>
        <v>0</v>
      </c>
      <c r="S587" s="3" t="e" cm="1">
        <f t="array" aca="1" ref="S587" ca="1">SUMPRODUCT(MID($P587,ROW(INDIRECT("1:23")),1)*2^(-ROW(INDIRECT("1:23"))))</f>
        <v>#VALUE!</v>
      </c>
      <c r="T587" s="3" t="e">
        <f t="shared" ca="1" si="87"/>
        <v>#VALUE!</v>
      </c>
      <c r="U587" s="3" t="e">
        <f t="shared" ca="1" si="88"/>
        <v>#VALUE!</v>
      </c>
      <c r="V587" s="73"/>
      <c r="W587" s="9" t="str">
        <f t="shared" si="89"/>
        <v>OK</v>
      </c>
    </row>
    <row r="588" spans="1:23" x14ac:dyDescent="0.3">
      <c r="A588" s="44">
        <v>585</v>
      </c>
      <c r="B588" s="14">
        <v>8</v>
      </c>
      <c r="C588" s="4">
        <v>26</v>
      </c>
      <c r="D588" s="3" t="str">
        <f>VLOOKUP($C588,Overall!$K$5:$T$36,2)</f>
        <v>Normal</v>
      </c>
      <c r="E588" s="3">
        <f ca="1">VLOOKUP($C588,Overall!$K$5:$T$36,10)</f>
        <v>-0.5</v>
      </c>
      <c r="F588" s="9" t="str">
        <f>VLOOKUP($C588,Overall!$K$5:$T$36,6)</f>
        <v>10111111000000000000000000000000</v>
      </c>
      <c r="G588" s="8">
        <v>9</v>
      </c>
      <c r="H588" s="3" t="str">
        <f>VLOOKUP($G588,Overall!$K$5:$T$36,2)</f>
        <v>Overflow</v>
      </c>
      <c r="I588" s="3">
        <f ca="1">VLOOKUP($G588,Overall!$K$5:$T$36,10)</f>
        <v>6.8056469327705772E+38</v>
      </c>
      <c r="J588" s="62" t="str">
        <f>VLOOKUP($G588,Overall!$K$5:$T$36,6)</f>
        <v>01111111111111111111111111111111</v>
      </c>
      <c r="K588" s="8">
        <f t="shared" ca="1" si="81"/>
        <v>-3.4028234663852886E+38</v>
      </c>
      <c r="L588" s="62">
        <f>VLOOKUP($B588,Overall!$B$5:$I$13,8)</f>
        <v>0</v>
      </c>
      <c r="M588" s="58"/>
      <c r="N588" s="3" t="str">
        <f t="shared" si="82"/>
        <v/>
      </c>
      <c r="O588" s="3" t="str">
        <f t="shared" si="83"/>
        <v/>
      </c>
      <c r="P588" s="3" t="str">
        <f t="shared" si="84"/>
        <v/>
      </c>
      <c r="Q588" s="3">
        <f t="shared" si="85"/>
        <v>0</v>
      </c>
      <c r="R588" s="3">
        <f t="shared" si="86"/>
        <v>0</v>
      </c>
      <c r="S588" s="3" t="e" cm="1">
        <f t="array" aca="1" ref="S588" ca="1">SUMPRODUCT(MID($P588,ROW(INDIRECT("1:23")),1)*2^(-ROW(INDIRECT("1:23"))))</f>
        <v>#VALUE!</v>
      </c>
      <c r="T588" s="3" t="e">
        <f t="shared" ca="1" si="87"/>
        <v>#VALUE!</v>
      </c>
      <c r="U588" s="3" t="e">
        <f t="shared" ca="1" si="88"/>
        <v>#VALUE!</v>
      </c>
      <c r="V588" s="73"/>
      <c r="W588" s="9" t="str">
        <f t="shared" si="89"/>
        <v>OK</v>
      </c>
    </row>
    <row r="589" spans="1:23" x14ac:dyDescent="0.3">
      <c r="A589" s="44">
        <v>586</v>
      </c>
      <c r="B589" s="14">
        <v>8</v>
      </c>
      <c r="C589" s="4">
        <v>26</v>
      </c>
      <c r="D589" s="3" t="str">
        <f>VLOOKUP($C589,Overall!$K$5:$T$36,2)</f>
        <v>Normal</v>
      </c>
      <c r="E589" s="3">
        <f ca="1">VLOOKUP($C589,Overall!$K$5:$T$36,10)</f>
        <v>-0.5</v>
      </c>
      <c r="F589" s="9" t="str">
        <f>VLOOKUP($C589,Overall!$K$5:$T$36,6)</f>
        <v>10111111000000000000000000000000</v>
      </c>
      <c r="G589" s="8">
        <v>10</v>
      </c>
      <c r="H589" s="3" t="str">
        <f>VLOOKUP($G589,Overall!$K$5:$T$36,2)</f>
        <v>Overflow</v>
      </c>
      <c r="I589" s="3">
        <f ca="1">VLOOKUP($G589,Overall!$K$5:$T$36,10)</f>
        <v>-3.4028240748575767E+38</v>
      </c>
      <c r="J589" s="62" t="str">
        <f>VLOOKUP($G589,Overall!$K$5:$T$36,6)</f>
        <v>11111111100000000000000000000001</v>
      </c>
      <c r="K589" s="8">
        <f t="shared" ca="1" si="81"/>
        <v>1.7014120374287884E+38</v>
      </c>
      <c r="L589" s="62">
        <f>VLOOKUP($B589,Overall!$B$5:$I$13,8)</f>
        <v>0</v>
      </c>
      <c r="M589" s="58"/>
      <c r="N589" s="3" t="str">
        <f t="shared" si="82"/>
        <v/>
      </c>
      <c r="O589" s="3" t="str">
        <f t="shared" si="83"/>
        <v/>
      </c>
      <c r="P589" s="3" t="str">
        <f t="shared" si="84"/>
        <v/>
      </c>
      <c r="Q589" s="3">
        <f t="shared" si="85"/>
        <v>0</v>
      </c>
      <c r="R589" s="3">
        <f t="shared" si="86"/>
        <v>0</v>
      </c>
      <c r="S589" s="3" t="e" cm="1">
        <f t="array" aca="1" ref="S589" ca="1">SUMPRODUCT(MID($P589,ROW(INDIRECT("1:23")),1)*2^(-ROW(INDIRECT("1:23"))))</f>
        <v>#VALUE!</v>
      </c>
      <c r="T589" s="3" t="e">
        <f t="shared" ca="1" si="87"/>
        <v>#VALUE!</v>
      </c>
      <c r="U589" s="3" t="e">
        <f t="shared" ca="1" si="88"/>
        <v>#VALUE!</v>
      </c>
      <c r="V589" s="73"/>
      <c r="W589" s="9" t="str">
        <f t="shared" si="89"/>
        <v>OK</v>
      </c>
    </row>
    <row r="590" spans="1:23" x14ac:dyDescent="0.3">
      <c r="A590" s="44">
        <v>587</v>
      </c>
      <c r="B590" s="14">
        <v>8</v>
      </c>
      <c r="C590" s="4">
        <v>26</v>
      </c>
      <c r="D590" s="3" t="str">
        <f>VLOOKUP($C590,Overall!$K$5:$T$36,2)</f>
        <v>Normal</v>
      </c>
      <c r="E590" s="3">
        <f ca="1">VLOOKUP($C590,Overall!$K$5:$T$36,10)</f>
        <v>-0.5</v>
      </c>
      <c r="F590" s="9" t="str">
        <f>VLOOKUP($C590,Overall!$K$5:$T$36,6)</f>
        <v>10111111000000000000000000000000</v>
      </c>
      <c r="G590" s="8">
        <v>11</v>
      </c>
      <c r="H590" s="3" t="str">
        <f>VLOOKUP($G590,Overall!$K$5:$T$36,2)</f>
        <v>Overflow</v>
      </c>
      <c r="I590" s="3">
        <f ca="1">VLOOKUP($G590,Overall!$K$5:$T$36,10)</f>
        <v>-4.2535303978081149E+38</v>
      </c>
      <c r="J590" s="62" t="str">
        <f>VLOOKUP($G590,Overall!$K$5:$T$36,6)</f>
        <v>11111111101000000000000000000010</v>
      </c>
      <c r="K590" s="8">
        <f t="shared" ca="1" si="81"/>
        <v>2.1267651989040575E+38</v>
      </c>
      <c r="L590" s="62">
        <f>VLOOKUP($B590,Overall!$B$5:$I$13,8)</f>
        <v>0</v>
      </c>
      <c r="M590" s="58"/>
      <c r="N590" s="3" t="str">
        <f t="shared" si="82"/>
        <v/>
      </c>
      <c r="O590" s="3" t="str">
        <f t="shared" si="83"/>
        <v/>
      </c>
      <c r="P590" s="3" t="str">
        <f t="shared" si="84"/>
        <v/>
      </c>
      <c r="Q590" s="3">
        <f t="shared" si="85"/>
        <v>0</v>
      </c>
      <c r="R590" s="3">
        <f t="shared" si="86"/>
        <v>0</v>
      </c>
      <c r="S590" s="3" t="e" cm="1">
        <f t="array" aca="1" ref="S590" ca="1">SUMPRODUCT(MID($P590,ROW(INDIRECT("1:23")),1)*2^(-ROW(INDIRECT("1:23"))))</f>
        <v>#VALUE!</v>
      </c>
      <c r="T590" s="3" t="e">
        <f t="shared" ca="1" si="87"/>
        <v>#VALUE!</v>
      </c>
      <c r="U590" s="3" t="e">
        <f t="shared" ca="1" si="88"/>
        <v>#VALUE!</v>
      </c>
      <c r="V590" s="73"/>
      <c r="W590" s="9" t="str">
        <f t="shared" si="89"/>
        <v>OK</v>
      </c>
    </row>
    <row r="591" spans="1:23" x14ac:dyDescent="0.3">
      <c r="A591" s="44">
        <v>588</v>
      </c>
      <c r="B591" s="14">
        <v>8</v>
      </c>
      <c r="C591" s="4">
        <v>26</v>
      </c>
      <c r="D591" s="3" t="str">
        <f>VLOOKUP($C591,Overall!$K$5:$T$36,2)</f>
        <v>Normal</v>
      </c>
      <c r="E591" s="3">
        <f ca="1">VLOOKUP($C591,Overall!$K$5:$T$36,10)</f>
        <v>-0.5</v>
      </c>
      <c r="F591" s="9" t="str">
        <f>VLOOKUP($C591,Overall!$K$5:$T$36,6)</f>
        <v>10111111000000000000000000000000</v>
      </c>
      <c r="G591" s="8">
        <v>12</v>
      </c>
      <c r="H591" s="3" t="str">
        <f>VLOOKUP($G591,Overall!$K$5:$T$36,2)</f>
        <v>Overflow</v>
      </c>
      <c r="I591" s="3">
        <f ca="1">VLOOKUP($G591,Overall!$K$5:$T$36,10)</f>
        <v>-6.8056469327705772E+38</v>
      </c>
      <c r="J591" s="62" t="str">
        <f>VLOOKUP($G591,Overall!$K$5:$T$36,6)</f>
        <v>11111111111111111111111111111111</v>
      </c>
      <c r="K591" s="8">
        <f t="shared" ca="1" si="81"/>
        <v>3.4028234663852886E+38</v>
      </c>
      <c r="L591" s="62">
        <f>VLOOKUP($B591,Overall!$B$5:$I$13,8)</f>
        <v>0</v>
      </c>
      <c r="M591" s="58"/>
      <c r="N591" s="3" t="str">
        <f t="shared" si="82"/>
        <v/>
      </c>
      <c r="O591" s="3" t="str">
        <f t="shared" si="83"/>
        <v/>
      </c>
      <c r="P591" s="3" t="str">
        <f t="shared" si="84"/>
        <v/>
      </c>
      <c r="Q591" s="3">
        <f t="shared" si="85"/>
        <v>0</v>
      </c>
      <c r="R591" s="3">
        <f t="shared" si="86"/>
        <v>0</v>
      </c>
      <c r="S591" s="3" t="e" cm="1">
        <f t="array" aca="1" ref="S591" ca="1">SUMPRODUCT(MID($P591,ROW(INDIRECT("1:23")),1)*2^(-ROW(INDIRECT("1:23"))))</f>
        <v>#VALUE!</v>
      </c>
      <c r="T591" s="3" t="e">
        <f t="shared" ca="1" si="87"/>
        <v>#VALUE!</v>
      </c>
      <c r="U591" s="3" t="e">
        <f t="shared" ca="1" si="88"/>
        <v>#VALUE!</v>
      </c>
      <c r="V591" s="73"/>
      <c r="W591" s="9" t="str">
        <f t="shared" si="89"/>
        <v>OK</v>
      </c>
    </row>
    <row r="592" spans="1:23" x14ac:dyDescent="0.3">
      <c r="A592" s="44">
        <v>589</v>
      </c>
      <c r="B592" s="14">
        <v>8</v>
      </c>
      <c r="C592" s="4">
        <v>27</v>
      </c>
      <c r="D592" s="3" t="str">
        <f>VLOOKUP($C592,Overall!$K$5:$T$36,2)</f>
        <v>Normal</v>
      </c>
      <c r="E592" s="3">
        <f ca="1">VLOOKUP($C592,Overall!$K$5:$T$36,10)</f>
        <v>-1</v>
      </c>
      <c r="F592" s="9" t="str">
        <f>VLOOKUP($C592,Overall!$K$5:$T$36,6)</f>
        <v>10111111100000000000000000000000</v>
      </c>
      <c r="G592" s="8">
        <v>7</v>
      </c>
      <c r="H592" s="3" t="str">
        <f>VLOOKUP($G592,Overall!$K$5:$T$36,2)</f>
        <v>Overflow</v>
      </c>
      <c r="I592" s="3">
        <f ca="1">VLOOKUP($G592,Overall!$K$5:$T$36,10)</f>
        <v>3.4028240748575767E+38</v>
      </c>
      <c r="J592" s="62" t="str">
        <f>VLOOKUP($G592,Overall!$K$5:$T$36,6)</f>
        <v>01111111100000000000000000000001</v>
      </c>
      <c r="K592" s="8">
        <f t="shared" ca="1" si="81"/>
        <v>-3.4028240748575767E+38</v>
      </c>
      <c r="L592" s="62">
        <f>VLOOKUP($B592,Overall!$B$5:$I$13,8)</f>
        <v>0</v>
      </c>
      <c r="M592" s="58"/>
      <c r="N592" s="3" t="str">
        <f t="shared" si="82"/>
        <v/>
      </c>
      <c r="O592" s="3" t="str">
        <f t="shared" si="83"/>
        <v/>
      </c>
      <c r="P592" s="3" t="str">
        <f t="shared" si="84"/>
        <v/>
      </c>
      <c r="Q592" s="3">
        <f t="shared" si="85"/>
        <v>0</v>
      </c>
      <c r="R592" s="3">
        <f t="shared" si="86"/>
        <v>0</v>
      </c>
      <c r="S592" s="3" t="e" cm="1">
        <f t="array" aca="1" ref="S592" ca="1">SUMPRODUCT(MID($P592,ROW(INDIRECT("1:23")),1)*2^(-ROW(INDIRECT("1:23"))))</f>
        <v>#VALUE!</v>
      </c>
      <c r="T592" s="3" t="e">
        <f t="shared" ca="1" si="87"/>
        <v>#VALUE!</v>
      </c>
      <c r="U592" s="3" t="e">
        <f t="shared" ca="1" si="88"/>
        <v>#VALUE!</v>
      </c>
      <c r="V592" s="73"/>
      <c r="W592" s="9" t="str">
        <f t="shared" si="89"/>
        <v>OK</v>
      </c>
    </row>
    <row r="593" spans="1:23" x14ac:dyDescent="0.3">
      <c r="A593" s="44">
        <v>590</v>
      </c>
      <c r="B593" s="14">
        <v>8</v>
      </c>
      <c r="C593" s="4">
        <v>27</v>
      </c>
      <c r="D593" s="3" t="str">
        <f>VLOOKUP($C593,Overall!$K$5:$T$36,2)</f>
        <v>Normal</v>
      </c>
      <c r="E593" s="3">
        <f ca="1">VLOOKUP($C593,Overall!$K$5:$T$36,10)</f>
        <v>-1</v>
      </c>
      <c r="F593" s="9" t="str">
        <f>VLOOKUP($C593,Overall!$K$5:$T$36,6)</f>
        <v>10111111100000000000000000000000</v>
      </c>
      <c r="G593" s="8">
        <v>8</v>
      </c>
      <c r="H593" s="3" t="str">
        <f>VLOOKUP($G593,Overall!$K$5:$T$36,2)</f>
        <v>Overflow</v>
      </c>
      <c r="I593" s="3">
        <f ca="1">VLOOKUP($G593,Overall!$K$5:$T$36,10)</f>
        <v>4.2535303978081149E+38</v>
      </c>
      <c r="J593" s="62" t="str">
        <f>VLOOKUP($G593,Overall!$K$5:$T$36,6)</f>
        <v>01111111101000000000000000000010</v>
      </c>
      <c r="K593" s="8">
        <f t="shared" ca="1" si="81"/>
        <v>-4.2535303978081149E+38</v>
      </c>
      <c r="L593" s="62">
        <f>VLOOKUP($B593,Overall!$B$5:$I$13,8)</f>
        <v>0</v>
      </c>
      <c r="M593" s="58"/>
      <c r="N593" s="3" t="str">
        <f t="shared" si="82"/>
        <v/>
      </c>
      <c r="O593" s="3" t="str">
        <f t="shared" si="83"/>
        <v/>
      </c>
      <c r="P593" s="3" t="str">
        <f t="shared" si="84"/>
        <v/>
      </c>
      <c r="Q593" s="3">
        <f t="shared" si="85"/>
        <v>0</v>
      </c>
      <c r="R593" s="3">
        <f t="shared" si="86"/>
        <v>0</v>
      </c>
      <c r="S593" s="3" t="e" cm="1">
        <f t="array" aca="1" ref="S593" ca="1">SUMPRODUCT(MID($P593,ROW(INDIRECT("1:23")),1)*2^(-ROW(INDIRECT("1:23"))))</f>
        <v>#VALUE!</v>
      </c>
      <c r="T593" s="3" t="e">
        <f t="shared" ca="1" si="87"/>
        <v>#VALUE!</v>
      </c>
      <c r="U593" s="3" t="e">
        <f t="shared" ca="1" si="88"/>
        <v>#VALUE!</v>
      </c>
      <c r="V593" s="73"/>
      <c r="W593" s="9" t="str">
        <f t="shared" si="89"/>
        <v>OK</v>
      </c>
    </row>
    <row r="594" spans="1:23" x14ac:dyDescent="0.3">
      <c r="A594" s="44">
        <v>591</v>
      </c>
      <c r="B594" s="14">
        <v>8</v>
      </c>
      <c r="C594" s="4">
        <v>27</v>
      </c>
      <c r="D594" s="3" t="str">
        <f>VLOOKUP($C594,Overall!$K$5:$T$36,2)</f>
        <v>Normal</v>
      </c>
      <c r="E594" s="3">
        <f ca="1">VLOOKUP($C594,Overall!$K$5:$T$36,10)</f>
        <v>-1</v>
      </c>
      <c r="F594" s="9" t="str">
        <f>VLOOKUP($C594,Overall!$K$5:$T$36,6)</f>
        <v>10111111100000000000000000000000</v>
      </c>
      <c r="G594" s="8">
        <v>9</v>
      </c>
      <c r="H594" s="3" t="str">
        <f>VLOOKUP($G594,Overall!$K$5:$T$36,2)</f>
        <v>Overflow</v>
      </c>
      <c r="I594" s="3">
        <f ca="1">VLOOKUP($G594,Overall!$K$5:$T$36,10)</f>
        <v>6.8056469327705772E+38</v>
      </c>
      <c r="J594" s="62" t="str">
        <f>VLOOKUP($G594,Overall!$K$5:$T$36,6)</f>
        <v>01111111111111111111111111111111</v>
      </c>
      <c r="K594" s="8">
        <f t="shared" ca="1" si="81"/>
        <v>-6.8056469327705772E+38</v>
      </c>
      <c r="L594" s="62">
        <f>VLOOKUP($B594,Overall!$B$5:$I$13,8)</f>
        <v>0</v>
      </c>
      <c r="M594" s="58"/>
      <c r="N594" s="3" t="str">
        <f t="shared" si="82"/>
        <v/>
      </c>
      <c r="O594" s="3" t="str">
        <f t="shared" si="83"/>
        <v/>
      </c>
      <c r="P594" s="3" t="str">
        <f t="shared" si="84"/>
        <v/>
      </c>
      <c r="Q594" s="3">
        <f t="shared" si="85"/>
        <v>0</v>
      </c>
      <c r="R594" s="3">
        <f t="shared" si="86"/>
        <v>0</v>
      </c>
      <c r="S594" s="3" t="e" cm="1">
        <f t="array" aca="1" ref="S594" ca="1">SUMPRODUCT(MID($P594,ROW(INDIRECT("1:23")),1)*2^(-ROW(INDIRECT("1:23"))))</f>
        <v>#VALUE!</v>
      </c>
      <c r="T594" s="3" t="e">
        <f t="shared" ca="1" si="87"/>
        <v>#VALUE!</v>
      </c>
      <c r="U594" s="3" t="e">
        <f t="shared" ca="1" si="88"/>
        <v>#VALUE!</v>
      </c>
      <c r="V594" s="73"/>
      <c r="W594" s="9" t="str">
        <f t="shared" si="89"/>
        <v>OK</v>
      </c>
    </row>
    <row r="595" spans="1:23" x14ac:dyDescent="0.3">
      <c r="A595" s="44">
        <v>592</v>
      </c>
      <c r="B595" s="14">
        <v>8</v>
      </c>
      <c r="C595" s="4">
        <v>27</v>
      </c>
      <c r="D595" s="3" t="str">
        <f>VLOOKUP($C595,Overall!$K$5:$T$36,2)</f>
        <v>Normal</v>
      </c>
      <c r="E595" s="3">
        <f ca="1">VLOOKUP($C595,Overall!$K$5:$T$36,10)</f>
        <v>-1</v>
      </c>
      <c r="F595" s="9" t="str">
        <f>VLOOKUP($C595,Overall!$K$5:$T$36,6)</f>
        <v>10111111100000000000000000000000</v>
      </c>
      <c r="G595" s="8">
        <v>10</v>
      </c>
      <c r="H595" s="3" t="str">
        <f>VLOOKUP($G595,Overall!$K$5:$T$36,2)</f>
        <v>Overflow</v>
      </c>
      <c r="I595" s="3">
        <f ca="1">VLOOKUP($G595,Overall!$K$5:$T$36,10)</f>
        <v>-3.4028240748575767E+38</v>
      </c>
      <c r="J595" s="62" t="str">
        <f>VLOOKUP($G595,Overall!$K$5:$T$36,6)</f>
        <v>11111111100000000000000000000001</v>
      </c>
      <c r="K595" s="8">
        <f t="shared" ca="1" si="81"/>
        <v>3.4028240748575767E+38</v>
      </c>
      <c r="L595" s="62">
        <f>VLOOKUP($B595,Overall!$B$5:$I$13,8)</f>
        <v>0</v>
      </c>
      <c r="M595" s="58"/>
      <c r="N595" s="3" t="str">
        <f t="shared" si="82"/>
        <v/>
      </c>
      <c r="O595" s="3" t="str">
        <f t="shared" si="83"/>
        <v/>
      </c>
      <c r="P595" s="3" t="str">
        <f t="shared" si="84"/>
        <v/>
      </c>
      <c r="Q595" s="3">
        <f t="shared" si="85"/>
        <v>0</v>
      </c>
      <c r="R595" s="3">
        <f t="shared" si="86"/>
        <v>0</v>
      </c>
      <c r="S595" s="3" t="e" cm="1">
        <f t="array" aca="1" ref="S595" ca="1">SUMPRODUCT(MID($P595,ROW(INDIRECT("1:23")),1)*2^(-ROW(INDIRECT("1:23"))))</f>
        <v>#VALUE!</v>
      </c>
      <c r="T595" s="3" t="e">
        <f t="shared" ca="1" si="87"/>
        <v>#VALUE!</v>
      </c>
      <c r="U595" s="3" t="e">
        <f t="shared" ca="1" si="88"/>
        <v>#VALUE!</v>
      </c>
      <c r="V595" s="73"/>
      <c r="W595" s="9" t="str">
        <f t="shared" si="89"/>
        <v>OK</v>
      </c>
    </row>
    <row r="596" spans="1:23" x14ac:dyDescent="0.3">
      <c r="A596" s="44">
        <v>593</v>
      </c>
      <c r="B596" s="14">
        <v>8</v>
      </c>
      <c r="C596" s="4">
        <v>27</v>
      </c>
      <c r="D596" s="3" t="str">
        <f>VLOOKUP($C596,Overall!$K$5:$T$36,2)</f>
        <v>Normal</v>
      </c>
      <c r="E596" s="3">
        <f ca="1">VLOOKUP($C596,Overall!$K$5:$T$36,10)</f>
        <v>-1</v>
      </c>
      <c r="F596" s="9" t="str">
        <f>VLOOKUP($C596,Overall!$K$5:$T$36,6)</f>
        <v>10111111100000000000000000000000</v>
      </c>
      <c r="G596" s="8">
        <v>11</v>
      </c>
      <c r="H596" s="3" t="str">
        <f>VLOOKUP($G596,Overall!$K$5:$T$36,2)</f>
        <v>Overflow</v>
      </c>
      <c r="I596" s="3">
        <f ca="1">VLOOKUP($G596,Overall!$K$5:$T$36,10)</f>
        <v>-4.2535303978081149E+38</v>
      </c>
      <c r="J596" s="62" t="str">
        <f>VLOOKUP($G596,Overall!$K$5:$T$36,6)</f>
        <v>11111111101000000000000000000010</v>
      </c>
      <c r="K596" s="8">
        <f t="shared" ca="1" si="81"/>
        <v>4.2535303978081149E+38</v>
      </c>
      <c r="L596" s="62">
        <f>VLOOKUP($B596,Overall!$B$5:$I$13,8)</f>
        <v>0</v>
      </c>
      <c r="M596" s="58"/>
      <c r="N596" s="3" t="str">
        <f t="shared" si="82"/>
        <v/>
      </c>
      <c r="O596" s="3" t="str">
        <f t="shared" si="83"/>
        <v/>
      </c>
      <c r="P596" s="3" t="str">
        <f t="shared" si="84"/>
        <v/>
      </c>
      <c r="Q596" s="3">
        <f t="shared" si="85"/>
        <v>0</v>
      </c>
      <c r="R596" s="3">
        <f t="shared" si="86"/>
        <v>0</v>
      </c>
      <c r="S596" s="3" t="e" cm="1">
        <f t="array" aca="1" ref="S596" ca="1">SUMPRODUCT(MID($P596,ROW(INDIRECT("1:23")),1)*2^(-ROW(INDIRECT("1:23"))))</f>
        <v>#VALUE!</v>
      </c>
      <c r="T596" s="3" t="e">
        <f t="shared" ca="1" si="87"/>
        <v>#VALUE!</v>
      </c>
      <c r="U596" s="3" t="e">
        <f t="shared" ca="1" si="88"/>
        <v>#VALUE!</v>
      </c>
      <c r="V596" s="73"/>
      <c r="W596" s="9" t="str">
        <f t="shared" si="89"/>
        <v>OK</v>
      </c>
    </row>
    <row r="597" spans="1:23" x14ac:dyDescent="0.3">
      <c r="A597" s="44">
        <v>594</v>
      </c>
      <c r="B597" s="14">
        <v>8</v>
      </c>
      <c r="C597" s="4">
        <v>27</v>
      </c>
      <c r="D597" s="3" t="str">
        <f>VLOOKUP($C597,Overall!$K$5:$T$36,2)</f>
        <v>Normal</v>
      </c>
      <c r="E597" s="3">
        <f ca="1">VLOOKUP($C597,Overall!$K$5:$T$36,10)</f>
        <v>-1</v>
      </c>
      <c r="F597" s="9" t="str">
        <f>VLOOKUP($C597,Overall!$K$5:$T$36,6)</f>
        <v>10111111100000000000000000000000</v>
      </c>
      <c r="G597" s="8">
        <v>12</v>
      </c>
      <c r="H597" s="3" t="str">
        <f>VLOOKUP($G597,Overall!$K$5:$T$36,2)</f>
        <v>Overflow</v>
      </c>
      <c r="I597" s="3">
        <f ca="1">VLOOKUP($G597,Overall!$K$5:$T$36,10)</f>
        <v>-6.8056469327705772E+38</v>
      </c>
      <c r="J597" s="62" t="str">
        <f>VLOOKUP($G597,Overall!$K$5:$T$36,6)</f>
        <v>11111111111111111111111111111111</v>
      </c>
      <c r="K597" s="8">
        <f t="shared" ca="1" si="81"/>
        <v>6.8056469327705772E+38</v>
      </c>
      <c r="L597" s="62">
        <f>VLOOKUP($B597,Overall!$B$5:$I$13,8)</f>
        <v>0</v>
      </c>
      <c r="M597" s="58"/>
      <c r="N597" s="3" t="str">
        <f t="shared" si="82"/>
        <v/>
      </c>
      <c r="O597" s="3" t="str">
        <f t="shared" si="83"/>
        <v/>
      </c>
      <c r="P597" s="3" t="str">
        <f t="shared" si="84"/>
        <v/>
      </c>
      <c r="Q597" s="3">
        <f t="shared" si="85"/>
        <v>0</v>
      </c>
      <c r="R597" s="3">
        <f t="shared" si="86"/>
        <v>0</v>
      </c>
      <c r="S597" s="3" t="e" cm="1">
        <f t="array" aca="1" ref="S597" ca="1">SUMPRODUCT(MID($P597,ROW(INDIRECT("1:23")),1)*2^(-ROW(INDIRECT("1:23"))))</f>
        <v>#VALUE!</v>
      </c>
      <c r="T597" s="3" t="e">
        <f t="shared" ca="1" si="87"/>
        <v>#VALUE!</v>
      </c>
      <c r="U597" s="3" t="e">
        <f t="shared" ca="1" si="88"/>
        <v>#VALUE!</v>
      </c>
      <c r="V597" s="73"/>
      <c r="W597" s="9" t="str">
        <f t="shared" si="89"/>
        <v>OK</v>
      </c>
    </row>
    <row r="598" spans="1:23" x14ac:dyDescent="0.3">
      <c r="A598" s="44">
        <v>595</v>
      </c>
      <c r="B598" s="14">
        <v>8</v>
      </c>
      <c r="C598" s="4">
        <v>28</v>
      </c>
      <c r="D598" s="3" t="str">
        <f>VLOOKUP($C598,Overall!$K$5:$T$36,2)</f>
        <v>Normal</v>
      </c>
      <c r="E598" s="3">
        <f ca="1">VLOOKUP($C598,Overall!$K$5:$T$36,10)</f>
        <v>-1.5</v>
      </c>
      <c r="F598" s="9" t="str">
        <f>VLOOKUP($C598,Overall!$K$5:$T$36,6)</f>
        <v>10111111110000000000000000000000</v>
      </c>
      <c r="G598" s="8">
        <v>7</v>
      </c>
      <c r="H598" s="3" t="str">
        <f>VLOOKUP($G598,Overall!$K$5:$T$36,2)</f>
        <v>Overflow</v>
      </c>
      <c r="I598" s="3">
        <f ca="1">VLOOKUP($G598,Overall!$K$5:$T$36,10)</f>
        <v>3.4028240748575767E+38</v>
      </c>
      <c r="J598" s="62" t="str">
        <f>VLOOKUP($G598,Overall!$K$5:$T$36,6)</f>
        <v>01111111100000000000000000000001</v>
      </c>
      <c r="K598" s="8">
        <f t="shared" ca="1" si="81"/>
        <v>-5.1042361122863651E+38</v>
      </c>
      <c r="L598" s="62">
        <f>VLOOKUP($B598,Overall!$B$5:$I$13,8)</f>
        <v>0</v>
      </c>
      <c r="M598" s="58"/>
      <c r="N598" s="3" t="str">
        <f t="shared" si="82"/>
        <v/>
      </c>
      <c r="O598" s="3" t="str">
        <f t="shared" si="83"/>
        <v/>
      </c>
      <c r="P598" s="3" t="str">
        <f t="shared" si="84"/>
        <v/>
      </c>
      <c r="Q598" s="3">
        <f t="shared" si="85"/>
        <v>0</v>
      </c>
      <c r="R598" s="3">
        <f t="shared" si="86"/>
        <v>0</v>
      </c>
      <c r="S598" s="3" t="e" cm="1">
        <f t="array" aca="1" ref="S598" ca="1">SUMPRODUCT(MID($P598,ROW(INDIRECT("1:23")),1)*2^(-ROW(INDIRECT("1:23"))))</f>
        <v>#VALUE!</v>
      </c>
      <c r="T598" s="3" t="e">
        <f t="shared" ca="1" si="87"/>
        <v>#VALUE!</v>
      </c>
      <c r="U598" s="3" t="e">
        <f t="shared" ca="1" si="88"/>
        <v>#VALUE!</v>
      </c>
      <c r="V598" s="73"/>
      <c r="W598" s="9" t="str">
        <f t="shared" si="89"/>
        <v>OK</v>
      </c>
    </row>
    <row r="599" spans="1:23" x14ac:dyDescent="0.3">
      <c r="A599" s="44">
        <v>596</v>
      </c>
      <c r="B599" s="14">
        <v>8</v>
      </c>
      <c r="C599" s="4">
        <v>28</v>
      </c>
      <c r="D599" s="3" t="str">
        <f>VLOOKUP($C599,Overall!$K$5:$T$36,2)</f>
        <v>Normal</v>
      </c>
      <c r="E599" s="3">
        <f ca="1">VLOOKUP($C599,Overall!$K$5:$T$36,10)</f>
        <v>-1.5</v>
      </c>
      <c r="F599" s="9" t="str">
        <f>VLOOKUP($C599,Overall!$K$5:$T$36,6)</f>
        <v>10111111110000000000000000000000</v>
      </c>
      <c r="G599" s="8">
        <v>8</v>
      </c>
      <c r="H599" s="3" t="str">
        <f>VLOOKUP($G599,Overall!$K$5:$T$36,2)</f>
        <v>Overflow</v>
      </c>
      <c r="I599" s="3">
        <f ca="1">VLOOKUP($G599,Overall!$K$5:$T$36,10)</f>
        <v>4.2535303978081149E+38</v>
      </c>
      <c r="J599" s="62" t="str">
        <f>VLOOKUP($G599,Overall!$K$5:$T$36,6)</f>
        <v>01111111101000000000000000000010</v>
      </c>
      <c r="K599" s="8">
        <f t="shared" ca="1" si="81"/>
        <v>-6.3802955967121724E+38</v>
      </c>
      <c r="L599" s="62">
        <f>VLOOKUP($B599,Overall!$B$5:$I$13,8)</f>
        <v>0</v>
      </c>
      <c r="M599" s="58"/>
      <c r="N599" s="3" t="str">
        <f t="shared" si="82"/>
        <v/>
      </c>
      <c r="O599" s="3" t="str">
        <f t="shared" si="83"/>
        <v/>
      </c>
      <c r="P599" s="3" t="str">
        <f t="shared" si="84"/>
        <v/>
      </c>
      <c r="Q599" s="3">
        <f t="shared" si="85"/>
        <v>0</v>
      </c>
      <c r="R599" s="3">
        <f t="shared" si="86"/>
        <v>0</v>
      </c>
      <c r="S599" s="3" t="e" cm="1">
        <f t="array" aca="1" ref="S599" ca="1">SUMPRODUCT(MID($P599,ROW(INDIRECT("1:23")),1)*2^(-ROW(INDIRECT("1:23"))))</f>
        <v>#VALUE!</v>
      </c>
      <c r="T599" s="3" t="e">
        <f t="shared" ca="1" si="87"/>
        <v>#VALUE!</v>
      </c>
      <c r="U599" s="3" t="e">
        <f t="shared" ca="1" si="88"/>
        <v>#VALUE!</v>
      </c>
      <c r="V599" s="73"/>
      <c r="W599" s="9" t="str">
        <f t="shared" si="89"/>
        <v>OK</v>
      </c>
    </row>
    <row r="600" spans="1:23" x14ac:dyDescent="0.3">
      <c r="A600" s="44">
        <v>597</v>
      </c>
      <c r="B600" s="14">
        <v>8</v>
      </c>
      <c r="C600" s="4">
        <v>28</v>
      </c>
      <c r="D600" s="3" t="str">
        <f>VLOOKUP($C600,Overall!$K$5:$T$36,2)</f>
        <v>Normal</v>
      </c>
      <c r="E600" s="3">
        <f ca="1">VLOOKUP($C600,Overall!$K$5:$T$36,10)</f>
        <v>-1.5</v>
      </c>
      <c r="F600" s="9" t="str">
        <f>VLOOKUP($C600,Overall!$K$5:$T$36,6)</f>
        <v>10111111110000000000000000000000</v>
      </c>
      <c r="G600" s="8">
        <v>9</v>
      </c>
      <c r="H600" s="3" t="str">
        <f>VLOOKUP($G600,Overall!$K$5:$T$36,2)</f>
        <v>Overflow</v>
      </c>
      <c r="I600" s="3">
        <f ca="1">VLOOKUP($G600,Overall!$K$5:$T$36,10)</f>
        <v>6.8056469327705772E+38</v>
      </c>
      <c r="J600" s="62" t="str">
        <f>VLOOKUP($G600,Overall!$K$5:$T$36,6)</f>
        <v>01111111111111111111111111111111</v>
      </c>
      <c r="K600" s="8">
        <f t="shared" ca="1" si="81"/>
        <v>-1.0208470399155866E+39</v>
      </c>
      <c r="L600" s="62">
        <f>VLOOKUP($B600,Overall!$B$5:$I$13,8)</f>
        <v>0</v>
      </c>
      <c r="M600" s="58"/>
      <c r="N600" s="3" t="str">
        <f t="shared" si="82"/>
        <v/>
      </c>
      <c r="O600" s="3" t="str">
        <f t="shared" si="83"/>
        <v/>
      </c>
      <c r="P600" s="3" t="str">
        <f t="shared" si="84"/>
        <v/>
      </c>
      <c r="Q600" s="3">
        <f t="shared" si="85"/>
        <v>0</v>
      </c>
      <c r="R600" s="3">
        <f t="shared" si="86"/>
        <v>0</v>
      </c>
      <c r="S600" s="3" t="e" cm="1">
        <f t="array" aca="1" ref="S600" ca="1">SUMPRODUCT(MID($P600,ROW(INDIRECT("1:23")),1)*2^(-ROW(INDIRECT("1:23"))))</f>
        <v>#VALUE!</v>
      </c>
      <c r="T600" s="3" t="e">
        <f t="shared" ca="1" si="87"/>
        <v>#VALUE!</v>
      </c>
      <c r="U600" s="3" t="e">
        <f t="shared" ca="1" si="88"/>
        <v>#VALUE!</v>
      </c>
      <c r="V600" s="73"/>
      <c r="W600" s="9" t="str">
        <f t="shared" si="89"/>
        <v>OK</v>
      </c>
    </row>
    <row r="601" spans="1:23" x14ac:dyDescent="0.3">
      <c r="A601" s="44">
        <v>598</v>
      </c>
      <c r="B601" s="14">
        <v>8</v>
      </c>
      <c r="C601" s="4">
        <v>28</v>
      </c>
      <c r="D601" s="3" t="str">
        <f>VLOOKUP($C601,Overall!$K$5:$T$36,2)</f>
        <v>Normal</v>
      </c>
      <c r="E601" s="3">
        <f ca="1">VLOOKUP($C601,Overall!$K$5:$T$36,10)</f>
        <v>-1.5</v>
      </c>
      <c r="F601" s="9" t="str">
        <f>VLOOKUP($C601,Overall!$K$5:$T$36,6)</f>
        <v>10111111110000000000000000000000</v>
      </c>
      <c r="G601" s="8">
        <v>10</v>
      </c>
      <c r="H601" s="3" t="str">
        <f>VLOOKUP($G601,Overall!$K$5:$T$36,2)</f>
        <v>Overflow</v>
      </c>
      <c r="I601" s="3">
        <f ca="1">VLOOKUP($G601,Overall!$K$5:$T$36,10)</f>
        <v>-3.4028240748575767E+38</v>
      </c>
      <c r="J601" s="62" t="str">
        <f>VLOOKUP($G601,Overall!$K$5:$T$36,6)</f>
        <v>11111111100000000000000000000001</v>
      </c>
      <c r="K601" s="8">
        <f t="shared" ca="1" si="81"/>
        <v>5.1042361122863651E+38</v>
      </c>
      <c r="L601" s="62">
        <f>VLOOKUP($B601,Overall!$B$5:$I$13,8)</f>
        <v>0</v>
      </c>
      <c r="M601" s="58"/>
      <c r="N601" s="3" t="str">
        <f t="shared" si="82"/>
        <v/>
      </c>
      <c r="O601" s="3" t="str">
        <f t="shared" si="83"/>
        <v/>
      </c>
      <c r="P601" s="3" t="str">
        <f t="shared" si="84"/>
        <v/>
      </c>
      <c r="Q601" s="3">
        <f t="shared" si="85"/>
        <v>0</v>
      </c>
      <c r="R601" s="3">
        <f t="shared" si="86"/>
        <v>0</v>
      </c>
      <c r="S601" s="3" t="e" cm="1">
        <f t="array" aca="1" ref="S601" ca="1">SUMPRODUCT(MID($P601,ROW(INDIRECT("1:23")),1)*2^(-ROW(INDIRECT("1:23"))))</f>
        <v>#VALUE!</v>
      </c>
      <c r="T601" s="3" t="e">
        <f t="shared" ca="1" si="87"/>
        <v>#VALUE!</v>
      </c>
      <c r="U601" s="3" t="e">
        <f t="shared" ca="1" si="88"/>
        <v>#VALUE!</v>
      </c>
      <c r="V601" s="73"/>
      <c r="W601" s="9" t="str">
        <f t="shared" si="89"/>
        <v>OK</v>
      </c>
    </row>
    <row r="602" spans="1:23" x14ac:dyDescent="0.3">
      <c r="A602" s="44">
        <v>599</v>
      </c>
      <c r="B602" s="14">
        <v>8</v>
      </c>
      <c r="C602" s="4">
        <v>28</v>
      </c>
      <c r="D602" s="3" t="str">
        <f>VLOOKUP($C602,Overall!$K$5:$T$36,2)</f>
        <v>Normal</v>
      </c>
      <c r="E602" s="3">
        <f ca="1">VLOOKUP($C602,Overall!$K$5:$T$36,10)</f>
        <v>-1.5</v>
      </c>
      <c r="F602" s="9" t="str">
        <f>VLOOKUP($C602,Overall!$K$5:$T$36,6)</f>
        <v>10111111110000000000000000000000</v>
      </c>
      <c r="G602" s="8">
        <v>11</v>
      </c>
      <c r="H602" s="3" t="str">
        <f>VLOOKUP($G602,Overall!$K$5:$T$36,2)</f>
        <v>Overflow</v>
      </c>
      <c r="I602" s="3">
        <f ca="1">VLOOKUP($G602,Overall!$K$5:$T$36,10)</f>
        <v>-4.2535303978081149E+38</v>
      </c>
      <c r="J602" s="62" t="str">
        <f>VLOOKUP($G602,Overall!$K$5:$T$36,6)</f>
        <v>11111111101000000000000000000010</v>
      </c>
      <c r="K602" s="8">
        <f t="shared" ca="1" si="81"/>
        <v>6.3802955967121724E+38</v>
      </c>
      <c r="L602" s="62">
        <f>VLOOKUP($B602,Overall!$B$5:$I$13,8)</f>
        <v>0</v>
      </c>
      <c r="M602" s="58"/>
      <c r="N602" s="3" t="str">
        <f t="shared" si="82"/>
        <v/>
      </c>
      <c r="O602" s="3" t="str">
        <f t="shared" si="83"/>
        <v/>
      </c>
      <c r="P602" s="3" t="str">
        <f t="shared" si="84"/>
        <v/>
      </c>
      <c r="Q602" s="3">
        <f t="shared" si="85"/>
        <v>0</v>
      </c>
      <c r="R602" s="3">
        <f t="shared" si="86"/>
        <v>0</v>
      </c>
      <c r="S602" s="3" t="e" cm="1">
        <f t="array" aca="1" ref="S602" ca="1">SUMPRODUCT(MID($P602,ROW(INDIRECT("1:23")),1)*2^(-ROW(INDIRECT("1:23"))))</f>
        <v>#VALUE!</v>
      </c>
      <c r="T602" s="3" t="e">
        <f t="shared" ca="1" si="87"/>
        <v>#VALUE!</v>
      </c>
      <c r="U602" s="3" t="e">
        <f t="shared" ca="1" si="88"/>
        <v>#VALUE!</v>
      </c>
      <c r="V602" s="73"/>
      <c r="W602" s="9" t="str">
        <f t="shared" si="89"/>
        <v>OK</v>
      </c>
    </row>
    <row r="603" spans="1:23" x14ac:dyDescent="0.3">
      <c r="A603" s="44">
        <v>600</v>
      </c>
      <c r="B603" s="14">
        <v>8</v>
      </c>
      <c r="C603" s="4">
        <v>28</v>
      </c>
      <c r="D603" s="3" t="str">
        <f>VLOOKUP($C603,Overall!$K$5:$T$36,2)</f>
        <v>Normal</v>
      </c>
      <c r="E603" s="3">
        <f ca="1">VLOOKUP($C603,Overall!$K$5:$T$36,10)</f>
        <v>-1.5</v>
      </c>
      <c r="F603" s="9" t="str">
        <f>VLOOKUP($C603,Overall!$K$5:$T$36,6)</f>
        <v>10111111110000000000000000000000</v>
      </c>
      <c r="G603" s="8">
        <v>12</v>
      </c>
      <c r="H603" s="3" t="str">
        <f>VLOOKUP($G603,Overall!$K$5:$T$36,2)</f>
        <v>Overflow</v>
      </c>
      <c r="I603" s="3">
        <f ca="1">VLOOKUP($G603,Overall!$K$5:$T$36,10)</f>
        <v>-6.8056469327705772E+38</v>
      </c>
      <c r="J603" s="62" t="str">
        <f>VLOOKUP($G603,Overall!$K$5:$T$36,6)</f>
        <v>11111111111111111111111111111111</v>
      </c>
      <c r="K603" s="8">
        <f t="shared" ca="1" si="81"/>
        <v>1.0208470399155866E+39</v>
      </c>
      <c r="L603" s="62">
        <f>VLOOKUP($B603,Overall!$B$5:$I$13,8)</f>
        <v>0</v>
      </c>
      <c r="M603" s="58"/>
      <c r="N603" s="3" t="str">
        <f t="shared" si="82"/>
        <v/>
      </c>
      <c r="O603" s="3" t="str">
        <f t="shared" si="83"/>
        <v/>
      </c>
      <c r="P603" s="3" t="str">
        <f t="shared" si="84"/>
        <v/>
      </c>
      <c r="Q603" s="3">
        <f t="shared" si="85"/>
        <v>0</v>
      </c>
      <c r="R603" s="3">
        <f t="shared" si="86"/>
        <v>0</v>
      </c>
      <c r="S603" s="3" t="e" cm="1">
        <f t="array" aca="1" ref="S603" ca="1">SUMPRODUCT(MID($P603,ROW(INDIRECT("1:23")),1)*2^(-ROW(INDIRECT("1:23"))))</f>
        <v>#VALUE!</v>
      </c>
      <c r="T603" s="3" t="e">
        <f t="shared" ca="1" si="87"/>
        <v>#VALUE!</v>
      </c>
      <c r="U603" s="3" t="e">
        <f t="shared" ca="1" si="88"/>
        <v>#VALUE!</v>
      </c>
      <c r="V603" s="73"/>
      <c r="W603" s="9" t="str">
        <f t="shared" si="89"/>
        <v>OK</v>
      </c>
    </row>
    <row r="604" spans="1:23" x14ac:dyDescent="0.3">
      <c r="A604" s="44">
        <v>601</v>
      </c>
      <c r="B604" s="14">
        <v>8</v>
      </c>
      <c r="C604" s="4">
        <v>29</v>
      </c>
      <c r="D604" s="3" t="str">
        <f>VLOOKUP($C604,Overall!$K$5:$T$36,2)</f>
        <v>Normal</v>
      </c>
      <c r="E604" s="3">
        <f ca="1">VLOOKUP($C604,Overall!$K$5:$T$36,10)</f>
        <v>-12345.6787109375</v>
      </c>
      <c r="F604" s="9" t="str">
        <f>VLOOKUP($C604,Overall!$K$5:$T$36,6)</f>
        <v>101000110010000001110011010110111</v>
      </c>
      <c r="G604" s="8">
        <v>7</v>
      </c>
      <c r="H604" s="3" t="str">
        <f>VLOOKUP($G604,Overall!$K$5:$T$36,2)</f>
        <v>Overflow</v>
      </c>
      <c r="I604" s="3">
        <f ca="1">VLOOKUP($G604,Overall!$K$5:$T$36,10)</f>
        <v>3.4028240748575767E+38</v>
      </c>
      <c r="J604" s="62" t="str">
        <f>VLOOKUP($G604,Overall!$K$5:$T$36,6)</f>
        <v>01111111100000000000000000000001</v>
      </c>
      <c r="K604" s="8">
        <f t="shared" ca="1" si="81"/>
        <v>-4.2010172738034779E+42</v>
      </c>
      <c r="L604" s="62">
        <f>VLOOKUP($B604,Overall!$B$5:$I$13,8)</f>
        <v>0</v>
      </c>
      <c r="M604" s="58"/>
      <c r="N604" s="3" t="str">
        <f t="shared" si="82"/>
        <v/>
      </c>
      <c r="O604" s="3" t="str">
        <f t="shared" si="83"/>
        <v/>
      </c>
      <c r="P604" s="3" t="str">
        <f t="shared" si="84"/>
        <v/>
      </c>
      <c r="Q604" s="3">
        <f t="shared" si="85"/>
        <v>0</v>
      </c>
      <c r="R604" s="3">
        <f t="shared" si="86"/>
        <v>0</v>
      </c>
      <c r="S604" s="3" t="e" cm="1">
        <f t="array" aca="1" ref="S604" ca="1">SUMPRODUCT(MID($P604,ROW(INDIRECT("1:23")),1)*2^(-ROW(INDIRECT("1:23"))))</f>
        <v>#VALUE!</v>
      </c>
      <c r="T604" s="3" t="e">
        <f t="shared" ca="1" si="87"/>
        <v>#VALUE!</v>
      </c>
      <c r="U604" s="3" t="e">
        <f t="shared" ca="1" si="88"/>
        <v>#VALUE!</v>
      </c>
      <c r="V604" s="73"/>
      <c r="W604" s="9" t="str">
        <f t="shared" si="89"/>
        <v>OK</v>
      </c>
    </row>
    <row r="605" spans="1:23" x14ac:dyDescent="0.3">
      <c r="A605" s="44">
        <v>602</v>
      </c>
      <c r="B605" s="14">
        <v>8</v>
      </c>
      <c r="C605" s="4">
        <v>29</v>
      </c>
      <c r="D605" s="3" t="str">
        <f>VLOOKUP($C605,Overall!$K$5:$T$36,2)</f>
        <v>Normal</v>
      </c>
      <c r="E605" s="3">
        <f ca="1">VLOOKUP($C605,Overall!$K$5:$T$36,10)</f>
        <v>-12345.6787109375</v>
      </c>
      <c r="F605" s="9" t="str">
        <f>VLOOKUP($C605,Overall!$K$5:$T$36,6)</f>
        <v>101000110010000001110011010110111</v>
      </c>
      <c r="G605" s="8">
        <v>8</v>
      </c>
      <c r="H605" s="3" t="str">
        <f>VLOOKUP($G605,Overall!$K$5:$T$36,2)</f>
        <v>Overflow</v>
      </c>
      <c r="I605" s="3">
        <f ca="1">VLOOKUP($G605,Overall!$K$5:$T$36,10)</f>
        <v>4.2535303978081149E+38</v>
      </c>
      <c r="J605" s="62" t="str">
        <f>VLOOKUP($G605,Overall!$K$5:$T$36,6)</f>
        <v>01111111101000000000000000000010</v>
      </c>
      <c r="K605" s="8">
        <f t="shared" ca="1" si="81"/>
        <v>-5.251271967854516E+42</v>
      </c>
      <c r="L605" s="62">
        <f>VLOOKUP($B605,Overall!$B$5:$I$13,8)</f>
        <v>0</v>
      </c>
      <c r="M605" s="58"/>
      <c r="N605" s="3" t="str">
        <f t="shared" si="82"/>
        <v/>
      </c>
      <c r="O605" s="3" t="str">
        <f t="shared" si="83"/>
        <v/>
      </c>
      <c r="P605" s="3" t="str">
        <f t="shared" si="84"/>
        <v/>
      </c>
      <c r="Q605" s="3">
        <f t="shared" si="85"/>
        <v>0</v>
      </c>
      <c r="R605" s="3">
        <f t="shared" si="86"/>
        <v>0</v>
      </c>
      <c r="S605" s="3" t="e" cm="1">
        <f t="array" aca="1" ref="S605" ca="1">SUMPRODUCT(MID($P605,ROW(INDIRECT("1:23")),1)*2^(-ROW(INDIRECT("1:23"))))</f>
        <v>#VALUE!</v>
      </c>
      <c r="T605" s="3" t="e">
        <f t="shared" ca="1" si="87"/>
        <v>#VALUE!</v>
      </c>
      <c r="U605" s="3" t="e">
        <f t="shared" ca="1" si="88"/>
        <v>#VALUE!</v>
      </c>
      <c r="V605" s="73"/>
      <c r="W605" s="9" t="str">
        <f t="shared" si="89"/>
        <v>OK</v>
      </c>
    </row>
    <row r="606" spans="1:23" x14ac:dyDescent="0.3">
      <c r="A606" s="44">
        <v>603</v>
      </c>
      <c r="B606" s="14">
        <v>8</v>
      </c>
      <c r="C606" s="4">
        <v>29</v>
      </c>
      <c r="D606" s="3" t="str">
        <f>VLOOKUP($C606,Overall!$K$5:$T$36,2)</f>
        <v>Normal</v>
      </c>
      <c r="E606" s="3">
        <f ca="1">VLOOKUP($C606,Overall!$K$5:$T$36,10)</f>
        <v>-12345.6787109375</v>
      </c>
      <c r="F606" s="9" t="str">
        <f>VLOOKUP($C606,Overall!$K$5:$T$36,6)</f>
        <v>101000110010000001110011010110111</v>
      </c>
      <c r="G606" s="8">
        <v>9</v>
      </c>
      <c r="H606" s="3" t="str">
        <f>VLOOKUP($G606,Overall!$K$5:$T$36,2)</f>
        <v>Overflow</v>
      </c>
      <c r="I606" s="3">
        <f ca="1">VLOOKUP($G606,Overall!$K$5:$T$36,10)</f>
        <v>6.8056469327705772E+38</v>
      </c>
      <c r="J606" s="62" t="str">
        <f>VLOOKUP($G606,Overall!$K$5:$T$36,6)</f>
        <v>01111111111111111111111111111111</v>
      </c>
      <c r="K606" s="8">
        <f t="shared" ca="1" si="81"/>
        <v>-8.402033045206281E+42</v>
      </c>
      <c r="L606" s="62">
        <f>VLOOKUP($B606,Overall!$B$5:$I$13,8)</f>
        <v>0</v>
      </c>
      <c r="M606" s="58"/>
      <c r="N606" s="3" t="str">
        <f t="shared" si="82"/>
        <v/>
      </c>
      <c r="O606" s="3" t="str">
        <f t="shared" si="83"/>
        <v/>
      </c>
      <c r="P606" s="3" t="str">
        <f t="shared" si="84"/>
        <v/>
      </c>
      <c r="Q606" s="3">
        <f t="shared" si="85"/>
        <v>0</v>
      </c>
      <c r="R606" s="3">
        <f t="shared" si="86"/>
        <v>0</v>
      </c>
      <c r="S606" s="3" t="e" cm="1">
        <f t="array" aca="1" ref="S606" ca="1">SUMPRODUCT(MID($P606,ROW(INDIRECT("1:23")),1)*2^(-ROW(INDIRECT("1:23"))))</f>
        <v>#VALUE!</v>
      </c>
      <c r="T606" s="3" t="e">
        <f t="shared" ca="1" si="87"/>
        <v>#VALUE!</v>
      </c>
      <c r="U606" s="3" t="e">
        <f t="shared" ca="1" si="88"/>
        <v>#VALUE!</v>
      </c>
      <c r="V606" s="73"/>
      <c r="W606" s="9" t="str">
        <f t="shared" si="89"/>
        <v>OK</v>
      </c>
    </row>
    <row r="607" spans="1:23" x14ac:dyDescent="0.3">
      <c r="A607" s="44">
        <v>604</v>
      </c>
      <c r="B607" s="14">
        <v>8</v>
      </c>
      <c r="C607" s="4">
        <v>29</v>
      </c>
      <c r="D607" s="3" t="str">
        <f>VLOOKUP($C607,Overall!$K$5:$T$36,2)</f>
        <v>Normal</v>
      </c>
      <c r="E607" s="3">
        <f ca="1">VLOOKUP($C607,Overall!$K$5:$T$36,10)</f>
        <v>-12345.6787109375</v>
      </c>
      <c r="F607" s="9" t="str">
        <f>VLOOKUP($C607,Overall!$K$5:$T$36,6)</f>
        <v>101000110010000001110011010110111</v>
      </c>
      <c r="G607" s="8">
        <v>10</v>
      </c>
      <c r="H607" s="3" t="str">
        <f>VLOOKUP($G607,Overall!$K$5:$T$36,2)</f>
        <v>Overflow</v>
      </c>
      <c r="I607" s="3">
        <f ca="1">VLOOKUP($G607,Overall!$K$5:$T$36,10)</f>
        <v>-3.4028240748575767E+38</v>
      </c>
      <c r="J607" s="62" t="str">
        <f>VLOOKUP($G607,Overall!$K$5:$T$36,6)</f>
        <v>11111111100000000000000000000001</v>
      </c>
      <c r="K607" s="8">
        <f t="shared" ca="1" si="81"/>
        <v>4.2010172738034779E+42</v>
      </c>
      <c r="L607" s="62">
        <f>VLOOKUP($B607,Overall!$B$5:$I$13,8)</f>
        <v>0</v>
      </c>
      <c r="M607" s="58"/>
      <c r="N607" s="3" t="str">
        <f t="shared" si="82"/>
        <v/>
      </c>
      <c r="O607" s="3" t="str">
        <f t="shared" si="83"/>
        <v/>
      </c>
      <c r="P607" s="3" t="str">
        <f t="shared" si="84"/>
        <v/>
      </c>
      <c r="Q607" s="3">
        <f t="shared" si="85"/>
        <v>0</v>
      </c>
      <c r="R607" s="3">
        <f t="shared" si="86"/>
        <v>0</v>
      </c>
      <c r="S607" s="3" t="e" cm="1">
        <f t="array" aca="1" ref="S607" ca="1">SUMPRODUCT(MID($P607,ROW(INDIRECT("1:23")),1)*2^(-ROW(INDIRECT("1:23"))))</f>
        <v>#VALUE!</v>
      </c>
      <c r="T607" s="3" t="e">
        <f t="shared" ca="1" si="87"/>
        <v>#VALUE!</v>
      </c>
      <c r="U607" s="3" t="e">
        <f t="shared" ca="1" si="88"/>
        <v>#VALUE!</v>
      </c>
      <c r="V607" s="73"/>
      <c r="W607" s="9" t="str">
        <f t="shared" si="89"/>
        <v>OK</v>
      </c>
    </row>
    <row r="608" spans="1:23" x14ac:dyDescent="0.3">
      <c r="A608" s="44">
        <v>605</v>
      </c>
      <c r="B608" s="14">
        <v>8</v>
      </c>
      <c r="C608" s="4">
        <v>29</v>
      </c>
      <c r="D608" s="3" t="str">
        <f>VLOOKUP($C608,Overall!$K$5:$T$36,2)</f>
        <v>Normal</v>
      </c>
      <c r="E608" s="3">
        <f ca="1">VLOOKUP($C608,Overall!$K$5:$T$36,10)</f>
        <v>-12345.6787109375</v>
      </c>
      <c r="F608" s="9" t="str">
        <f>VLOOKUP($C608,Overall!$K$5:$T$36,6)</f>
        <v>101000110010000001110011010110111</v>
      </c>
      <c r="G608" s="8">
        <v>11</v>
      </c>
      <c r="H608" s="3" t="str">
        <f>VLOOKUP($G608,Overall!$K$5:$T$36,2)</f>
        <v>Overflow</v>
      </c>
      <c r="I608" s="3">
        <f ca="1">VLOOKUP($G608,Overall!$K$5:$T$36,10)</f>
        <v>-4.2535303978081149E+38</v>
      </c>
      <c r="J608" s="62" t="str">
        <f>VLOOKUP($G608,Overall!$K$5:$T$36,6)</f>
        <v>11111111101000000000000000000010</v>
      </c>
      <c r="K608" s="8">
        <f t="shared" ca="1" si="81"/>
        <v>5.251271967854516E+42</v>
      </c>
      <c r="L608" s="62">
        <f>VLOOKUP($B608,Overall!$B$5:$I$13,8)</f>
        <v>0</v>
      </c>
      <c r="M608" s="58"/>
      <c r="N608" s="3" t="str">
        <f t="shared" si="82"/>
        <v/>
      </c>
      <c r="O608" s="3" t="str">
        <f t="shared" si="83"/>
        <v/>
      </c>
      <c r="P608" s="3" t="str">
        <f t="shared" si="84"/>
        <v/>
      </c>
      <c r="Q608" s="3">
        <f t="shared" si="85"/>
        <v>0</v>
      </c>
      <c r="R608" s="3">
        <f t="shared" si="86"/>
        <v>0</v>
      </c>
      <c r="S608" s="3" t="e" cm="1">
        <f t="array" aca="1" ref="S608" ca="1">SUMPRODUCT(MID($P608,ROW(INDIRECT("1:23")),1)*2^(-ROW(INDIRECT("1:23"))))</f>
        <v>#VALUE!</v>
      </c>
      <c r="T608" s="3" t="e">
        <f t="shared" ca="1" si="87"/>
        <v>#VALUE!</v>
      </c>
      <c r="U608" s="3" t="e">
        <f t="shared" ca="1" si="88"/>
        <v>#VALUE!</v>
      </c>
      <c r="V608" s="73"/>
      <c r="W608" s="9" t="str">
        <f t="shared" si="89"/>
        <v>OK</v>
      </c>
    </row>
    <row r="609" spans="1:23" x14ac:dyDescent="0.3">
      <c r="A609" s="44">
        <v>606</v>
      </c>
      <c r="B609" s="14">
        <v>8</v>
      </c>
      <c r="C609" s="4">
        <v>29</v>
      </c>
      <c r="D609" s="3" t="str">
        <f>VLOOKUP($C609,Overall!$K$5:$T$36,2)</f>
        <v>Normal</v>
      </c>
      <c r="E609" s="3">
        <f ca="1">VLOOKUP($C609,Overall!$K$5:$T$36,10)</f>
        <v>-12345.6787109375</v>
      </c>
      <c r="F609" s="9" t="str">
        <f>VLOOKUP($C609,Overall!$K$5:$T$36,6)</f>
        <v>101000110010000001110011010110111</v>
      </c>
      <c r="G609" s="8">
        <v>12</v>
      </c>
      <c r="H609" s="3" t="str">
        <f>VLOOKUP($G609,Overall!$K$5:$T$36,2)</f>
        <v>Overflow</v>
      </c>
      <c r="I609" s="3">
        <f ca="1">VLOOKUP($G609,Overall!$K$5:$T$36,10)</f>
        <v>-6.8056469327705772E+38</v>
      </c>
      <c r="J609" s="62" t="str">
        <f>VLOOKUP($G609,Overall!$K$5:$T$36,6)</f>
        <v>11111111111111111111111111111111</v>
      </c>
      <c r="K609" s="8">
        <f t="shared" ca="1" si="81"/>
        <v>8.402033045206281E+42</v>
      </c>
      <c r="L609" s="62">
        <f>VLOOKUP($B609,Overall!$B$5:$I$13,8)</f>
        <v>0</v>
      </c>
      <c r="M609" s="58"/>
      <c r="N609" s="3" t="str">
        <f t="shared" si="82"/>
        <v/>
      </c>
      <c r="O609" s="3" t="str">
        <f t="shared" si="83"/>
        <v/>
      </c>
      <c r="P609" s="3" t="str">
        <f t="shared" si="84"/>
        <v/>
      </c>
      <c r="Q609" s="3">
        <f t="shared" si="85"/>
        <v>0</v>
      </c>
      <c r="R609" s="3">
        <f t="shared" si="86"/>
        <v>0</v>
      </c>
      <c r="S609" s="3" t="e" cm="1">
        <f t="array" aca="1" ref="S609" ca="1">SUMPRODUCT(MID($P609,ROW(INDIRECT("1:23")),1)*2^(-ROW(INDIRECT("1:23"))))</f>
        <v>#VALUE!</v>
      </c>
      <c r="T609" s="3" t="e">
        <f t="shared" ca="1" si="87"/>
        <v>#VALUE!</v>
      </c>
      <c r="U609" s="3" t="e">
        <f t="shared" ca="1" si="88"/>
        <v>#VALUE!</v>
      </c>
      <c r="V609" s="73"/>
      <c r="W609" s="9" t="str">
        <f t="shared" si="89"/>
        <v>OK</v>
      </c>
    </row>
    <row r="610" spans="1:23" x14ac:dyDescent="0.3">
      <c r="A610" s="44">
        <v>607</v>
      </c>
      <c r="B610" s="14">
        <v>8</v>
      </c>
      <c r="C610" s="4">
        <v>30</v>
      </c>
      <c r="D610" s="3" t="str">
        <f>VLOOKUP($C610,Overall!$K$5:$T$36,2)</f>
        <v>Normal</v>
      </c>
      <c r="E610" s="3">
        <f ca="1">VLOOKUP($C610,Overall!$K$5:$T$36,10)</f>
        <v>-2.345678924830959E+38</v>
      </c>
      <c r="F610" s="9" t="str">
        <f>VLOOKUP($C610,Overall!$K$5:$T$36,6)</f>
        <v>11111111001100000111100000100010</v>
      </c>
      <c r="G610" s="8">
        <v>7</v>
      </c>
      <c r="H610" s="3" t="str">
        <f>VLOOKUP($G610,Overall!$K$5:$T$36,2)</f>
        <v>Overflow</v>
      </c>
      <c r="I610" s="3">
        <f ca="1">VLOOKUP($G610,Overall!$K$5:$T$36,10)</f>
        <v>3.4028240748575767E+38</v>
      </c>
      <c r="J610" s="62" t="str">
        <f>VLOOKUP($G610,Overall!$K$5:$T$36,6)</f>
        <v>01111111100000000000000000000001</v>
      </c>
      <c r="K610" s="8">
        <f t="shared" ca="1" si="81"/>
        <v>-7.9819327173008232E+76</v>
      </c>
      <c r="L610" s="62">
        <f>VLOOKUP($B610,Overall!$B$5:$I$13,8)</f>
        <v>0</v>
      </c>
      <c r="M610" s="58"/>
      <c r="N610" s="3" t="str">
        <f t="shared" si="82"/>
        <v/>
      </c>
      <c r="O610" s="3" t="str">
        <f t="shared" si="83"/>
        <v/>
      </c>
      <c r="P610" s="3" t="str">
        <f t="shared" si="84"/>
        <v/>
      </c>
      <c r="Q610" s="3">
        <f t="shared" si="85"/>
        <v>0</v>
      </c>
      <c r="R610" s="3">
        <f t="shared" si="86"/>
        <v>0</v>
      </c>
      <c r="S610" s="3" t="e" cm="1">
        <f t="array" aca="1" ref="S610" ca="1">SUMPRODUCT(MID($P610,ROW(INDIRECT("1:23")),1)*2^(-ROW(INDIRECT("1:23"))))</f>
        <v>#VALUE!</v>
      </c>
      <c r="T610" s="3" t="e">
        <f t="shared" ca="1" si="87"/>
        <v>#VALUE!</v>
      </c>
      <c r="U610" s="3" t="e">
        <f t="shared" ca="1" si="88"/>
        <v>#VALUE!</v>
      </c>
      <c r="V610" s="73"/>
      <c r="W610" s="9" t="str">
        <f t="shared" si="89"/>
        <v>OK</v>
      </c>
    </row>
    <row r="611" spans="1:23" x14ac:dyDescent="0.3">
      <c r="A611" s="44">
        <v>608</v>
      </c>
      <c r="B611" s="14">
        <v>8</v>
      </c>
      <c r="C611" s="4">
        <v>30</v>
      </c>
      <c r="D611" s="3" t="str">
        <f>VLOOKUP($C611,Overall!$K$5:$T$36,2)</f>
        <v>Normal</v>
      </c>
      <c r="E611" s="3">
        <f ca="1">VLOOKUP($C611,Overall!$K$5:$T$36,10)</f>
        <v>-2.345678924830959E+38</v>
      </c>
      <c r="F611" s="9" t="str">
        <f>VLOOKUP($C611,Overall!$K$5:$T$36,6)</f>
        <v>11111111001100000111100000100010</v>
      </c>
      <c r="G611" s="8">
        <v>8</v>
      </c>
      <c r="H611" s="3" t="str">
        <f>VLOOKUP($G611,Overall!$K$5:$T$36,2)</f>
        <v>Overflow</v>
      </c>
      <c r="I611" s="3">
        <f ca="1">VLOOKUP($G611,Overall!$K$5:$T$36,10)</f>
        <v>4.2535303978081149E+38</v>
      </c>
      <c r="J611" s="62" t="str">
        <f>VLOOKUP($G611,Overall!$K$5:$T$36,6)</f>
        <v>01111111101000000000000000000010</v>
      </c>
      <c r="K611" s="8">
        <f t="shared" ca="1" si="81"/>
        <v>-9.9774166102663403E+76</v>
      </c>
      <c r="L611" s="62">
        <f>VLOOKUP($B611,Overall!$B$5:$I$13,8)</f>
        <v>0</v>
      </c>
      <c r="M611" s="58"/>
      <c r="N611" s="3" t="str">
        <f t="shared" si="82"/>
        <v/>
      </c>
      <c r="O611" s="3" t="str">
        <f t="shared" si="83"/>
        <v/>
      </c>
      <c r="P611" s="3" t="str">
        <f t="shared" si="84"/>
        <v/>
      </c>
      <c r="Q611" s="3">
        <f t="shared" si="85"/>
        <v>0</v>
      </c>
      <c r="R611" s="3">
        <f t="shared" si="86"/>
        <v>0</v>
      </c>
      <c r="S611" s="3" t="e" cm="1">
        <f t="array" aca="1" ref="S611" ca="1">SUMPRODUCT(MID($P611,ROW(INDIRECT("1:23")),1)*2^(-ROW(INDIRECT("1:23"))))</f>
        <v>#VALUE!</v>
      </c>
      <c r="T611" s="3" t="e">
        <f t="shared" ca="1" si="87"/>
        <v>#VALUE!</v>
      </c>
      <c r="U611" s="3" t="e">
        <f t="shared" ca="1" si="88"/>
        <v>#VALUE!</v>
      </c>
      <c r="V611" s="73"/>
      <c r="W611" s="9" t="str">
        <f t="shared" si="89"/>
        <v>OK</v>
      </c>
    </row>
    <row r="612" spans="1:23" x14ac:dyDescent="0.3">
      <c r="A612" s="44">
        <v>609</v>
      </c>
      <c r="B612" s="14">
        <v>8</v>
      </c>
      <c r="C612" s="4">
        <v>30</v>
      </c>
      <c r="D612" s="3" t="str">
        <f>VLOOKUP($C612,Overall!$K$5:$T$36,2)</f>
        <v>Normal</v>
      </c>
      <c r="E612" s="3">
        <f ca="1">VLOOKUP($C612,Overall!$K$5:$T$36,10)</f>
        <v>-2.345678924830959E+38</v>
      </c>
      <c r="F612" s="9" t="str">
        <f>VLOOKUP($C612,Overall!$K$5:$T$36,6)</f>
        <v>11111111001100000111100000100010</v>
      </c>
      <c r="G612" s="8">
        <v>9</v>
      </c>
      <c r="H612" s="3" t="str">
        <f>VLOOKUP($G612,Overall!$K$5:$T$36,2)</f>
        <v>Overflow</v>
      </c>
      <c r="I612" s="3">
        <f ca="1">VLOOKUP($G612,Overall!$K$5:$T$36,10)</f>
        <v>6.8056469327705772E+38</v>
      </c>
      <c r="J612" s="62" t="str">
        <f>VLOOKUP($G612,Overall!$K$5:$T$36,6)</f>
        <v>01111111111111111111111111111111</v>
      </c>
      <c r="K612" s="8">
        <f t="shared" ca="1" si="81"/>
        <v>-1.5963862580040401E+77</v>
      </c>
      <c r="L612" s="62">
        <f>VLOOKUP($B612,Overall!$B$5:$I$13,8)</f>
        <v>0</v>
      </c>
      <c r="M612" s="58"/>
      <c r="N612" s="3" t="str">
        <f t="shared" si="82"/>
        <v/>
      </c>
      <c r="O612" s="3" t="str">
        <f t="shared" si="83"/>
        <v/>
      </c>
      <c r="P612" s="3" t="str">
        <f t="shared" si="84"/>
        <v/>
      </c>
      <c r="Q612" s="3">
        <f t="shared" si="85"/>
        <v>0</v>
      </c>
      <c r="R612" s="3">
        <f t="shared" si="86"/>
        <v>0</v>
      </c>
      <c r="S612" s="3" t="e" cm="1">
        <f t="array" aca="1" ref="S612" ca="1">SUMPRODUCT(MID($P612,ROW(INDIRECT("1:23")),1)*2^(-ROW(INDIRECT("1:23"))))</f>
        <v>#VALUE!</v>
      </c>
      <c r="T612" s="3" t="e">
        <f t="shared" ca="1" si="87"/>
        <v>#VALUE!</v>
      </c>
      <c r="U612" s="3" t="e">
        <f t="shared" ca="1" si="88"/>
        <v>#VALUE!</v>
      </c>
      <c r="V612" s="73"/>
      <c r="W612" s="9" t="str">
        <f t="shared" si="89"/>
        <v>OK</v>
      </c>
    </row>
    <row r="613" spans="1:23" x14ac:dyDescent="0.3">
      <c r="A613" s="44">
        <v>610</v>
      </c>
      <c r="B613" s="14">
        <v>8</v>
      </c>
      <c r="C613" s="4">
        <v>30</v>
      </c>
      <c r="D613" s="3" t="str">
        <f>VLOOKUP($C613,Overall!$K$5:$T$36,2)</f>
        <v>Normal</v>
      </c>
      <c r="E613" s="3">
        <f ca="1">VLOOKUP($C613,Overall!$K$5:$T$36,10)</f>
        <v>-2.345678924830959E+38</v>
      </c>
      <c r="F613" s="9" t="str">
        <f>VLOOKUP($C613,Overall!$K$5:$T$36,6)</f>
        <v>11111111001100000111100000100010</v>
      </c>
      <c r="G613" s="8">
        <v>10</v>
      </c>
      <c r="H613" s="3" t="str">
        <f>VLOOKUP($G613,Overall!$K$5:$T$36,2)</f>
        <v>Overflow</v>
      </c>
      <c r="I613" s="3">
        <f ca="1">VLOOKUP($G613,Overall!$K$5:$T$36,10)</f>
        <v>-3.4028240748575767E+38</v>
      </c>
      <c r="J613" s="62" t="str">
        <f>VLOOKUP($G613,Overall!$K$5:$T$36,6)</f>
        <v>11111111100000000000000000000001</v>
      </c>
      <c r="K613" s="8">
        <f t="shared" ca="1" si="81"/>
        <v>7.9819327173008232E+76</v>
      </c>
      <c r="L613" s="62">
        <f>VLOOKUP($B613,Overall!$B$5:$I$13,8)</f>
        <v>0</v>
      </c>
      <c r="M613" s="58"/>
      <c r="N613" s="3" t="str">
        <f t="shared" si="82"/>
        <v/>
      </c>
      <c r="O613" s="3" t="str">
        <f t="shared" si="83"/>
        <v/>
      </c>
      <c r="P613" s="3" t="str">
        <f t="shared" si="84"/>
        <v/>
      </c>
      <c r="Q613" s="3">
        <f t="shared" si="85"/>
        <v>0</v>
      </c>
      <c r="R613" s="3">
        <f t="shared" si="86"/>
        <v>0</v>
      </c>
      <c r="S613" s="3" t="e" cm="1">
        <f t="array" aca="1" ref="S613" ca="1">SUMPRODUCT(MID($P613,ROW(INDIRECT("1:23")),1)*2^(-ROW(INDIRECT("1:23"))))</f>
        <v>#VALUE!</v>
      </c>
      <c r="T613" s="3" t="e">
        <f t="shared" ca="1" si="87"/>
        <v>#VALUE!</v>
      </c>
      <c r="U613" s="3" t="e">
        <f t="shared" ca="1" si="88"/>
        <v>#VALUE!</v>
      </c>
      <c r="V613" s="73"/>
      <c r="W613" s="9" t="str">
        <f t="shared" si="89"/>
        <v>OK</v>
      </c>
    </row>
    <row r="614" spans="1:23" x14ac:dyDescent="0.3">
      <c r="A614" s="44">
        <v>611</v>
      </c>
      <c r="B614" s="14">
        <v>8</v>
      </c>
      <c r="C614" s="4">
        <v>30</v>
      </c>
      <c r="D614" s="3" t="str">
        <f>VLOOKUP($C614,Overall!$K$5:$T$36,2)</f>
        <v>Normal</v>
      </c>
      <c r="E614" s="3">
        <f ca="1">VLOOKUP($C614,Overall!$K$5:$T$36,10)</f>
        <v>-2.345678924830959E+38</v>
      </c>
      <c r="F614" s="9" t="str">
        <f>VLOOKUP($C614,Overall!$K$5:$T$36,6)</f>
        <v>11111111001100000111100000100010</v>
      </c>
      <c r="G614" s="8">
        <v>11</v>
      </c>
      <c r="H614" s="3" t="str">
        <f>VLOOKUP($G614,Overall!$K$5:$T$36,2)</f>
        <v>Overflow</v>
      </c>
      <c r="I614" s="3">
        <f ca="1">VLOOKUP($G614,Overall!$K$5:$T$36,10)</f>
        <v>-4.2535303978081149E+38</v>
      </c>
      <c r="J614" s="62" t="str">
        <f>VLOOKUP($G614,Overall!$K$5:$T$36,6)</f>
        <v>11111111101000000000000000000010</v>
      </c>
      <c r="K614" s="8">
        <f t="shared" ca="1" si="81"/>
        <v>9.9774166102663403E+76</v>
      </c>
      <c r="L614" s="62">
        <f>VLOOKUP($B614,Overall!$B$5:$I$13,8)</f>
        <v>0</v>
      </c>
      <c r="M614" s="58"/>
      <c r="N614" s="3" t="str">
        <f t="shared" si="82"/>
        <v/>
      </c>
      <c r="O614" s="3" t="str">
        <f t="shared" si="83"/>
        <v/>
      </c>
      <c r="P614" s="3" t="str">
        <f t="shared" si="84"/>
        <v/>
      </c>
      <c r="Q614" s="3">
        <f t="shared" si="85"/>
        <v>0</v>
      </c>
      <c r="R614" s="3">
        <f t="shared" si="86"/>
        <v>0</v>
      </c>
      <c r="S614" s="3" t="e" cm="1">
        <f t="array" aca="1" ref="S614" ca="1">SUMPRODUCT(MID($P614,ROW(INDIRECT("1:23")),1)*2^(-ROW(INDIRECT("1:23"))))</f>
        <v>#VALUE!</v>
      </c>
      <c r="T614" s="3" t="e">
        <f t="shared" ca="1" si="87"/>
        <v>#VALUE!</v>
      </c>
      <c r="U614" s="3" t="e">
        <f t="shared" ca="1" si="88"/>
        <v>#VALUE!</v>
      </c>
      <c r="V614" s="73"/>
      <c r="W614" s="9" t="str">
        <f t="shared" si="89"/>
        <v>OK</v>
      </c>
    </row>
    <row r="615" spans="1:23" x14ac:dyDescent="0.3">
      <c r="A615" s="44">
        <v>612</v>
      </c>
      <c r="B615" s="14">
        <v>8</v>
      </c>
      <c r="C615" s="4">
        <v>30</v>
      </c>
      <c r="D615" s="3" t="str">
        <f>VLOOKUP($C615,Overall!$K$5:$T$36,2)</f>
        <v>Normal</v>
      </c>
      <c r="E615" s="3">
        <f ca="1">VLOOKUP($C615,Overall!$K$5:$T$36,10)</f>
        <v>-2.345678924830959E+38</v>
      </c>
      <c r="F615" s="9" t="str">
        <f>VLOOKUP($C615,Overall!$K$5:$T$36,6)</f>
        <v>11111111001100000111100000100010</v>
      </c>
      <c r="G615" s="8">
        <v>12</v>
      </c>
      <c r="H615" s="3" t="str">
        <f>VLOOKUP($G615,Overall!$K$5:$T$36,2)</f>
        <v>Overflow</v>
      </c>
      <c r="I615" s="3">
        <f ca="1">VLOOKUP($G615,Overall!$K$5:$T$36,10)</f>
        <v>-6.8056469327705772E+38</v>
      </c>
      <c r="J615" s="62" t="str">
        <f>VLOOKUP($G615,Overall!$K$5:$T$36,6)</f>
        <v>11111111111111111111111111111111</v>
      </c>
      <c r="K615" s="8">
        <f t="shared" ca="1" si="81"/>
        <v>1.5963862580040401E+77</v>
      </c>
      <c r="L615" s="62">
        <f>VLOOKUP($B615,Overall!$B$5:$I$13,8)</f>
        <v>0</v>
      </c>
      <c r="M615" s="58"/>
      <c r="N615" s="3" t="str">
        <f t="shared" si="82"/>
        <v/>
      </c>
      <c r="O615" s="3" t="str">
        <f t="shared" si="83"/>
        <v/>
      </c>
      <c r="P615" s="3" t="str">
        <f t="shared" si="84"/>
        <v/>
      </c>
      <c r="Q615" s="3">
        <f t="shared" si="85"/>
        <v>0</v>
      </c>
      <c r="R615" s="3">
        <f t="shared" si="86"/>
        <v>0</v>
      </c>
      <c r="S615" s="3" t="e" cm="1">
        <f t="array" aca="1" ref="S615" ca="1">SUMPRODUCT(MID($P615,ROW(INDIRECT("1:23")),1)*2^(-ROW(INDIRECT("1:23"))))</f>
        <v>#VALUE!</v>
      </c>
      <c r="T615" s="3" t="e">
        <f t="shared" ca="1" si="87"/>
        <v>#VALUE!</v>
      </c>
      <c r="U615" s="3" t="e">
        <f t="shared" ca="1" si="88"/>
        <v>#VALUE!</v>
      </c>
      <c r="V615" s="73"/>
      <c r="W615" s="9" t="str">
        <f t="shared" si="89"/>
        <v>OK</v>
      </c>
    </row>
    <row r="616" spans="1:23" x14ac:dyDescent="0.3">
      <c r="A616" s="44">
        <v>613</v>
      </c>
      <c r="B616" s="14">
        <v>8</v>
      </c>
      <c r="C616" s="4">
        <v>31</v>
      </c>
      <c r="D616" s="3" t="str">
        <f>VLOOKUP($C616,Overall!$K$5:$T$36,2)</f>
        <v>Normal</v>
      </c>
      <c r="E616" s="3">
        <f ca="1">VLOOKUP($C616,Overall!$K$5:$T$36,10)</f>
        <v>-3.4028232635611926E+38</v>
      </c>
      <c r="F616" s="9" t="str">
        <f>VLOOKUP($C616,Overall!$K$5:$T$36,6)</f>
        <v>11111111011111111111111111111110</v>
      </c>
      <c r="G616" s="8">
        <v>7</v>
      </c>
      <c r="H616" s="3" t="str">
        <f>VLOOKUP($G616,Overall!$K$5:$T$36,2)</f>
        <v>Overflow</v>
      </c>
      <c r="I616" s="3">
        <f ca="1">VLOOKUP($G616,Overall!$K$5:$T$36,10)</f>
        <v>3.4028240748575767E+38</v>
      </c>
      <c r="J616" s="62" t="str">
        <f>VLOOKUP($G616,Overall!$K$5:$T$36,6)</f>
        <v>01111111100000000000000000000001</v>
      </c>
      <c r="K616" s="8">
        <f t="shared" ca="1" si="81"/>
        <v>-1.1579208923731455E+77</v>
      </c>
      <c r="L616" s="62">
        <f>VLOOKUP($B616,Overall!$B$5:$I$13,8)</f>
        <v>0</v>
      </c>
      <c r="M616" s="58"/>
      <c r="N616" s="3" t="str">
        <f t="shared" si="82"/>
        <v/>
      </c>
      <c r="O616" s="3" t="str">
        <f t="shared" si="83"/>
        <v/>
      </c>
      <c r="P616" s="3" t="str">
        <f t="shared" si="84"/>
        <v/>
      </c>
      <c r="Q616" s="3">
        <f t="shared" si="85"/>
        <v>0</v>
      </c>
      <c r="R616" s="3">
        <f t="shared" si="86"/>
        <v>0</v>
      </c>
      <c r="S616" s="3" t="e" cm="1">
        <f t="array" aca="1" ref="S616" ca="1">SUMPRODUCT(MID($P616,ROW(INDIRECT("1:23")),1)*2^(-ROW(INDIRECT("1:23"))))</f>
        <v>#VALUE!</v>
      </c>
      <c r="T616" s="3" t="e">
        <f t="shared" ca="1" si="87"/>
        <v>#VALUE!</v>
      </c>
      <c r="U616" s="3" t="e">
        <f t="shared" ca="1" si="88"/>
        <v>#VALUE!</v>
      </c>
      <c r="V616" s="73"/>
      <c r="W616" s="9" t="str">
        <f t="shared" si="89"/>
        <v>OK</v>
      </c>
    </row>
    <row r="617" spans="1:23" x14ac:dyDescent="0.3">
      <c r="A617" s="44">
        <v>614</v>
      </c>
      <c r="B617" s="14">
        <v>8</v>
      </c>
      <c r="C617" s="4">
        <v>31</v>
      </c>
      <c r="D617" s="3" t="str">
        <f>VLOOKUP($C617,Overall!$K$5:$T$36,2)</f>
        <v>Normal</v>
      </c>
      <c r="E617" s="3">
        <f ca="1">VLOOKUP($C617,Overall!$K$5:$T$36,10)</f>
        <v>-3.4028232635611926E+38</v>
      </c>
      <c r="F617" s="9" t="str">
        <f>VLOOKUP($C617,Overall!$K$5:$T$36,6)</f>
        <v>11111111011111111111111111111110</v>
      </c>
      <c r="G617" s="8">
        <v>8</v>
      </c>
      <c r="H617" s="3" t="str">
        <f>VLOOKUP($G617,Overall!$K$5:$T$36,2)</f>
        <v>Overflow</v>
      </c>
      <c r="I617" s="3">
        <f ca="1">VLOOKUP($G617,Overall!$K$5:$T$36,10)</f>
        <v>4.2535303978081149E+38</v>
      </c>
      <c r="J617" s="62" t="str">
        <f>VLOOKUP($G617,Overall!$K$5:$T$36,6)</f>
        <v>01111111101000000000000000000010</v>
      </c>
      <c r="K617" s="8">
        <f t="shared" ca="1" si="81"/>
        <v>-1.4474012189926147E+77</v>
      </c>
      <c r="L617" s="62">
        <f>VLOOKUP($B617,Overall!$B$5:$I$13,8)</f>
        <v>0</v>
      </c>
      <c r="M617" s="58"/>
      <c r="N617" s="3" t="str">
        <f t="shared" si="82"/>
        <v/>
      </c>
      <c r="O617" s="3" t="str">
        <f t="shared" si="83"/>
        <v/>
      </c>
      <c r="P617" s="3" t="str">
        <f t="shared" si="84"/>
        <v/>
      </c>
      <c r="Q617" s="3">
        <f t="shared" si="85"/>
        <v>0</v>
      </c>
      <c r="R617" s="3">
        <f t="shared" si="86"/>
        <v>0</v>
      </c>
      <c r="S617" s="3" t="e" cm="1">
        <f t="array" aca="1" ref="S617" ca="1">SUMPRODUCT(MID($P617,ROW(INDIRECT("1:23")),1)*2^(-ROW(INDIRECT("1:23"))))</f>
        <v>#VALUE!</v>
      </c>
      <c r="T617" s="3" t="e">
        <f t="shared" ca="1" si="87"/>
        <v>#VALUE!</v>
      </c>
      <c r="U617" s="3" t="e">
        <f t="shared" ca="1" si="88"/>
        <v>#VALUE!</v>
      </c>
      <c r="V617" s="73"/>
      <c r="W617" s="9" t="str">
        <f t="shared" si="89"/>
        <v>OK</v>
      </c>
    </row>
    <row r="618" spans="1:23" x14ac:dyDescent="0.3">
      <c r="A618" s="44">
        <v>615</v>
      </c>
      <c r="B618" s="14">
        <v>8</v>
      </c>
      <c r="C618" s="4">
        <v>31</v>
      </c>
      <c r="D618" s="3" t="str">
        <f>VLOOKUP($C618,Overall!$K$5:$T$36,2)</f>
        <v>Normal</v>
      </c>
      <c r="E618" s="3">
        <f ca="1">VLOOKUP($C618,Overall!$K$5:$T$36,10)</f>
        <v>-3.4028232635611926E+38</v>
      </c>
      <c r="F618" s="9" t="str">
        <f>VLOOKUP($C618,Overall!$K$5:$T$36,6)</f>
        <v>11111111011111111111111111111110</v>
      </c>
      <c r="G618" s="8">
        <v>9</v>
      </c>
      <c r="H618" s="3" t="str">
        <f>VLOOKUP($G618,Overall!$K$5:$T$36,2)</f>
        <v>Overflow</v>
      </c>
      <c r="I618" s="3">
        <f ca="1">VLOOKUP($G618,Overall!$K$5:$T$36,10)</f>
        <v>6.8056469327705772E+38</v>
      </c>
      <c r="J618" s="62" t="str">
        <f>VLOOKUP($G618,Overall!$K$5:$T$36,6)</f>
        <v>01111111111111111111111111111111</v>
      </c>
      <c r="K618" s="8">
        <f t="shared" ca="1" si="81"/>
        <v>-2.3158413706415596E+77</v>
      </c>
      <c r="L618" s="62">
        <f>VLOOKUP($B618,Overall!$B$5:$I$13,8)</f>
        <v>0</v>
      </c>
      <c r="M618" s="58"/>
      <c r="N618" s="3" t="str">
        <f t="shared" si="82"/>
        <v/>
      </c>
      <c r="O618" s="3" t="str">
        <f t="shared" si="83"/>
        <v/>
      </c>
      <c r="P618" s="3" t="str">
        <f t="shared" si="84"/>
        <v/>
      </c>
      <c r="Q618" s="3">
        <f t="shared" si="85"/>
        <v>0</v>
      </c>
      <c r="R618" s="3">
        <f t="shared" si="86"/>
        <v>0</v>
      </c>
      <c r="S618" s="3" t="e" cm="1">
        <f t="array" aca="1" ref="S618" ca="1">SUMPRODUCT(MID($P618,ROW(INDIRECT("1:23")),1)*2^(-ROW(INDIRECT("1:23"))))</f>
        <v>#VALUE!</v>
      </c>
      <c r="T618" s="3" t="e">
        <f t="shared" ca="1" si="87"/>
        <v>#VALUE!</v>
      </c>
      <c r="U618" s="3" t="e">
        <f t="shared" ca="1" si="88"/>
        <v>#VALUE!</v>
      </c>
      <c r="V618" s="73"/>
      <c r="W618" s="9" t="str">
        <f t="shared" si="89"/>
        <v>OK</v>
      </c>
    </row>
    <row r="619" spans="1:23" x14ac:dyDescent="0.3">
      <c r="A619" s="44">
        <v>616</v>
      </c>
      <c r="B619" s="14">
        <v>8</v>
      </c>
      <c r="C619" s="4">
        <v>31</v>
      </c>
      <c r="D619" s="3" t="str">
        <f>VLOOKUP($C619,Overall!$K$5:$T$36,2)</f>
        <v>Normal</v>
      </c>
      <c r="E619" s="3">
        <f ca="1">VLOOKUP($C619,Overall!$K$5:$T$36,10)</f>
        <v>-3.4028232635611926E+38</v>
      </c>
      <c r="F619" s="9" t="str">
        <f>VLOOKUP($C619,Overall!$K$5:$T$36,6)</f>
        <v>11111111011111111111111111111110</v>
      </c>
      <c r="G619" s="8">
        <v>10</v>
      </c>
      <c r="H619" s="3" t="str">
        <f>VLOOKUP($G619,Overall!$K$5:$T$36,2)</f>
        <v>Overflow</v>
      </c>
      <c r="I619" s="3">
        <f ca="1">VLOOKUP($G619,Overall!$K$5:$T$36,10)</f>
        <v>-3.4028240748575767E+38</v>
      </c>
      <c r="J619" s="62" t="str">
        <f>VLOOKUP($G619,Overall!$K$5:$T$36,6)</f>
        <v>11111111100000000000000000000001</v>
      </c>
      <c r="K619" s="8">
        <f t="shared" ca="1" si="81"/>
        <v>1.1579208923731455E+77</v>
      </c>
      <c r="L619" s="62">
        <f>VLOOKUP($B619,Overall!$B$5:$I$13,8)</f>
        <v>0</v>
      </c>
      <c r="M619" s="58"/>
      <c r="N619" s="3" t="str">
        <f t="shared" si="82"/>
        <v/>
      </c>
      <c r="O619" s="3" t="str">
        <f t="shared" si="83"/>
        <v/>
      </c>
      <c r="P619" s="3" t="str">
        <f t="shared" si="84"/>
        <v/>
      </c>
      <c r="Q619" s="3">
        <f t="shared" si="85"/>
        <v>0</v>
      </c>
      <c r="R619" s="3">
        <f t="shared" si="86"/>
        <v>0</v>
      </c>
      <c r="S619" s="3" t="e" cm="1">
        <f t="array" aca="1" ref="S619" ca="1">SUMPRODUCT(MID($P619,ROW(INDIRECT("1:23")),1)*2^(-ROW(INDIRECT("1:23"))))</f>
        <v>#VALUE!</v>
      </c>
      <c r="T619" s="3" t="e">
        <f t="shared" ca="1" si="87"/>
        <v>#VALUE!</v>
      </c>
      <c r="U619" s="3" t="e">
        <f t="shared" ca="1" si="88"/>
        <v>#VALUE!</v>
      </c>
      <c r="V619" s="73"/>
      <c r="W619" s="9" t="str">
        <f t="shared" si="89"/>
        <v>OK</v>
      </c>
    </row>
    <row r="620" spans="1:23" x14ac:dyDescent="0.3">
      <c r="A620" s="44">
        <v>617</v>
      </c>
      <c r="B620" s="14">
        <v>8</v>
      </c>
      <c r="C620" s="4">
        <v>31</v>
      </c>
      <c r="D620" s="3" t="str">
        <f>VLOOKUP($C620,Overall!$K$5:$T$36,2)</f>
        <v>Normal</v>
      </c>
      <c r="E620" s="3">
        <f ca="1">VLOOKUP($C620,Overall!$K$5:$T$36,10)</f>
        <v>-3.4028232635611926E+38</v>
      </c>
      <c r="F620" s="9" t="str">
        <f>VLOOKUP($C620,Overall!$K$5:$T$36,6)</f>
        <v>11111111011111111111111111111110</v>
      </c>
      <c r="G620" s="8">
        <v>11</v>
      </c>
      <c r="H620" s="3" t="str">
        <f>VLOOKUP($G620,Overall!$K$5:$T$36,2)</f>
        <v>Overflow</v>
      </c>
      <c r="I620" s="3">
        <f ca="1">VLOOKUP($G620,Overall!$K$5:$T$36,10)</f>
        <v>-4.2535303978081149E+38</v>
      </c>
      <c r="J620" s="62" t="str">
        <f>VLOOKUP($G620,Overall!$K$5:$T$36,6)</f>
        <v>11111111101000000000000000000010</v>
      </c>
      <c r="K620" s="8">
        <f t="shared" ca="1" si="81"/>
        <v>1.4474012189926147E+77</v>
      </c>
      <c r="L620" s="62">
        <f>VLOOKUP($B620,Overall!$B$5:$I$13,8)</f>
        <v>0</v>
      </c>
      <c r="M620" s="58"/>
      <c r="N620" s="3" t="str">
        <f t="shared" si="82"/>
        <v/>
      </c>
      <c r="O620" s="3" t="str">
        <f t="shared" si="83"/>
        <v/>
      </c>
      <c r="P620" s="3" t="str">
        <f t="shared" si="84"/>
        <v/>
      </c>
      <c r="Q620" s="3">
        <f t="shared" si="85"/>
        <v>0</v>
      </c>
      <c r="R620" s="3">
        <f t="shared" si="86"/>
        <v>0</v>
      </c>
      <c r="S620" s="3" t="e" cm="1">
        <f t="array" aca="1" ref="S620" ca="1">SUMPRODUCT(MID($P620,ROW(INDIRECT("1:23")),1)*2^(-ROW(INDIRECT("1:23"))))</f>
        <v>#VALUE!</v>
      </c>
      <c r="T620" s="3" t="e">
        <f t="shared" ca="1" si="87"/>
        <v>#VALUE!</v>
      </c>
      <c r="U620" s="3" t="e">
        <f t="shared" ca="1" si="88"/>
        <v>#VALUE!</v>
      </c>
      <c r="V620" s="73"/>
      <c r="W620" s="9" t="str">
        <f t="shared" si="89"/>
        <v>OK</v>
      </c>
    </row>
    <row r="621" spans="1:23" x14ac:dyDescent="0.3">
      <c r="A621" s="44">
        <v>618</v>
      </c>
      <c r="B621" s="14">
        <v>8</v>
      </c>
      <c r="C621" s="4">
        <v>31</v>
      </c>
      <c r="D621" s="3" t="str">
        <f>VLOOKUP($C621,Overall!$K$5:$T$36,2)</f>
        <v>Normal</v>
      </c>
      <c r="E621" s="3">
        <f ca="1">VLOOKUP($C621,Overall!$K$5:$T$36,10)</f>
        <v>-3.4028232635611926E+38</v>
      </c>
      <c r="F621" s="9" t="str">
        <f>VLOOKUP($C621,Overall!$K$5:$T$36,6)</f>
        <v>11111111011111111111111111111110</v>
      </c>
      <c r="G621" s="8">
        <v>12</v>
      </c>
      <c r="H621" s="3" t="str">
        <f>VLOOKUP($G621,Overall!$K$5:$T$36,2)</f>
        <v>Overflow</v>
      </c>
      <c r="I621" s="3">
        <f ca="1">VLOOKUP($G621,Overall!$K$5:$T$36,10)</f>
        <v>-6.8056469327705772E+38</v>
      </c>
      <c r="J621" s="62" t="str">
        <f>VLOOKUP($G621,Overall!$K$5:$T$36,6)</f>
        <v>11111111111111111111111111111111</v>
      </c>
      <c r="K621" s="8">
        <f t="shared" ca="1" si="81"/>
        <v>2.3158413706415596E+77</v>
      </c>
      <c r="L621" s="62">
        <f>VLOOKUP($B621,Overall!$B$5:$I$13,8)</f>
        <v>0</v>
      </c>
      <c r="M621" s="58"/>
      <c r="N621" s="3" t="str">
        <f t="shared" si="82"/>
        <v/>
      </c>
      <c r="O621" s="3" t="str">
        <f t="shared" si="83"/>
        <v/>
      </c>
      <c r="P621" s="3" t="str">
        <f t="shared" si="84"/>
        <v/>
      </c>
      <c r="Q621" s="3">
        <f t="shared" si="85"/>
        <v>0</v>
      </c>
      <c r="R621" s="3">
        <f t="shared" si="86"/>
        <v>0</v>
      </c>
      <c r="S621" s="3" t="e" cm="1">
        <f t="array" aca="1" ref="S621" ca="1">SUMPRODUCT(MID($P621,ROW(INDIRECT("1:23")),1)*2^(-ROW(INDIRECT("1:23"))))</f>
        <v>#VALUE!</v>
      </c>
      <c r="T621" s="3" t="e">
        <f t="shared" ca="1" si="87"/>
        <v>#VALUE!</v>
      </c>
      <c r="U621" s="3" t="e">
        <f t="shared" ca="1" si="88"/>
        <v>#VALUE!</v>
      </c>
      <c r="V621" s="73"/>
      <c r="W621" s="9" t="str">
        <f t="shared" si="89"/>
        <v>OK</v>
      </c>
    </row>
    <row r="622" spans="1:23" x14ac:dyDescent="0.3">
      <c r="A622" s="44">
        <v>619</v>
      </c>
      <c r="B622" s="14">
        <v>8</v>
      </c>
      <c r="C622" s="4">
        <v>32</v>
      </c>
      <c r="D622" s="3" t="str">
        <f>VLOOKUP($C622,Overall!$K$5:$T$36,2)</f>
        <v>Normal</v>
      </c>
      <c r="E622" s="3">
        <f ca="1">VLOOKUP($C622,Overall!$K$5:$T$36,10)</f>
        <v>-3.4028234663852886E+38</v>
      </c>
      <c r="F622" s="9" t="str">
        <f>VLOOKUP($C622,Overall!$K$5:$T$36,6)</f>
        <v>11111111011111111111111111111111</v>
      </c>
      <c r="G622" s="8">
        <v>7</v>
      </c>
      <c r="H622" s="3" t="str">
        <f>VLOOKUP($G622,Overall!$K$5:$T$36,2)</f>
        <v>Overflow</v>
      </c>
      <c r="I622" s="3">
        <f ca="1">VLOOKUP($G622,Overall!$K$5:$T$36,10)</f>
        <v>3.4028240748575767E+38</v>
      </c>
      <c r="J622" s="62" t="str">
        <f>VLOOKUP($G622,Overall!$K$5:$T$36,6)</f>
        <v>01111111100000000000000000000001</v>
      </c>
      <c r="K622" s="8">
        <f t="shared" ca="1" si="81"/>
        <v>-1.1579209613906172E+77</v>
      </c>
      <c r="L622" s="62">
        <f>VLOOKUP($B622,Overall!$B$5:$I$13,8)</f>
        <v>0</v>
      </c>
      <c r="M622" s="58"/>
      <c r="N622" s="3" t="str">
        <f t="shared" si="82"/>
        <v/>
      </c>
      <c r="O622" s="3" t="str">
        <f t="shared" si="83"/>
        <v/>
      </c>
      <c r="P622" s="3" t="str">
        <f t="shared" si="84"/>
        <v/>
      </c>
      <c r="Q622" s="3">
        <f t="shared" si="85"/>
        <v>0</v>
      </c>
      <c r="R622" s="3">
        <f t="shared" si="86"/>
        <v>0</v>
      </c>
      <c r="S622" s="3" t="e" cm="1">
        <f t="array" aca="1" ref="S622" ca="1">SUMPRODUCT(MID($P622,ROW(INDIRECT("1:23")),1)*2^(-ROW(INDIRECT("1:23"))))</f>
        <v>#VALUE!</v>
      </c>
      <c r="T622" s="3" t="e">
        <f t="shared" ca="1" si="87"/>
        <v>#VALUE!</v>
      </c>
      <c r="U622" s="3" t="e">
        <f t="shared" ca="1" si="88"/>
        <v>#VALUE!</v>
      </c>
      <c r="V622" s="73"/>
      <c r="W622" s="9" t="str">
        <f t="shared" si="89"/>
        <v>OK</v>
      </c>
    </row>
    <row r="623" spans="1:23" x14ac:dyDescent="0.3">
      <c r="A623" s="44">
        <v>620</v>
      </c>
      <c r="B623" s="14">
        <v>8</v>
      </c>
      <c r="C623" s="4">
        <v>32</v>
      </c>
      <c r="D623" s="3" t="str">
        <f>VLOOKUP($C623,Overall!$K$5:$T$36,2)</f>
        <v>Normal</v>
      </c>
      <c r="E623" s="3">
        <f ca="1">VLOOKUP($C623,Overall!$K$5:$T$36,10)</f>
        <v>-3.4028234663852886E+38</v>
      </c>
      <c r="F623" s="9" t="str">
        <f>VLOOKUP($C623,Overall!$K$5:$T$36,6)</f>
        <v>11111111011111111111111111111111</v>
      </c>
      <c r="G623" s="8">
        <v>8</v>
      </c>
      <c r="H623" s="3" t="str">
        <f>VLOOKUP($G623,Overall!$K$5:$T$36,2)</f>
        <v>Overflow</v>
      </c>
      <c r="I623" s="3">
        <f ca="1">VLOOKUP($G623,Overall!$K$5:$T$36,10)</f>
        <v>4.2535303978081149E+38</v>
      </c>
      <c r="J623" s="62" t="str">
        <f>VLOOKUP($G623,Overall!$K$5:$T$36,6)</f>
        <v>01111111101000000000000000000010</v>
      </c>
      <c r="K623" s="8">
        <f t="shared" ca="1" si="81"/>
        <v>-1.4474013052644605E+77</v>
      </c>
      <c r="L623" s="62">
        <f>VLOOKUP($B623,Overall!$B$5:$I$13,8)</f>
        <v>0</v>
      </c>
      <c r="M623" s="58"/>
      <c r="N623" s="3" t="str">
        <f t="shared" si="82"/>
        <v/>
      </c>
      <c r="O623" s="3" t="str">
        <f t="shared" si="83"/>
        <v/>
      </c>
      <c r="P623" s="3" t="str">
        <f t="shared" si="84"/>
        <v/>
      </c>
      <c r="Q623" s="3">
        <f t="shared" si="85"/>
        <v>0</v>
      </c>
      <c r="R623" s="3">
        <f t="shared" si="86"/>
        <v>0</v>
      </c>
      <c r="S623" s="3" t="e" cm="1">
        <f t="array" aca="1" ref="S623" ca="1">SUMPRODUCT(MID($P623,ROW(INDIRECT("1:23")),1)*2^(-ROW(INDIRECT("1:23"))))</f>
        <v>#VALUE!</v>
      </c>
      <c r="T623" s="3" t="e">
        <f t="shared" ca="1" si="87"/>
        <v>#VALUE!</v>
      </c>
      <c r="U623" s="3" t="e">
        <f t="shared" ca="1" si="88"/>
        <v>#VALUE!</v>
      </c>
      <c r="V623" s="73"/>
      <c r="W623" s="9" t="str">
        <f t="shared" si="89"/>
        <v>OK</v>
      </c>
    </row>
    <row r="624" spans="1:23" x14ac:dyDescent="0.3">
      <c r="A624" s="44">
        <v>621</v>
      </c>
      <c r="B624" s="14">
        <v>8</v>
      </c>
      <c r="C624" s="4">
        <v>32</v>
      </c>
      <c r="D624" s="3" t="str">
        <f>VLOOKUP($C624,Overall!$K$5:$T$36,2)</f>
        <v>Normal</v>
      </c>
      <c r="E624" s="3">
        <f ca="1">VLOOKUP($C624,Overall!$K$5:$T$36,10)</f>
        <v>-3.4028234663852886E+38</v>
      </c>
      <c r="F624" s="9" t="str">
        <f>VLOOKUP($C624,Overall!$K$5:$T$36,6)</f>
        <v>11111111011111111111111111111111</v>
      </c>
      <c r="G624" s="8">
        <v>9</v>
      </c>
      <c r="H624" s="3" t="str">
        <f>VLOOKUP($G624,Overall!$K$5:$T$36,2)</f>
        <v>Overflow</v>
      </c>
      <c r="I624" s="3">
        <f ca="1">VLOOKUP($G624,Overall!$K$5:$T$36,10)</f>
        <v>6.8056469327705772E+38</v>
      </c>
      <c r="J624" s="62" t="str">
        <f>VLOOKUP($G624,Overall!$K$5:$T$36,6)</f>
        <v>01111111111111111111111111111111</v>
      </c>
      <c r="K624" s="8">
        <f t="shared" ca="1" si="81"/>
        <v>-2.3158415086764783E+77</v>
      </c>
      <c r="L624" s="62">
        <f>VLOOKUP($B624,Overall!$B$5:$I$13,8)</f>
        <v>0</v>
      </c>
      <c r="M624" s="58"/>
      <c r="N624" s="3" t="str">
        <f t="shared" si="82"/>
        <v/>
      </c>
      <c r="O624" s="3" t="str">
        <f t="shared" si="83"/>
        <v/>
      </c>
      <c r="P624" s="3" t="str">
        <f t="shared" si="84"/>
        <v/>
      </c>
      <c r="Q624" s="3">
        <f t="shared" si="85"/>
        <v>0</v>
      </c>
      <c r="R624" s="3">
        <f t="shared" si="86"/>
        <v>0</v>
      </c>
      <c r="S624" s="3" t="e" cm="1">
        <f t="array" aca="1" ref="S624" ca="1">SUMPRODUCT(MID($P624,ROW(INDIRECT("1:23")),1)*2^(-ROW(INDIRECT("1:23"))))</f>
        <v>#VALUE!</v>
      </c>
      <c r="T624" s="3" t="e">
        <f t="shared" ca="1" si="87"/>
        <v>#VALUE!</v>
      </c>
      <c r="U624" s="3" t="e">
        <f t="shared" ca="1" si="88"/>
        <v>#VALUE!</v>
      </c>
      <c r="V624" s="73"/>
      <c r="W624" s="9" t="str">
        <f t="shared" si="89"/>
        <v>OK</v>
      </c>
    </row>
    <row r="625" spans="1:23" x14ac:dyDescent="0.3">
      <c r="A625" s="44">
        <v>622</v>
      </c>
      <c r="B625" s="14">
        <v>8</v>
      </c>
      <c r="C625" s="4">
        <v>32</v>
      </c>
      <c r="D625" s="3" t="str">
        <f>VLOOKUP($C625,Overall!$K$5:$T$36,2)</f>
        <v>Normal</v>
      </c>
      <c r="E625" s="3">
        <f ca="1">VLOOKUP($C625,Overall!$K$5:$T$36,10)</f>
        <v>-3.4028234663852886E+38</v>
      </c>
      <c r="F625" s="9" t="str">
        <f>VLOOKUP($C625,Overall!$K$5:$T$36,6)</f>
        <v>11111111011111111111111111111111</v>
      </c>
      <c r="G625" s="8">
        <v>10</v>
      </c>
      <c r="H625" s="3" t="str">
        <f>VLOOKUP($G625,Overall!$K$5:$T$36,2)</f>
        <v>Overflow</v>
      </c>
      <c r="I625" s="3">
        <f ca="1">VLOOKUP($G625,Overall!$K$5:$T$36,10)</f>
        <v>-3.4028240748575767E+38</v>
      </c>
      <c r="J625" s="62" t="str">
        <f>VLOOKUP($G625,Overall!$K$5:$T$36,6)</f>
        <v>11111111100000000000000000000001</v>
      </c>
      <c r="K625" s="8">
        <f t="shared" ca="1" si="81"/>
        <v>1.1579209613906172E+77</v>
      </c>
      <c r="L625" s="62">
        <f>VLOOKUP($B625,Overall!$B$5:$I$13,8)</f>
        <v>0</v>
      </c>
      <c r="M625" s="58"/>
      <c r="N625" s="3" t="str">
        <f t="shared" si="82"/>
        <v/>
      </c>
      <c r="O625" s="3" t="str">
        <f t="shared" si="83"/>
        <v/>
      </c>
      <c r="P625" s="3" t="str">
        <f t="shared" si="84"/>
        <v/>
      </c>
      <c r="Q625" s="3">
        <f t="shared" si="85"/>
        <v>0</v>
      </c>
      <c r="R625" s="3">
        <f t="shared" si="86"/>
        <v>0</v>
      </c>
      <c r="S625" s="3" t="e" cm="1">
        <f t="array" aca="1" ref="S625" ca="1">SUMPRODUCT(MID($P625,ROW(INDIRECT("1:23")),1)*2^(-ROW(INDIRECT("1:23"))))</f>
        <v>#VALUE!</v>
      </c>
      <c r="T625" s="3" t="e">
        <f t="shared" ca="1" si="87"/>
        <v>#VALUE!</v>
      </c>
      <c r="U625" s="3" t="e">
        <f t="shared" ca="1" si="88"/>
        <v>#VALUE!</v>
      </c>
      <c r="V625" s="73"/>
      <c r="W625" s="9" t="str">
        <f t="shared" si="89"/>
        <v>OK</v>
      </c>
    </row>
    <row r="626" spans="1:23" x14ac:dyDescent="0.3">
      <c r="A626" s="44">
        <v>623</v>
      </c>
      <c r="B626" s="14">
        <v>8</v>
      </c>
      <c r="C626" s="4">
        <v>32</v>
      </c>
      <c r="D626" s="3" t="str">
        <f>VLOOKUP($C626,Overall!$K$5:$T$36,2)</f>
        <v>Normal</v>
      </c>
      <c r="E626" s="3">
        <f ca="1">VLOOKUP($C626,Overall!$K$5:$T$36,10)</f>
        <v>-3.4028234663852886E+38</v>
      </c>
      <c r="F626" s="9" t="str">
        <f>VLOOKUP($C626,Overall!$K$5:$T$36,6)</f>
        <v>11111111011111111111111111111111</v>
      </c>
      <c r="G626" s="8">
        <v>11</v>
      </c>
      <c r="H626" s="3" t="str">
        <f>VLOOKUP($G626,Overall!$K$5:$T$36,2)</f>
        <v>Overflow</v>
      </c>
      <c r="I626" s="3">
        <f ca="1">VLOOKUP($G626,Overall!$K$5:$T$36,10)</f>
        <v>-4.2535303978081149E+38</v>
      </c>
      <c r="J626" s="62" t="str">
        <f>VLOOKUP($G626,Overall!$K$5:$T$36,6)</f>
        <v>11111111101000000000000000000010</v>
      </c>
      <c r="K626" s="8">
        <f t="shared" ca="1" si="81"/>
        <v>1.4474013052644605E+77</v>
      </c>
      <c r="L626" s="62">
        <f>VLOOKUP($B626,Overall!$B$5:$I$13,8)</f>
        <v>0</v>
      </c>
      <c r="M626" s="58"/>
      <c r="N626" s="3" t="str">
        <f t="shared" si="82"/>
        <v/>
      </c>
      <c r="O626" s="3" t="str">
        <f t="shared" si="83"/>
        <v/>
      </c>
      <c r="P626" s="3" t="str">
        <f t="shared" si="84"/>
        <v/>
      </c>
      <c r="Q626" s="3">
        <f t="shared" si="85"/>
        <v>0</v>
      </c>
      <c r="R626" s="3">
        <f t="shared" si="86"/>
        <v>0</v>
      </c>
      <c r="S626" s="3" t="e" cm="1">
        <f t="array" aca="1" ref="S626" ca="1">SUMPRODUCT(MID($P626,ROW(INDIRECT("1:23")),1)*2^(-ROW(INDIRECT("1:23"))))</f>
        <v>#VALUE!</v>
      </c>
      <c r="T626" s="3" t="e">
        <f t="shared" ca="1" si="87"/>
        <v>#VALUE!</v>
      </c>
      <c r="U626" s="3" t="e">
        <f t="shared" ca="1" si="88"/>
        <v>#VALUE!</v>
      </c>
      <c r="V626" s="73"/>
      <c r="W626" s="9" t="str">
        <f t="shared" si="89"/>
        <v>OK</v>
      </c>
    </row>
    <row r="627" spans="1:23" x14ac:dyDescent="0.3">
      <c r="A627" s="44">
        <v>624</v>
      </c>
      <c r="B627" s="14">
        <v>8</v>
      </c>
      <c r="C627" s="4">
        <v>32</v>
      </c>
      <c r="D627" s="3" t="str">
        <f>VLOOKUP($C627,Overall!$K$5:$T$36,2)</f>
        <v>Normal</v>
      </c>
      <c r="E627" s="3">
        <f ca="1">VLOOKUP($C627,Overall!$K$5:$T$36,10)</f>
        <v>-3.4028234663852886E+38</v>
      </c>
      <c r="F627" s="9" t="str">
        <f>VLOOKUP($C627,Overall!$K$5:$T$36,6)</f>
        <v>11111111011111111111111111111111</v>
      </c>
      <c r="G627" s="8">
        <v>12</v>
      </c>
      <c r="H627" s="3" t="str">
        <f>VLOOKUP($G627,Overall!$K$5:$T$36,2)</f>
        <v>Overflow</v>
      </c>
      <c r="I627" s="3">
        <f ca="1">VLOOKUP($G627,Overall!$K$5:$T$36,10)</f>
        <v>-6.8056469327705772E+38</v>
      </c>
      <c r="J627" s="62" t="str">
        <f>VLOOKUP($G627,Overall!$K$5:$T$36,6)</f>
        <v>11111111111111111111111111111111</v>
      </c>
      <c r="K627" s="8">
        <f t="shared" ca="1" si="81"/>
        <v>2.3158415086764783E+77</v>
      </c>
      <c r="L627" s="62">
        <f>VLOOKUP($B627,Overall!$B$5:$I$13,8)</f>
        <v>0</v>
      </c>
      <c r="M627" s="58"/>
      <c r="N627" s="3" t="str">
        <f t="shared" si="82"/>
        <v/>
      </c>
      <c r="O627" s="3" t="str">
        <f t="shared" si="83"/>
        <v/>
      </c>
      <c r="P627" s="3" t="str">
        <f t="shared" si="84"/>
        <v/>
      </c>
      <c r="Q627" s="3">
        <f t="shared" si="85"/>
        <v>0</v>
      </c>
      <c r="R627" s="3">
        <f t="shared" si="86"/>
        <v>0</v>
      </c>
      <c r="S627" s="3" t="e" cm="1">
        <f t="array" aca="1" ref="S627" ca="1">SUMPRODUCT(MID($P627,ROW(INDIRECT("1:23")),1)*2^(-ROW(INDIRECT("1:23"))))</f>
        <v>#VALUE!</v>
      </c>
      <c r="T627" s="3" t="e">
        <f t="shared" ca="1" si="87"/>
        <v>#VALUE!</v>
      </c>
      <c r="U627" s="3" t="e">
        <f t="shared" ca="1" si="88"/>
        <v>#VALUE!</v>
      </c>
      <c r="V627" s="73"/>
      <c r="W627" s="9" t="str">
        <f t="shared" si="89"/>
        <v>OK</v>
      </c>
    </row>
    <row r="628" spans="1:23" x14ac:dyDescent="0.3">
      <c r="A628" s="44">
        <v>625</v>
      </c>
      <c r="B628" s="14">
        <v>9</v>
      </c>
      <c r="C628" s="4">
        <v>13</v>
      </c>
      <c r="D628" s="3" t="str">
        <f>VLOOKUP($C628,Overall!$K$5:$T$36,2)</f>
        <v>Normal</v>
      </c>
      <c r="E628" s="3">
        <f ca="1">VLOOKUP($C628,Overall!$K$5:$T$36,10)</f>
        <v>0</v>
      </c>
      <c r="F628" s="9" t="str">
        <f>VLOOKUP($C628,Overall!$K$5:$T$36,6)</f>
        <v>00000000000000000000000000000000</v>
      </c>
      <c r="G628" s="8">
        <v>13</v>
      </c>
      <c r="H628" s="3" t="str">
        <f>VLOOKUP($G628,Overall!$K$5:$T$36,2)</f>
        <v>Normal</v>
      </c>
      <c r="I628" s="3">
        <f ca="1">VLOOKUP($G628,Overall!$K$5:$T$36,10)</f>
        <v>0</v>
      </c>
      <c r="J628" s="62" t="str">
        <f>VLOOKUP($G628,Overall!$K$5:$T$36,6)</f>
        <v>00000000000000000000000000000000</v>
      </c>
      <c r="K628" s="8">
        <f t="shared" ca="1" si="81"/>
        <v>0</v>
      </c>
      <c r="L628" s="62">
        <f>VLOOKUP($B628,Overall!$B$5:$I$13,8)</f>
        <v>0</v>
      </c>
      <c r="M628" s="58"/>
      <c r="N628" s="3" t="str">
        <f t="shared" si="82"/>
        <v/>
      </c>
      <c r="O628" s="3" t="str">
        <f t="shared" si="83"/>
        <v/>
      </c>
      <c r="P628" s="3" t="str">
        <f t="shared" si="84"/>
        <v/>
      </c>
      <c r="Q628" s="3">
        <f t="shared" si="85"/>
        <v>0</v>
      </c>
      <c r="R628" s="3">
        <f t="shared" si="86"/>
        <v>0</v>
      </c>
      <c r="S628" s="3" t="e" cm="1">
        <f t="array" aca="1" ref="S628" ca="1">SUMPRODUCT(MID($P628,ROW(INDIRECT("1:23")),1)*2^(-ROW(INDIRECT("1:23"))))</f>
        <v>#VALUE!</v>
      </c>
      <c r="T628" s="3" t="e">
        <f t="shared" ca="1" si="87"/>
        <v>#VALUE!</v>
      </c>
      <c r="U628" s="3" t="e">
        <f t="shared" ca="1" si="88"/>
        <v>#VALUE!</v>
      </c>
      <c r="V628" s="73"/>
      <c r="W628" s="9" t="str">
        <f t="shared" si="89"/>
        <v>OK</v>
      </c>
    </row>
    <row r="629" spans="1:23" x14ac:dyDescent="0.3">
      <c r="A629" s="44">
        <v>626</v>
      </c>
      <c r="B629" s="14">
        <v>9</v>
      </c>
      <c r="C629" s="4">
        <v>13</v>
      </c>
      <c r="D629" s="3" t="str">
        <f>VLOOKUP($C629,Overall!$K$5:$T$36,2)</f>
        <v>Normal</v>
      </c>
      <c r="E629" s="3">
        <f ca="1">VLOOKUP($C629,Overall!$K$5:$T$36,10)</f>
        <v>0</v>
      </c>
      <c r="F629" s="9" t="str">
        <f>VLOOKUP($C629,Overall!$K$5:$T$36,6)</f>
        <v>00000000000000000000000000000000</v>
      </c>
      <c r="G629" s="8">
        <v>14</v>
      </c>
      <c r="H629" s="3" t="str">
        <f>VLOOKUP($G629,Overall!$K$5:$T$36,2)</f>
        <v>Normal</v>
      </c>
      <c r="I629" s="3">
        <f ca="1">VLOOKUP($G629,Overall!$K$5:$T$36,10)</f>
        <v>0</v>
      </c>
      <c r="J629" s="62" t="str">
        <f>VLOOKUP($G629,Overall!$K$5:$T$36,6)</f>
        <v>10000000000000000000000000000000</v>
      </c>
      <c r="K629" s="8">
        <f t="shared" ca="1" si="81"/>
        <v>0</v>
      </c>
      <c r="L629" s="62">
        <f>VLOOKUP($B629,Overall!$B$5:$I$13,8)</f>
        <v>0</v>
      </c>
      <c r="M629" s="58"/>
      <c r="N629" s="3" t="str">
        <f t="shared" si="82"/>
        <v/>
      </c>
      <c r="O629" s="3" t="str">
        <f t="shared" si="83"/>
        <v/>
      </c>
      <c r="P629" s="3" t="str">
        <f t="shared" si="84"/>
        <v/>
      </c>
      <c r="Q629" s="3">
        <f t="shared" si="85"/>
        <v>0</v>
      </c>
      <c r="R629" s="3">
        <f t="shared" si="86"/>
        <v>0</v>
      </c>
      <c r="S629" s="3" t="e" cm="1">
        <f t="array" aca="1" ref="S629" ca="1">SUMPRODUCT(MID($P629,ROW(INDIRECT("1:23")),1)*2^(-ROW(INDIRECT("1:23"))))</f>
        <v>#VALUE!</v>
      </c>
      <c r="T629" s="3" t="e">
        <f t="shared" ca="1" si="87"/>
        <v>#VALUE!</v>
      </c>
      <c r="U629" s="3" t="e">
        <f t="shared" ca="1" si="88"/>
        <v>#VALUE!</v>
      </c>
      <c r="V629" s="73"/>
      <c r="W629" s="9" t="str">
        <f t="shared" si="89"/>
        <v>OK</v>
      </c>
    </row>
    <row r="630" spans="1:23" x14ac:dyDescent="0.3">
      <c r="A630" s="44">
        <v>627</v>
      </c>
      <c r="B630" s="14">
        <v>9</v>
      </c>
      <c r="C630" s="4">
        <v>13</v>
      </c>
      <c r="D630" s="3" t="str">
        <f>VLOOKUP($C630,Overall!$K$5:$T$36,2)</f>
        <v>Normal</v>
      </c>
      <c r="E630" s="3">
        <f ca="1">VLOOKUP($C630,Overall!$K$5:$T$36,10)</f>
        <v>0</v>
      </c>
      <c r="F630" s="9" t="str">
        <f>VLOOKUP($C630,Overall!$K$5:$T$36,6)</f>
        <v>00000000000000000000000000000000</v>
      </c>
      <c r="G630" s="8">
        <v>15</v>
      </c>
      <c r="H630" s="3" t="str">
        <f>VLOOKUP($G630,Overall!$K$5:$T$36,2)</f>
        <v>Normal</v>
      </c>
      <c r="I630" s="3">
        <f ca="1">VLOOKUP($G630,Overall!$K$5:$T$36,10)</f>
        <v>1.1754943508222875E-38</v>
      </c>
      <c r="J630" s="62" t="str">
        <f>VLOOKUP($G630,Overall!$K$5:$T$36,6)</f>
        <v>00000000100000000000000000000000</v>
      </c>
      <c r="K630" s="8">
        <f t="shared" ca="1" si="81"/>
        <v>0</v>
      </c>
      <c r="L630" s="62">
        <f>VLOOKUP($B630,Overall!$B$5:$I$13,8)</f>
        <v>0</v>
      </c>
      <c r="M630" s="58"/>
      <c r="N630" s="3" t="str">
        <f t="shared" si="82"/>
        <v/>
      </c>
      <c r="O630" s="3" t="str">
        <f t="shared" si="83"/>
        <v/>
      </c>
      <c r="P630" s="3" t="str">
        <f t="shared" si="84"/>
        <v/>
      </c>
      <c r="Q630" s="3">
        <f t="shared" si="85"/>
        <v>0</v>
      </c>
      <c r="R630" s="3">
        <f t="shared" si="86"/>
        <v>0</v>
      </c>
      <c r="S630" s="3" t="e" cm="1">
        <f t="array" aca="1" ref="S630" ca="1">SUMPRODUCT(MID($P630,ROW(INDIRECT("1:23")),1)*2^(-ROW(INDIRECT("1:23"))))</f>
        <v>#VALUE!</v>
      </c>
      <c r="T630" s="3" t="e">
        <f t="shared" ca="1" si="87"/>
        <v>#VALUE!</v>
      </c>
      <c r="U630" s="3" t="e">
        <f t="shared" ca="1" si="88"/>
        <v>#VALUE!</v>
      </c>
      <c r="V630" s="73"/>
      <c r="W630" s="9" t="str">
        <f t="shared" si="89"/>
        <v>OK</v>
      </c>
    </row>
    <row r="631" spans="1:23" x14ac:dyDescent="0.3">
      <c r="A631" s="44">
        <v>628</v>
      </c>
      <c r="B631" s="14">
        <v>9</v>
      </c>
      <c r="C631" s="4">
        <v>13</v>
      </c>
      <c r="D631" s="3" t="str">
        <f>VLOOKUP($C631,Overall!$K$5:$T$36,2)</f>
        <v>Normal</v>
      </c>
      <c r="E631" s="3">
        <f ca="1">VLOOKUP($C631,Overall!$K$5:$T$36,10)</f>
        <v>0</v>
      </c>
      <c r="F631" s="9" t="str">
        <f>VLOOKUP($C631,Overall!$K$5:$T$36,6)</f>
        <v>00000000000000000000000000000000</v>
      </c>
      <c r="G631" s="8">
        <v>16</v>
      </c>
      <c r="H631" s="3" t="str">
        <f>VLOOKUP($G631,Overall!$K$5:$T$36,2)</f>
        <v>Normal</v>
      </c>
      <c r="I631" s="3">
        <f ca="1">VLOOKUP($G631,Overall!$K$5:$T$36,10)</f>
        <v>1.1754944909521339E-38</v>
      </c>
      <c r="J631" s="62" t="str">
        <f>VLOOKUP($G631,Overall!$K$5:$T$36,6)</f>
        <v>00000000100000000000000000000001</v>
      </c>
      <c r="K631" s="8">
        <f t="shared" ca="1" si="81"/>
        <v>0</v>
      </c>
      <c r="L631" s="62">
        <f>VLOOKUP($B631,Overall!$B$5:$I$13,8)</f>
        <v>0</v>
      </c>
      <c r="M631" s="58"/>
      <c r="N631" s="3" t="str">
        <f t="shared" si="82"/>
        <v/>
      </c>
      <c r="O631" s="3" t="str">
        <f t="shared" si="83"/>
        <v/>
      </c>
      <c r="P631" s="3" t="str">
        <f t="shared" si="84"/>
        <v/>
      </c>
      <c r="Q631" s="3">
        <f t="shared" si="85"/>
        <v>0</v>
      </c>
      <c r="R631" s="3">
        <f t="shared" si="86"/>
        <v>0</v>
      </c>
      <c r="S631" s="3" t="e" cm="1">
        <f t="array" aca="1" ref="S631" ca="1">SUMPRODUCT(MID($P631,ROW(INDIRECT("1:23")),1)*2^(-ROW(INDIRECT("1:23"))))</f>
        <v>#VALUE!</v>
      </c>
      <c r="T631" s="3" t="e">
        <f t="shared" ca="1" si="87"/>
        <v>#VALUE!</v>
      </c>
      <c r="U631" s="3" t="e">
        <f t="shared" ca="1" si="88"/>
        <v>#VALUE!</v>
      </c>
      <c r="V631" s="73"/>
      <c r="W631" s="9" t="str">
        <f t="shared" si="89"/>
        <v>OK</v>
      </c>
    </row>
    <row r="632" spans="1:23" x14ac:dyDescent="0.3">
      <c r="A632" s="44">
        <v>629</v>
      </c>
      <c r="B632" s="14">
        <v>9</v>
      </c>
      <c r="C632" s="4">
        <v>13</v>
      </c>
      <c r="D632" s="3" t="str">
        <f>VLOOKUP($C632,Overall!$K$5:$T$36,2)</f>
        <v>Normal</v>
      </c>
      <c r="E632" s="3">
        <f ca="1">VLOOKUP($C632,Overall!$K$5:$T$36,10)</f>
        <v>0</v>
      </c>
      <c r="F632" s="9" t="str">
        <f>VLOOKUP($C632,Overall!$K$5:$T$36,6)</f>
        <v>00000000000000000000000000000000</v>
      </c>
      <c r="G632" s="8">
        <v>17</v>
      </c>
      <c r="H632" s="3" t="str">
        <f>VLOOKUP($G632,Overall!$K$5:$T$36,2)</f>
        <v>Normal</v>
      </c>
      <c r="I632" s="3">
        <f ca="1">VLOOKUP($G632,Overall!$K$5:$T$36,10)</f>
        <v>0.5</v>
      </c>
      <c r="J632" s="62" t="str">
        <f>VLOOKUP($G632,Overall!$K$5:$T$36,6)</f>
        <v>00111111000000000000000000000000</v>
      </c>
      <c r="K632" s="8">
        <f t="shared" ca="1" si="81"/>
        <v>0</v>
      </c>
      <c r="L632" s="62">
        <f>VLOOKUP($B632,Overall!$B$5:$I$13,8)</f>
        <v>0</v>
      </c>
      <c r="M632" s="58"/>
      <c r="N632" s="3" t="str">
        <f t="shared" si="82"/>
        <v/>
      </c>
      <c r="O632" s="3" t="str">
        <f t="shared" si="83"/>
        <v/>
      </c>
      <c r="P632" s="3" t="str">
        <f t="shared" si="84"/>
        <v/>
      </c>
      <c r="Q632" s="3">
        <f t="shared" si="85"/>
        <v>0</v>
      </c>
      <c r="R632" s="3">
        <f t="shared" si="86"/>
        <v>0</v>
      </c>
      <c r="S632" s="3" t="e" cm="1">
        <f t="array" aca="1" ref="S632" ca="1">SUMPRODUCT(MID($P632,ROW(INDIRECT("1:23")),1)*2^(-ROW(INDIRECT("1:23"))))</f>
        <v>#VALUE!</v>
      </c>
      <c r="T632" s="3" t="e">
        <f t="shared" ca="1" si="87"/>
        <v>#VALUE!</v>
      </c>
      <c r="U632" s="3" t="e">
        <f t="shared" ca="1" si="88"/>
        <v>#VALUE!</v>
      </c>
      <c r="V632" s="73"/>
      <c r="W632" s="9" t="str">
        <f t="shared" si="89"/>
        <v>OK</v>
      </c>
    </row>
    <row r="633" spans="1:23" x14ac:dyDescent="0.3">
      <c r="A633" s="44">
        <v>630</v>
      </c>
      <c r="B633" s="14">
        <v>9</v>
      </c>
      <c r="C633" s="4">
        <v>13</v>
      </c>
      <c r="D633" s="3" t="str">
        <f>VLOOKUP($C633,Overall!$K$5:$T$36,2)</f>
        <v>Normal</v>
      </c>
      <c r="E633" s="3">
        <f ca="1">VLOOKUP($C633,Overall!$K$5:$T$36,10)</f>
        <v>0</v>
      </c>
      <c r="F633" s="9" t="str">
        <f>VLOOKUP($C633,Overall!$K$5:$T$36,6)</f>
        <v>00000000000000000000000000000000</v>
      </c>
      <c r="G633" s="8">
        <v>18</v>
      </c>
      <c r="H633" s="3" t="str">
        <f>VLOOKUP($G633,Overall!$K$5:$T$36,2)</f>
        <v>Normal</v>
      </c>
      <c r="I633" s="3">
        <f ca="1">VLOOKUP($G633,Overall!$K$5:$T$36,10)</f>
        <v>1</v>
      </c>
      <c r="J633" s="62" t="str">
        <f>VLOOKUP($G633,Overall!$K$5:$T$36,6)</f>
        <v>00111111100000000000000000000000</v>
      </c>
      <c r="K633" s="8">
        <f t="shared" ca="1" si="81"/>
        <v>0</v>
      </c>
      <c r="L633" s="62">
        <f>VLOOKUP($B633,Overall!$B$5:$I$13,8)</f>
        <v>0</v>
      </c>
      <c r="M633" s="58"/>
      <c r="N633" s="3" t="str">
        <f t="shared" si="82"/>
        <v/>
      </c>
      <c r="O633" s="3" t="str">
        <f t="shared" si="83"/>
        <v/>
      </c>
      <c r="P633" s="3" t="str">
        <f t="shared" si="84"/>
        <v/>
      </c>
      <c r="Q633" s="3">
        <f t="shared" si="85"/>
        <v>0</v>
      </c>
      <c r="R633" s="3">
        <f t="shared" si="86"/>
        <v>0</v>
      </c>
      <c r="S633" s="3" t="e" cm="1">
        <f t="array" aca="1" ref="S633" ca="1">SUMPRODUCT(MID($P633,ROW(INDIRECT("1:23")),1)*2^(-ROW(INDIRECT("1:23"))))</f>
        <v>#VALUE!</v>
      </c>
      <c r="T633" s="3" t="e">
        <f t="shared" ca="1" si="87"/>
        <v>#VALUE!</v>
      </c>
      <c r="U633" s="3" t="e">
        <f t="shared" ca="1" si="88"/>
        <v>#VALUE!</v>
      </c>
      <c r="V633" s="73"/>
      <c r="W633" s="9" t="str">
        <f t="shared" si="89"/>
        <v>OK</v>
      </c>
    </row>
    <row r="634" spans="1:23" x14ac:dyDescent="0.3">
      <c r="A634" s="44">
        <v>631</v>
      </c>
      <c r="B634" s="14">
        <v>9</v>
      </c>
      <c r="C634" s="4">
        <v>13</v>
      </c>
      <c r="D634" s="3" t="str">
        <f>VLOOKUP($C634,Overall!$K$5:$T$36,2)</f>
        <v>Normal</v>
      </c>
      <c r="E634" s="3">
        <f ca="1">VLOOKUP($C634,Overall!$K$5:$T$36,10)</f>
        <v>0</v>
      </c>
      <c r="F634" s="9" t="str">
        <f>VLOOKUP($C634,Overall!$K$5:$T$36,6)</f>
        <v>00000000000000000000000000000000</v>
      </c>
      <c r="G634" s="8">
        <v>19</v>
      </c>
      <c r="H634" s="3" t="str">
        <f>VLOOKUP($G634,Overall!$K$5:$T$36,2)</f>
        <v>Normal</v>
      </c>
      <c r="I634" s="3">
        <f ca="1">VLOOKUP($G634,Overall!$K$5:$T$36,10)</f>
        <v>1.5</v>
      </c>
      <c r="J634" s="62" t="str">
        <f>VLOOKUP($G634,Overall!$K$5:$T$36,6)</f>
        <v>00111111110000000000000000000000</v>
      </c>
      <c r="K634" s="8">
        <f t="shared" ca="1" si="81"/>
        <v>0</v>
      </c>
      <c r="L634" s="62">
        <f>VLOOKUP($B634,Overall!$B$5:$I$13,8)</f>
        <v>0</v>
      </c>
      <c r="M634" s="58"/>
      <c r="N634" s="3" t="str">
        <f t="shared" si="82"/>
        <v/>
      </c>
      <c r="O634" s="3" t="str">
        <f t="shared" si="83"/>
        <v/>
      </c>
      <c r="P634" s="3" t="str">
        <f t="shared" si="84"/>
        <v/>
      </c>
      <c r="Q634" s="3">
        <f t="shared" si="85"/>
        <v>0</v>
      </c>
      <c r="R634" s="3">
        <f t="shared" si="86"/>
        <v>0</v>
      </c>
      <c r="S634" s="3" t="e" cm="1">
        <f t="array" aca="1" ref="S634" ca="1">SUMPRODUCT(MID($P634,ROW(INDIRECT("1:23")),1)*2^(-ROW(INDIRECT("1:23"))))</f>
        <v>#VALUE!</v>
      </c>
      <c r="T634" s="3" t="e">
        <f t="shared" ca="1" si="87"/>
        <v>#VALUE!</v>
      </c>
      <c r="U634" s="3" t="e">
        <f t="shared" ca="1" si="88"/>
        <v>#VALUE!</v>
      </c>
      <c r="V634" s="73"/>
      <c r="W634" s="9" t="str">
        <f t="shared" si="89"/>
        <v>OK</v>
      </c>
    </row>
    <row r="635" spans="1:23" x14ac:dyDescent="0.3">
      <c r="A635" s="44">
        <v>632</v>
      </c>
      <c r="B635" s="14">
        <v>9</v>
      </c>
      <c r="C635" s="4">
        <v>13</v>
      </c>
      <c r="D635" s="3" t="str">
        <f>VLOOKUP($C635,Overall!$K$5:$T$36,2)</f>
        <v>Normal</v>
      </c>
      <c r="E635" s="3">
        <f ca="1">VLOOKUP($C635,Overall!$K$5:$T$36,10)</f>
        <v>0</v>
      </c>
      <c r="F635" s="9" t="str">
        <f>VLOOKUP($C635,Overall!$K$5:$T$36,6)</f>
        <v>00000000000000000000000000000000</v>
      </c>
      <c r="G635" s="8">
        <v>20</v>
      </c>
      <c r="H635" s="3" t="str">
        <f>VLOOKUP($G635,Overall!$K$5:$T$36,2)</f>
        <v>Normal</v>
      </c>
      <c r="I635" s="3">
        <f ca="1">VLOOKUP($G635,Overall!$K$5:$T$36,10)</f>
        <v>12345.6787109375</v>
      </c>
      <c r="J635" s="62" t="str">
        <f>VLOOKUP($G635,Overall!$K$5:$T$36,6)</f>
        <v>001000110010000001110011010110111</v>
      </c>
      <c r="K635" s="8">
        <f t="shared" ca="1" si="81"/>
        <v>0</v>
      </c>
      <c r="L635" s="62">
        <f>VLOOKUP($B635,Overall!$B$5:$I$13,8)</f>
        <v>0</v>
      </c>
      <c r="M635" s="58"/>
      <c r="N635" s="3" t="str">
        <f t="shared" si="82"/>
        <v/>
      </c>
      <c r="O635" s="3" t="str">
        <f t="shared" si="83"/>
        <v/>
      </c>
      <c r="P635" s="3" t="str">
        <f t="shared" si="84"/>
        <v/>
      </c>
      <c r="Q635" s="3">
        <f t="shared" si="85"/>
        <v>0</v>
      </c>
      <c r="R635" s="3">
        <f t="shared" si="86"/>
        <v>0</v>
      </c>
      <c r="S635" s="3" t="e" cm="1">
        <f t="array" aca="1" ref="S635" ca="1">SUMPRODUCT(MID($P635,ROW(INDIRECT("1:23")),1)*2^(-ROW(INDIRECT("1:23"))))</f>
        <v>#VALUE!</v>
      </c>
      <c r="T635" s="3" t="e">
        <f t="shared" ca="1" si="87"/>
        <v>#VALUE!</v>
      </c>
      <c r="U635" s="3" t="e">
        <f t="shared" ca="1" si="88"/>
        <v>#VALUE!</v>
      </c>
      <c r="V635" s="73"/>
      <c r="W635" s="9" t="str">
        <f t="shared" si="89"/>
        <v>OK</v>
      </c>
    </row>
    <row r="636" spans="1:23" x14ac:dyDescent="0.3">
      <c r="A636" s="44">
        <v>633</v>
      </c>
      <c r="B636" s="14">
        <v>9</v>
      </c>
      <c r="C636" s="4">
        <v>13</v>
      </c>
      <c r="D636" s="3" t="str">
        <f>VLOOKUP($C636,Overall!$K$5:$T$36,2)</f>
        <v>Normal</v>
      </c>
      <c r="E636" s="3">
        <f ca="1">VLOOKUP($C636,Overall!$K$5:$T$36,10)</f>
        <v>0</v>
      </c>
      <c r="F636" s="9" t="str">
        <f>VLOOKUP($C636,Overall!$K$5:$T$36,6)</f>
        <v>00000000000000000000000000000000</v>
      </c>
      <c r="G636" s="8">
        <v>21</v>
      </c>
      <c r="H636" s="3" t="str">
        <f>VLOOKUP($G636,Overall!$K$5:$T$36,2)</f>
        <v>Normal</v>
      </c>
      <c r="I636" s="3">
        <f ca="1">VLOOKUP($G636,Overall!$K$5:$T$36,10)</f>
        <v>2.345678924830959E+38</v>
      </c>
      <c r="J636" s="62" t="str">
        <f>VLOOKUP($G636,Overall!$K$5:$T$36,6)</f>
        <v>01111111001100000111100000100010</v>
      </c>
      <c r="K636" s="8">
        <f t="shared" ca="1" si="81"/>
        <v>0</v>
      </c>
      <c r="L636" s="62">
        <f>VLOOKUP($B636,Overall!$B$5:$I$13,8)</f>
        <v>0</v>
      </c>
      <c r="M636" s="58"/>
      <c r="N636" s="3" t="str">
        <f t="shared" si="82"/>
        <v/>
      </c>
      <c r="O636" s="3" t="str">
        <f t="shared" si="83"/>
        <v/>
      </c>
      <c r="P636" s="3" t="str">
        <f t="shared" si="84"/>
        <v/>
      </c>
      <c r="Q636" s="3">
        <f t="shared" si="85"/>
        <v>0</v>
      </c>
      <c r="R636" s="3">
        <f t="shared" si="86"/>
        <v>0</v>
      </c>
      <c r="S636" s="3" t="e" cm="1">
        <f t="array" aca="1" ref="S636" ca="1">SUMPRODUCT(MID($P636,ROW(INDIRECT("1:23")),1)*2^(-ROW(INDIRECT("1:23"))))</f>
        <v>#VALUE!</v>
      </c>
      <c r="T636" s="3" t="e">
        <f t="shared" ca="1" si="87"/>
        <v>#VALUE!</v>
      </c>
      <c r="U636" s="3" t="e">
        <f t="shared" ca="1" si="88"/>
        <v>#VALUE!</v>
      </c>
      <c r="V636" s="73"/>
      <c r="W636" s="9" t="str">
        <f t="shared" si="89"/>
        <v>OK</v>
      </c>
    </row>
    <row r="637" spans="1:23" x14ac:dyDescent="0.3">
      <c r="A637" s="44">
        <v>634</v>
      </c>
      <c r="B637" s="14">
        <v>9</v>
      </c>
      <c r="C637" s="4">
        <v>13</v>
      </c>
      <c r="D637" s="3" t="str">
        <f>VLOOKUP($C637,Overall!$K$5:$T$36,2)</f>
        <v>Normal</v>
      </c>
      <c r="E637" s="3">
        <f ca="1">VLOOKUP($C637,Overall!$K$5:$T$36,10)</f>
        <v>0</v>
      </c>
      <c r="F637" s="9" t="str">
        <f>VLOOKUP($C637,Overall!$K$5:$T$36,6)</f>
        <v>00000000000000000000000000000000</v>
      </c>
      <c r="G637" s="8">
        <v>22</v>
      </c>
      <c r="H637" s="3" t="str">
        <f>VLOOKUP($G637,Overall!$K$5:$T$36,2)</f>
        <v>Normal</v>
      </c>
      <c r="I637" s="3">
        <f ca="1">VLOOKUP($G637,Overall!$K$5:$T$36,10)</f>
        <v>3.4028232635611926E+38</v>
      </c>
      <c r="J637" s="62" t="str">
        <f>VLOOKUP($G637,Overall!$K$5:$T$36,6)</f>
        <v>01111111011111111111111111111110</v>
      </c>
      <c r="K637" s="8">
        <f t="shared" ca="1" si="81"/>
        <v>0</v>
      </c>
      <c r="L637" s="62">
        <f>VLOOKUP($B637,Overall!$B$5:$I$13,8)</f>
        <v>0</v>
      </c>
      <c r="M637" s="58"/>
      <c r="N637" s="3" t="str">
        <f t="shared" si="82"/>
        <v/>
      </c>
      <c r="O637" s="3" t="str">
        <f t="shared" si="83"/>
        <v/>
      </c>
      <c r="P637" s="3" t="str">
        <f t="shared" si="84"/>
        <v/>
      </c>
      <c r="Q637" s="3">
        <f t="shared" si="85"/>
        <v>0</v>
      </c>
      <c r="R637" s="3">
        <f t="shared" si="86"/>
        <v>0</v>
      </c>
      <c r="S637" s="3" t="e" cm="1">
        <f t="array" aca="1" ref="S637" ca="1">SUMPRODUCT(MID($P637,ROW(INDIRECT("1:23")),1)*2^(-ROW(INDIRECT("1:23"))))</f>
        <v>#VALUE!</v>
      </c>
      <c r="T637" s="3" t="e">
        <f t="shared" ca="1" si="87"/>
        <v>#VALUE!</v>
      </c>
      <c r="U637" s="3" t="e">
        <f t="shared" ca="1" si="88"/>
        <v>#VALUE!</v>
      </c>
      <c r="V637" s="73"/>
      <c r="W637" s="9" t="str">
        <f t="shared" si="89"/>
        <v>OK</v>
      </c>
    </row>
    <row r="638" spans="1:23" x14ac:dyDescent="0.3">
      <c r="A638" s="44">
        <v>635</v>
      </c>
      <c r="B638" s="14">
        <v>9</v>
      </c>
      <c r="C638" s="4">
        <v>13</v>
      </c>
      <c r="D638" s="3" t="str">
        <f>VLOOKUP($C638,Overall!$K$5:$T$36,2)</f>
        <v>Normal</v>
      </c>
      <c r="E638" s="3">
        <f ca="1">VLOOKUP($C638,Overall!$K$5:$T$36,10)</f>
        <v>0</v>
      </c>
      <c r="F638" s="9" t="str">
        <f>VLOOKUP($C638,Overall!$K$5:$T$36,6)</f>
        <v>00000000000000000000000000000000</v>
      </c>
      <c r="G638" s="8">
        <v>23</v>
      </c>
      <c r="H638" s="3" t="str">
        <f>VLOOKUP($G638,Overall!$K$5:$T$36,2)</f>
        <v>Normal</v>
      </c>
      <c r="I638" s="3">
        <f ca="1">VLOOKUP($G638,Overall!$K$5:$T$36,10)</f>
        <v>3.4028234663852886E+38</v>
      </c>
      <c r="J638" s="62" t="str">
        <f>VLOOKUP($G638,Overall!$K$5:$T$36,6)</f>
        <v>01111111011111111111111111111111</v>
      </c>
      <c r="K638" s="8">
        <f t="shared" ca="1" si="81"/>
        <v>0</v>
      </c>
      <c r="L638" s="62">
        <f>VLOOKUP($B638,Overall!$B$5:$I$13,8)</f>
        <v>0</v>
      </c>
      <c r="M638" s="58"/>
      <c r="N638" s="3" t="str">
        <f t="shared" si="82"/>
        <v/>
      </c>
      <c r="O638" s="3" t="str">
        <f t="shared" si="83"/>
        <v/>
      </c>
      <c r="P638" s="3" t="str">
        <f t="shared" si="84"/>
        <v/>
      </c>
      <c r="Q638" s="3">
        <f t="shared" si="85"/>
        <v>0</v>
      </c>
      <c r="R638" s="3">
        <f t="shared" si="86"/>
        <v>0</v>
      </c>
      <c r="S638" s="3" t="e" cm="1">
        <f t="array" aca="1" ref="S638" ca="1">SUMPRODUCT(MID($P638,ROW(INDIRECT("1:23")),1)*2^(-ROW(INDIRECT("1:23"))))</f>
        <v>#VALUE!</v>
      </c>
      <c r="T638" s="3" t="e">
        <f t="shared" ca="1" si="87"/>
        <v>#VALUE!</v>
      </c>
      <c r="U638" s="3" t="e">
        <f t="shared" ca="1" si="88"/>
        <v>#VALUE!</v>
      </c>
      <c r="V638" s="73"/>
      <c r="W638" s="9" t="str">
        <f t="shared" si="89"/>
        <v>OK</v>
      </c>
    </row>
    <row r="639" spans="1:23" x14ac:dyDescent="0.3">
      <c r="A639" s="44">
        <v>636</v>
      </c>
      <c r="B639" s="14">
        <v>9</v>
      </c>
      <c r="C639" s="4">
        <v>13</v>
      </c>
      <c r="D639" s="3" t="str">
        <f>VLOOKUP($C639,Overall!$K$5:$T$36,2)</f>
        <v>Normal</v>
      </c>
      <c r="E639" s="3">
        <f ca="1">VLOOKUP($C639,Overall!$K$5:$T$36,10)</f>
        <v>0</v>
      </c>
      <c r="F639" s="9" t="str">
        <f>VLOOKUP($C639,Overall!$K$5:$T$36,6)</f>
        <v>00000000000000000000000000000000</v>
      </c>
      <c r="G639" s="8">
        <v>24</v>
      </c>
      <c r="H639" s="3" t="str">
        <f>VLOOKUP($G639,Overall!$K$5:$T$36,2)</f>
        <v>Normal</v>
      </c>
      <c r="I639" s="3">
        <f ca="1">VLOOKUP($G639,Overall!$K$5:$T$36,10)</f>
        <v>-1.1754943508222875E-38</v>
      </c>
      <c r="J639" s="62" t="str">
        <f>VLOOKUP($G639,Overall!$K$5:$T$36,6)</f>
        <v>10000000100000000000000000000000</v>
      </c>
      <c r="K639" s="8">
        <f t="shared" ca="1" si="81"/>
        <v>0</v>
      </c>
      <c r="L639" s="62">
        <f>VLOOKUP($B639,Overall!$B$5:$I$13,8)</f>
        <v>0</v>
      </c>
      <c r="M639" s="58"/>
      <c r="N639" s="3" t="str">
        <f t="shared" si="82"/>
        <v/>
      </c>
      <c r="O639" s="3" t="str">
        <f t="shared" si="83"/>
        <v/>
      </c>
      <c r="P639" s="3" t="str">
        <f t="shared" si="84"/>
        <v/>
      </c>
      <c r="Q639" s="3">
        <f t="shared" si="85"/>
        <v>0</v>
      </c>
      <c r="R639" s="3">
        <f t="shared" si="86"/>
        <v>0</v>
      </c>
      <c r="S639" s="3" t="e" cm="1">
        <f t="array" aca="1" ref="S639" ca="1">SUMPRODUCT(MID($P639,ROW(INDIRECT("1:23")),1)*2^(-ROW(INDIRECT("1:23"))))</f>
        <v>#VALUE!</v>
      </c>
      <c r="T639" s="3" t="e">
        <f t="shared" ca="1" si="87"/>
        <v>#VALUE!</v>
      </c>
      <c r="U639" s="3" t="e">
        <f t="shared" ca="1" si="88"/>
        <v>#VALUE!</v>
      </c>
      <c r="V639" s="73"/>
      <c r="W639" s="9" t="str">
        <f t="shared" si="89"/>
        <v>OK</v>
      </c>
    </row>
    <row r="640" spans="1:23" x14ac:dyDescent="0.3">
      <c r="A640" s="44">
        <v>637</v>
      </c>
      <c r="B640" s="14">
        <v>9</v>
      </c>
      <c r="C640" s="4">
        <v>13</v>
      </c>
      <c r="D640" s="3" t="str">
        <f>VLOOKUP($C640,Overall!$K$5:$T$36,2)</f>
        <v>Normal</v>
      </c>
      <c r="E640" s="3">
        <f ca="1">VLOOKUP($C640,Overall!$K$5:$T$36,10)</f>
        <v>0</v>
      </c>
      <c r="F640" s="9" t="str">
        <f>VLOOKUP($C640,Overall!$K$5:$T$36,6)</f>
        <v>00000000000000000000000000000000</v>
      </c>
      <c r="G640" s="8">
        <v>25</v>
      </c>
      <c r="H640" s="3" t="str">
        <f>VLOOKUP($G640,Overall!$K$5:$T$36,2)</f>
        <v>Normal</v>
      </c>
      <c r="I640" s="3">
        <f ca="1">VLOOKUP($G640,Overall!$K$5:$T$36,10)</f>
        <v>-1.1754944909521339E-38</v>
      </c>
      <c r="J640" s="62" t="str">
        <f>VLOOKUP($G640,Overall!$K$5:$T$36,6)</f>
        <v>10000000100000000000000000000001</v>
      </c>
      <c r="K640" s="8">
        <f t="shared" ca="1" si="81"/>
        <v>0</v>
      </c>
      <c r="L640" s="62">
        <f>VLOOKUP($B640,Overall!$B$5:$I$13,8)</f>
        <v>0</v>
      </c>
      <c r="M640" s="58"/>
      <c r="N640" s="3" t="str">
        <f t="shared" si="82"/>
        <v/>
      </c>
      <c r="O640" s="3" t="str">
        <f t="shared" si="83"/>
        <v/>
      </c>
      <c r="P640" s="3" t="str">
        <f t="shared" si="84"/>
        <v/>
      </c>
      <c r="Q640" s="3">
        <f t="shared" si="85"/>
        <v>0</v>
      </c>
      <c r="R640" s="3">
        <f t="shared" si="86"/>
        <v>0</v>
      </c>
      <c r="S640" s="3" t="e" cm="1">
        <f t="array" aca="1" ref="S640" ca="1">SUMPRODUCT(MID($P640,ROW(INDIRECT("1:23")),1)*2^(-ROW(INDIRECT("1:23"))))</f>
        <v>#VALUE!</v>
      </c>
      <c r="T640" s="3" t="e">
        <f t="shared" ca="1" si="87"/>
        <v>#VALUE!</v>
      </c>
      <c r="U640" s="3" t="e">
        <f t="shared" ca="1" si="88"/>
        <v>#VALUE!</v>
      </c>
      <c r="V640" s="73"/>
      <c r="W640" s="9" t="str">
        <f t="shared" si="89"/>
        <v>OK</v>
      </c>
    </row>
    <row r="641" spans="1:23" x14ac:dyDescent="0.3">
      <c r="A641" s="44">
        <v>638</v>
      </c>
      <c r="B641" s="14">
        <v>9</v>
      </c>
      <c r="C641" s="4">
        <v>13</v>
      </c>
      <c r="D641" s="3" t="str">
        <f>VLOOKUP($C641,Overall!$K$5:$T$36,2)</f>
        <v>Normal</v>
      </c>
      <c r="E641" s="3">
        <f ca="1">VLOOKUP($C641,Overall!$K$5:$T$36,10)</f>
        <v>0</v>
      </c>
      <c r="F641" s="9" t="str">
        <f>VLOOKUP($C641,Overall!$K$5:$T$36,6)</f>
        <v>00000000000000000000000000000000</v>
      </c>
      <c r="G641" s="8">
        <v>26</v>
      </c>
      <c r="H641" s="3" t="str">
        <f>VLOOKUP($G641,Overall!$K$5:$T$36,2)</f>
        <v>Normal</v>
      </c>
      <c r="I641" s="3">
        <f ca="1">VLOOKUP($G641,Overall!$K$5:$T$36,10)</f>
        <v>-0.5</v>
      </c>
      <c r="J641" s="62" t="str">
        <f>VLOOKUP($G641,Overall!$K$5:$T$36,6)</f>
        <v>10111111000000000000000000000000</v>
      </c>
      <c r="K641" s="8">
        <f t="shared" ca="1" si="81"/>
        <v>0</v>
      </c>
      <c r="L641" s="62">
        <f>VLOOKUP($B641,Overall!$B$5:$I$13,8)</f>
        <v>0</v>
      </c>
      <c r="M641" s="58"/>
      <c r="N641" s="3" t="str">
        <f t="shared" si="82"/>
        <v/>
      </c>
      <c r="O641" s="3" t="str">
        <f t="shared" si="83"/>
        <v/>
      </c>
      <c r="P641" s="3" t="str">
        <f t="shared" si="84"/>
        <v/>
      </c>
      <c r="Q641" s="3">
        <f t="shared" si="85"/>
        <v>0</v>
      </c>
      <c r="R641" s="3">
        <f t="shared" si="86"/>
        <v>0</v>
      </c>
      <c r="S641" s="3" t="e" cm="1">
        <f t="array" aca="1" ref="S641" ca="1">SUMPRODUCT(MID($P641,ROW(INDIRECT("1:23")),1)*2^(-ROW(INDIRECT("1:23"))))</f>
        <v>#VALUE!</v>
      </c>
      <c r="T641" s="3" t="e">
        <f t="shared" ca="1" si="87"/>
        <v>#VALUE!</v>
      </c>
      <c r="U641" s="3" t="e">
        <f t="shared" ca="1" si="88"/>
        <v>#VALUE!</v>
      </c>
      <c r="V641" s="73"/>
      <c r="W641" s="9" t="str">
        <f t="shared" si="89"/>
        <v>OK</v>
      </c>
    </row>
    <row r="642" spans="1:23" x14ac:dyDescent="0.3">
      <c r="A642" s="44">
        <v>639</v>
      </c>
      <c r="B642" s="14">
        <v>9</v>
      </c>
      <c r="C642" s="4">
        <v>13</v>
      </c>
      <c r="D642" s="3" t="str">
        <f>VLOOKUP($C642,Overall!$K$5:$T$36,2)</f>
        <v>Normal</v>
      </c>
      <c r="E642" s="3">
        <f ca="1">VLOOKUP($C642,Overall!$K$5:$T$36,10)</f>
        <v>0</v>
      </c>
      <c r="F642" s="9" t="str">
        <f>VLOOKUP($C642,Overall!$K$5:$T$36,6)</f>
        <v>00000000000000000000000000000000</v>
      </c>
      <c r="G642" s="8">
        <v>27</v>
      </c>
      <c r="H642" s="3" t="str">
        <f>VLOOKUP($G642,Overall!$K$5:$T$36,2)</f>
        <v>Normal</v>
      </c>
      <c r="I642" s="3">
        <f ca="1">VLOOKUP($G642,Overall!$K$5:$T$36,10)</f>
        <v>-1</v>
      </c>
      <c r="J642" s="62" t="str">
        <f>VLOOKUP($G642,Overall!$K$5:$T$36,6)</f>
        <v>10111111100000000000000000000000</v>
      </c>
      <c r="K642" s="8">
        <f t="shared" ca="1" si="81"/>
        <v>0</v>
      </c>
      <c r="L642" s="62">
        <f>VLOOKUP($B642,Overall!$B$5:$I$13,8)</f>
        <v>0</v>
      </c>
      <c r="M642" s="58"/>
      <c r="N642" s="3" t="str">
        <f t="shared" si="82"/>
        <v/>
      </c>
      <c r="O642" s="3" t="str">
        <f t="shared" si="83"/>
        <v/>
      </c>
      <c r="P642" s="3" t="str">
        <f t="shared" si="84"/>
        <v/>
      </c>
      <c r="Q642" s="3">
        <f t="shared" si="85"/>
        <v>0</v>
      </c>
      <c r="R642" s="3">
        <f t="shared" si="86"/>
        <v>0</v>
      </c>
      <c r="S642" s="3" t="e" cm="1">
        <f t="array" aca="1" ref="S642" ca="1">SUMPRODUCT(MID($P642,ROW(INDIRECT("1:23")),1)*2^(-ROW(INDIRECT("1:23"))))</f>
        <v>#VALUE!</v>
      </c>
      <c r="T642" s="3" t="e">
        <f t="shared" ca="1" si="87"/>
        <v>#VALUE!</v>
      </c>
      <c r="U642" s="3" t="e">
        <f t="shared" ca="1" si="88"/>
        <v>#VALUE!</v>
      </c>
      <c r="V642" s="73"/>
      <c r="W642" s="9" t="str">
        <f t="shared" si="89"/>
        <v>OK</v>
      </c>
    </row>
    <row r="643" spans="1:23" x14ac:dyDescent="0.3">
      <c r="A643" s="44">
        <v>640</v>
      </c>
      <c r="B643" s="14">
        <v>9</v>
      </c>
      <c r="C643" s="4">
        <v>13</v>
      </c>
      <c r="D643" s="3" t="str">
        <f>VLOOKUP($C643,Overall!$K$5:$T$36,2)</f>
        <v>Normal</v>
      </c>
      <c r="E643" s="3">
        <f ca="1">VLOOKUP($C643,Overall!$K$5:$T$36,10)</f>
        <v>0</v>
      </c>
      <c r="F643" s="9" t="str">
        <f>VLOOKUP($C643,Overall!$K$5:$T$36,6)</f>
        <v>00000000000000000000000000000000</v>
      </c>
      <c r="G643" s="8">
        <v>28</v>
      </c>
      <c r="H643" s="3" t="str">
        <f>VLOOKUP($G643,Overall!$K$5:$T$36,2)</f>
        <v>Normal</v>
      </c>
      <c r="I643" s="3">
        <f ca="1">VLOOKUP($G643,Overall!$K$5:$T$36,10)</f>
        <v>-1.5</v>
      </c>
      <c r="J643" s="62" t="str">
        <f>VLOOKUP($G643,Overall!$K$5:$T$36,6)</f>
        <v>10111111110000000000000000000000</v>
      </c>
      <c r="K643" s="8">
        <f t="shared" ca="1" si="81"/>
        <v>0</v>
      </c>
      <c r="L643" s="62">
        <f>VLOOKUP($B643,Overall!$B$5:$I$13,8)</f>
        <v>0</v>
      </c>
      <c r="M643" s="58"/>
      <c r="N643" s="3" t="str">
        <f t="shared" si="82"/>
        <v/>
      </c>
      <c r="O643" s="3" t="str">
        <f t="shared" si="83"/>
        <v/>
      </c>
      <c r="P643" s="3" t="str">
        <f t="shared" si="84"/>
        <v/>
      </c>
      <c r="Q643" s="3">
        <f t="shared" si="85"/>
        <v>0</v>
      </c>
      <c r="R643" s="3">
        <f t="shared" si="86"/>
        <v>0</v>
      </c>
      <c r="S643" s="3" t="e" cm="1">
        <f t="array" aca="1" ref="S643" ca="1">SUMPRODUCT(MID($P643,ROW(INDIRECT("1:23")),1)*2^(-ROW(INDIRECT("1:23"))))</f>
        <v>#VALUE!</v>
      </c>
      <c r="T643" s="3" t="e">
        <f t="shared" ca="1" si="87"/>
        <v>#VALUE!</v>
      </c>
      <c r="U643" s="3" t="e">
        <f t="shared" ca="1" si="88"/>
        <v>#VALUE!</v>
      </c>
      <c r="V643" s="73"/>
      <c r="W643" s="9" t="str">
        <f t="shared" si="89"/>
        <v>OK</v>
      </c>
    </row>
    <row r="644" spans="1:23" x14ac:dyDescent="0.3">
      <c r="A644" s="44">
        <v>641</v>
      </c>
      <c r="B644" s="14">
        <v>9</v>
      </c>
      <c r="C644" s="4">
        <v>13</v>
      </c>
      <c r="D644" s="3" t="str">
        <f>VLOOKUP($C644,Overall!$K$5:$T$36,2)</f>
        <v>Normal</v>
      </c>
      <c r="E644" s="3">
        <f ca="1">VLOOKUP($C644,Overall!$K$5:$T$36,10)</f>
        <v>0</v>
      </c>
      <c r="F644" s="9" t="str">
        <f>VLOOKUP($C644,Overall!$K$5:$T$36,6)</f>
        <v>00000000000000000000000000000000</v>
      </c>
      <c r="G644" s="8">
        <v>29</v>
      </c>
      <c r="H644" s="3" t="str">
        <f>VLOOKUP($G644,Overall!$K$5:$T$36,2)</f>
        <v>Normal</v>
      </c>
      <c r="I644" s="3">
        <f ca="1">VLOOKUP($G644,Overall!$K$5:$T$36,10)</f>
        <v>-12345.6787109375</v>
      </c>
      <c r="J644" s="62" t="str">
        <f>VLOOKUP($G644,Overall!$K$5:$T$36,6)</f>
        <v>101000110010000001110011010110111</v>
      </c>
      <c r="K644" s="8">
        <f t="shared" ca="1" si="81"/>
        <v>0</v>
      </c>
      <c r="L644" s="62">
        <f>VLOOKUP($B644,Overall!$B$5:$I$13,8)</f>
        <v>0</v>
      </c>
      <c r="M644" s="58"/>
      <c r="N644" s="3" t="str">
        <f t="shared" si="82"/>
        <v/>
      </c>
      <c r="O644" s="3" t="str">
        <f t="shared" si="83"/>
        <v/>
      </c>
      <c r="P644" s="3" t="str">
        <f t="shared" si="84"/>
        <v/>
      </c>
      <c r="Q644" s="3">
        <f t="shared" si="85"/>
        <v>0</v>
      </c>
      <c r="R644" s="3">
        <f t="shared" si="86"/>
        <v>0</v>
      </c>
      <c r="S644" s="3" t="e" cm="1">
        <f t="array" aca="1" ref="S644" ca="1">SUMPRODUCT(MID($P644,ROW(INDIRECT("1:23")),1)*2^(-ROW(INDIRECT("1:23"))))</f>
        <v>#VALUE!</v>
      </c>
      <c r="T644" s="3" t="e">
        <f t="shared" ca="1" si="87"/>
        <v>#VALUE!</v>
      </c>
      <c r="U644" s="3" t="e">
        <f t="shared" ca="1" si="88"/>
        <v>#VALUE!</v>
      </c>
      <c r="V644" s="73"/>
      <c r="W644" s="9" t="str">
        <f t="shared" si="89"/>
        <v>OK</v>
      </c>
    </row>
    <row r="645" spans="1:23" x14ac:dyDescent="0.3">
      <c r="A645" s="44">
        <v>642</v>
      </c>
      <c r="B645" s="14">
        <v>9</v>
      </c>
      <c r="C645" s="4">
        <v>13</v>
      </c>
      <c r="D645" s="3" t="str">
        <f>VLOOKUP($C645,Overall!$K$5:$T$36,2)</f>
        <v>Normal</v>
      </c>
      <c r="E645" s="3">
        <f ca="1">VLOOKUP($C645,Overall!$K$5:$T$36,10)</f>
        <v>0</v>
      </c>
      <c r="F645" s="9" t="str">
        <f>VLOOKUP($C645,Overall!$K$5:$T$36,6)</f>
        <v>00000000000000000000000000000000</v>
      </c>
      <c r="G645" s="8">
        <v>30</v>
      </c>
      <c r="H645" s="3" t="str">
        <f>VLOOKUP($G645,Overall!$K$5:$T$36,2)</f>
        <v>Normal</v>
      </c>
      <c r="I645" s="3">
        <f ca="1">VLOOKUP($G645,Overall!$K$5:$T$36,10)</f>
        <v>-2.345678924830959E+38</v>
      </c>
      <c r="J645" s="62" t="str">
        <f>VLOOKUP($G645,Overall!$K$5:$T$36,6)</f>
        <v>11111111001100000111100000100010</v>
      </c>
      <c r="K645" s="8">
        <f t="shared" ref="K645:K708" ca="1" si="90">E645*I645</f>
        <v>0</v>
      </c>
      <c r="L645" s="62">
        <f>VLOOKUP($B645,Overall!$B$5:$I$13,8)</f>
        <v>0</v>
      </c>
      <c r="M645" s="58"/>
      <c r="N645" s="3" t="str">
        <f t="shared" ref="N645:N708" si="91">LEFT($M645,1)</f>
        <v/>
      </c>
      <c r="O645" s="3" t="str">
        <f t="shared" ref="O645:O708" si="92">MID($M645,2,8)</f>
        <v/>
      </c>
      <c r="P645" s="3" t="str">
        <f t="shared" ref="P645:P708" si="93">MID($M645,10,23)</f>
        <v/>
      </c>
      <c r="Q645" s="3">
        <f t="shared" ref="Q645:Q708" si="94">BIN2DEC($N645)</f>
        <v>0</v>
      </c>
      <c r="R645" s="3">
        <f t="shared" ref="R645:R708" si="95">BIN2DEC($O645)</f>
        <v>0</v>
      </c>
      <c r="S645" s="3" t="e" cm="1">
        <f t="array" aca="1" ref="S645" ca="1">SUMPRODUCT(MID($P645,ROW(INDIRECT("1:23")),1)*2^(-ROW(INDIRECT("1:23"))))</f>
        <v>#VALUE!</v>
      </c>
      <c r="T645" s="3" t="e">
        <f t="shared" ref="T645:T708" ca="1" si="96">IF($R645=0,
   (-1)^$Q645 * $S645 * 2^(-126),
   (-1)^$Q645 * (1 + $S645) * 2^($R645 - 127)
)</f>
        <v>#VALUE!</v>
      </c>
      <c r="U645" s="3" t="e">
        <f t="shared" ref="U645:U708" ca="1" si="97">$T645-$K645</f>
        <v>#VALUE!</v>
      </c>
      <c r="V645" s="73"/>
      <c r="W645" s="9" t="str">
        <f t="shared" ref="W645:W708" si="98">IF(L645=V645,"OK","NG")</f>
        <v>OK</v>
      </c>
    </row>
    <row r="646" spans="1:23" x14ac:dyDescent="0.3">
      <c r="A646" s="44">
        <v>643</v>
      </c>
      <c r="B646" s="14">
        <v>9</v>
      </c>
      <c r="C646" s="4">
        <v>13</v>
      </c>
      <c r="D646" s="3" t="str">
        <f>VLOOKUP($C646,Overall!$K$5:$T$36,2)</f>
        <v>Normal</v>
      </c>
      <c r="E646" s="3">
        <f ca="1">VLOOKUP($C646,Overall!$K$5:$T$36,10)</f>
        <v>0</v>
      </c>
      <c r="F646" s="9" t="str">
        <f>VLOOKUP($C646,Overall!$K$5:$T$36,6)</f>
        <v>00000000000000000000000000000000</v>
      </c>
      <c r="G646" s="8">
        <v>31</v>
      </c>
      <c r="H646" s="3" t="str">
        <f>VLOOKUP($G646,Overall!$K$5:$T$36,2)</f>
        <v>Normal</v>
      </c>
      <c r="I646" s="3">
        <f ca="1">VLOOKUP($G646,Overall!$K$5:$T$36,10)</f>
        <v>-3.4028232635611926E+38</v>
      </c>
      <c r="J646" s="62" t="str">
        <f>VLOOKUP($G646,Overall!$K$5:$T$36,6)</f>
        <v>11111111011111111111111111111110</v>
      </c>
      <c r="K646" s="8">
        <f t="shared" ca="1" si="90"/>
        <v>0</v>
      </c>
      <c r="L646" s="62">
        <f>VLOOKUP($B646,Overall!$B$5:$I$13,8)</f>
        <v>0</v>
      </c>
      <c r="M646" s="58"/>
      <c r="N646" s="3" t="str">
        <f t="shared" si="91"/>
        <v/>
      </c>
      <c r="O646" s="3" t="str">
        <f t="shared" si="92"/>
        <v/>
      </c>
      <c r="P646" s="3" t="str">
        <f t="shared" si="93"/>
        <v/>
      </c>
      <c r="Q646" s="3">
        <f t="shared" si="94"/>
        <v>0</v>
      </c>
      <c r="R646" s="3">
        <f t="shared" si="95"/>
        <v>0</v>
      </c>
      <c r="S646" s="3" t="e" cm="1">
        <f t="array" aca="1" ref="S646" ca="1">SUMPRODUCT(MID($P646,ROW(INDIRECT("1:23")),1)*2^(-ROW(INDIRECT("1:23"))))</f>
        <v>#VALUE!</v>
      </c>
      <c r="T646" s="3" t="e">
        <f t="shared" ca="1" si="96"/>
        <v>#VALUE!</v>
      </c>
      <c r="U646" s="3" t="e">
        <f t="shared" ca="1" si="97"/>
        <v>#VALUE!</v>
      </c>
      <c r="V646" s="73"/>
      <c r="W646" s="9" t="str">
        <f t="shared" si="98"/>
        <v>OK</v>
      </c>
    </row>
    <row r="647" spans="1:23" x14ac:dyDescent="0.3">
      <c r="A647" s="44">
        <v>644</v>
      </c>
      <c r="B647" s="14">
        <v>9</v>
      </c>
      <c r="C647" s="4">
        <v>13</v>
      </c>
      <c r="D647" s="3" t="str">
        <f>VLOOKUP($C647,Overall!$K$5:$T$36,2)</f>
        <v>Normal</v>
      </c>
      <c r="E647" s="3">
        <f ca="1">VLOOKUP($C647,Overall!$K$5:$T$36,10)</f>
        <v>0</v>
      </c>
      <c r="F647" s="9" t="str">
        <f>VLOOKUP($C647,Overall!$K$5:$T$36,6)</f>
        <v>00000000000000000000000000000000</v>
      </c>
      <c r="G647" s="8">
        <v>32</v>
      </c>
      <c r="H647" s="3" t="str">
        <f>VLOOKUP($G647,Overall!$K$5:$T$36,2)</f>
        <v>Normal</v>
      </c>
      <c r="I647" s="3">
        <f ca="1">VLOOKUP($G647,Overall!$K$5:$T$36,10)</f>
        <v>-3.4028234663852886E+38</v>
      </c>
      <c r="J647" s="62" t="str">
        <f>VLOOKUP($G647,Overall!$K$5:$T$36,6)</f>
        <v>11111111011111111111111111111111</v>
      </c>
      <c r="K647" s="8">
        <f t="shared" ca="1" si="90"/>
        <v>0</v>
      </c>
      <c r="L647" s="62">
        <f>VLOOKUP($B647,Overall!$B$5:$I$13,8)</f>
        <v>0</v>
      </c>
      <c r="M647" s="58"/>
      <c r="N647" s="3" t="str">
        <f t="shared" si="91"/>
        <v/>
      </c>
      <c r="O647" s="3" t="str">
        <f t="shared" si="92"/>
        <v/>
      </c>
      <c r="P647" s="3" t="str">
        <f t="shared" si="93"/>
        <v/>
      </c>
      <c r="Q647" s="3">
        <f t="shared" si="94"/>
        <v>0</v>
      </c>
      <c r="R647" s="3">
        <f t="shared" si="95"/>
        <v>0</v>
      </c>
      <c r="S647" s="3" t="e" cm="1">
        <f t="array" aca="1" ref="S647" ca="1">SUMPRODUCT(MID($P647,ROW(INDIRECT("1:23")),1)*2^(-ROW(INDIRECT("1:23"))))</f>
        <v>#VALUE!</v>
      </c>
      <c r="T647" s="3" t="e">
        <f t="shared" ca="1" si="96"/>
        <v>#VALUE!</v>
      </c>
      <c r="U647" s="3" t="e">
        <f t="shared" ca="1" si="97"/>
        <v>#VALUE!</v>
      </c>
      <c r="V647" s="73"/>
      <c r="W647" s="9" t="str">
        <f t="shared" si="98"/>
        <v>OK</v>
      </c>
    </row>
    <row r="648" spans="1:23" x14ac:dyDescent="0.3">
      <c r="A648" s="44">
        <v>645</v>
      </c>
      <c r="B648" s="14">
        <v>9</v>
      </c>
      <c r="C648" s="4">
        <v>14</v>
      </c>
      <c r="D648" s="3" t="str">
        <f>VLOOKUP($C648,Overall!$K$5:$T$36,2)</f>
        <v>Normal</v>
      </c>
      <c r="E648" s="3">
        <f ca="1">VLOOKUP($C648,Overall!$K$5:$T$36,10)</f>
        <v>0</v>
      </c>
      <c r="F648" s="9" t="str">
        <f>VLOOKUP($C648,Overall!$K$5:$T$36,6)</f>
        <v>10000000000000000000000000000000</v>
      </c>
      <c r="G648" s="8">
        <v>13</v>
      </c>
      <c r="H648" s="3" t="str">
        <f>VLOOKUP($G648,Overall!$K$5:$T$36,2)</f>
        <v>Normal</v>
      </c>
      <c r="I648" s="3">
        <f ca="1">VLOOKUP($G648,Overall!$K$5:$T$36,10)</f>
        <v>0</v>
      </c>
      <c r="J648" s="62" t="str">
        <f>VLOOKUP($G648,Overall!$K$5:$T$36,6)</f>
        <v>00000000000000000000000000000000</v>
      </c>
      <c r="K648" s="8">
        <f t="shared" ca="1" si="90"/>
        <v>0</v>
      </c>
      <c r="L648" s="62">
        <f>VLOOKUP($B648,Overall!$B$5:$I$13,8)</f>
        <v>0</v>
      </c>
      <c r="M648" s="58"/>
      <c r="N648" s="3" t="str">
        <f t="shared" si="91"/>
        <v/>
      </c>
      <c r="O648" s="3" t="str">
        <f t="shared" si="92"/>
        <v/>
      </c>
      <c r="P648" s="3" t="str">
        <f t="shared" si="93"/>
        <v/>
      </c>
      <c r="Q648" s="3">
        <f t="shared" si="94"/>
        <v>0</v>
      </c>
      <c r="R648" s="3">
        <f t="shared" si="95"/>
        <v>0</v>
      </c>
      <c r="S648" s="3" t="e" cm="1">
        <f t="array" aca="1" ref="S648" ca="1">SUMPRODUCT(MID($P648,ROW(INDIRECT("1:23")),1)*2^(-ROW(INDIRECT("1:23"))))</f>
        <v>#VALUE!</v>
      </c>
      <c r="T648" s="3" t="e">
        <f t="shared" ca="1" si="96"/>
        <v>#VALUE!</v>
      </c>
      <c r="U648" s="3" t="e">
        <f t="shared" ca="1" si="97"/>
        <v>#VALUE!</v>
      </c>
      <c r="V648" s="73"/>
      <c r="W648" s="9" t="str">
        <f t="shared" si="98"/>
        <v>OK</v>
      </c>
    </row>
    <row r="649" spans="1:23" x14ac:dyDescent="0.3">
      <c r="A649" s="44">
        <v>646</v>
      </c>
      <c r="B649" s="14">
        <v>9</v>
      </c>
      <c r="C649" s="4">
        <v>14</v>
      </c>
      <c r="D649" s="3" t="str">
        <f>VLOOKUP($C649,Overall!$K$5:$T$36,2)</f>
        <v>Normal</v>
      </c>
      <c r="E649" s="3">
        <f ca="1">VLOOKUP($C649,Overall!$K$5:$T$36,10)</f>
        <v>0</v>
      </c>
      <c r="F649" s="9" t="str">
        <f>VLOOKUP($C649,Overall!$K$5:$T$36,6)</f>
        <v>10000000000000000000000000000000</v>
      </c>
      <c r="G649" s="8">
        <v>14</v>
      </c>
      <c r="H649" s="3" t="str">
        <f>VLOOKUP($G649,Overall!$K$5:$T$36,2)</f>
        <v>Normal</v>
      </c>
      <c r="I649" s="3">
        <f ca="1">VLOOKUP($G649,Overall!$K$5:$T$36,10)</f>
        <v>0</v>
      </c>
      <c r="J649" s="62" t="str">
        <f>VLOOKUP($G649,Overall!$K$5:$T$36,6)</f>
        <v>10000000000000000000000000000000</v>
      </c>
      <c r="K649" s="8">
        <f t="shared" ca="1" si="90"/>
        <v>0</v>
      </c>
      <c r="L649" s="62">
        <f>VLOOKUP($B649,Overall!$B$5:$I$13,8)</f>
        <v>0</v>
      </c>
      <c r="M649" s="58"/>
      <c r="N649" s="3" t="str">
        <f t="shared" si="91"/>
        <v/>
      </c>
      <c r="O649" s="3" t="str">
        <f t="shared" si="92"/>
        <v/>
      </c>
      <c r="P649" s="3" t="str">
        <f t="shared" si="93"/>
        <v/>
      </c>
      <c r="Q649" s="3">
        <f t="shared" si="94"/>
        <v>0</v>
      </c>
      <c r="R649" s="3">
        <f t="shared" si="95"/>
        <v>0</v>
      </c>
      <c r="S649" s="3" t="e" cm="1">
        <f t="array" aca="1" ref="S649" ca="1">SUMPRODUCT(MID($P649,ROW(INDIRECT("1:23")),1)*2^(-ROW(INDIRECT("1:23"))))</f>
        <v>#VALUE!</v>
      </c>
      <c r="T649" s="3" t="e">
        <f t="shared" ca="1" si="96"/>
        <v>#VALUE!</v>
      </c>
      <c r="U649" s="3" t="e">
        <f t="shared" ca="1" si="97"/>
        <v>#VALUE!</v>
      </c>
      <c r="V649" s="73"/>
      <c r="W649" s="9" t="str">
        <f t="shared" si="98"/>
        <v>OK</v>
      </c>
    </row>
    <row r="650" spans="1:23" x14ac:dyDescent="0.3">
      <c r="A650" s="44">
        <v>647</v>
      </c>
      <c r="B650" s="14">
        <v>9</v>
      </c>
      <c r="C650" s="4">
        <v>14</v>
      </c>
      <c r="D650" s="3" t="str">
        <f>VLOOKUP($C650,Overall!$K$5:$T$36,2)</f>
        <v>Normal</v>
      </c>
      <c r="E650" s="3">
        <f ca="1">VLOOKUP($C650,Overall!$K$5:$T$36,10)</f>
        <v>0</v>
      </c>
      <c r="F650" s="9" t="str">
        <f>VLOOKUP($C650,Overall!$K$5:$T$36,6)</f>
        <v>10000000000000000000000000000000</v>
      </c>
      <c r="G650" s="8">
        <v>15</v>
      </c>
      <c r="H650" s="3" t="str">
        <f>VLOOKUP($G650,Overall!$K$5:$T$36,2)</f>
        <v>Normal</v>
      </c>
      <c r="I650" s="3">
        <f ca="1">VLOOKUP($G650,Overall!$K$5:$T$36,10)</f>
        <v>1.1754943508222875E-38</v>
      </c>
      <c r="J650" s="62" t="str">
        <f>VLOOKUP($G650,Overall!$K$5:$T$36,6)</f>
        <v>00000000100000000000000000000000</v>
      </c>
      <c r="K650" s="8">
        <f t="shared" ca="1" si="90"/>
        <v>0</v>
      </c>
      <c r="L650" s="62">
        <f>VLOOKUP($B650,Overall!$B$5:$I$13,8)</f>
        <v>0</v>
      </c>
      <c r="M650" s="58"/>
      <c r="N650" s="3" t="str">
        <f t="shared" si="91"/>
        <v/>
      </c>
      <c r="O650" s="3" t="str">
        <f t="shared" si="92"/>
        <v/>
      </c>
      <c r="P650" s="3" t="str">
        <f t="shared" si="93"/>
        <v/>
      </c>
      <c r="Q650" s="3">
        <f t="shared" si="94"/>
        <v>0</v>
      </c>
      <c r="R650" s="3">
        <f t="shared" si="95"/>
        <v>0</v>
      </c>
      <c r="S650" s="3" t="e" cm="1">
        <f t="array" aca="1" ref="S650" ca="1">SUMPRODUCT(MID($P650,ROW(INDIRECT("1:23")),1)*2^(-ROW(INDIRECT("1:23"))))</f>
        <v>#VALUE!</v>
      </c>
      <c r="T650" s="3" t="e">
        <f t="shared" ca="1" si="96"/>
        <v>#VALUE!</v>
      </c>
      <c r="U650" s="3" t="e">
        <f t="shared" ca="1" si="97"/>
        <v>#VALUE!</v>
      </c>
      <c r="V650" s="73"/>
      <c r="W650" s="9" t="str">
        <f t="shared" si="98"/>
        <v>OK</v>
      </c>
    </row>
    <row r="651" spans="1:23" x14ac:dyDescent="0.3">
      <c r="A651" s="44">
        <v>648</v>
      </c>
      <c r="B651" s="14">
        <v>9</v>
      </c>
      <c r="C651" s="4">
        <v>14</v>
      </c>
      <c r="D651" s="3" t="str">
        <f>VLOOKUP($C651,Overall!$K$5:$T$36,2)</f>
        <v>Normal</v>
      </c>
      <c r="E651" s="3">
        <f ca="1">VLOOKUP($C651,Overall!$K$5:$T$36,10)</f>
        <v>0</v>
      </c>
      <c r="F651" s="9" t="str">
        <f>VLOOKUP($C651,Overall!$K$5:$T$36,6)</f>
        <v>10000000000000000000000000000000</v>
      </c>
      <c r="G651" s="8">
        <v>16</v>
      </c>
      <c r="H651" s="3" t="str">
        <f>VLOOKUP($G651,Overall!$K$5:$T$36,2)</f>
        <v>Normal</v>
      </c>
      <c r="I651" s="3">
        <f ca="1">VLOOKUP($G651,Overall!$K$5:$T$36,10)</f>
        <v>1.1754944909521339E-38</v>
      </c>
      <c r="J651" s="62" t="str">
        <f>VLOOKUP($G651,Overall!$K$5:$T$36,6)</f>
        <v>00000000100000000000000000000001</v>
      </c>
      <c r="K651" s="8">
        <f t="shared" ca="1" si="90"/>
        <v>0</v>
      </c>
      <c r="L651" s="62">
        <f>VLOOKUP($B651,Overall!$B$5:$I$13,8)</f>
        <v>0</v>
      </c>
      <c r="M651" s="58"/>
      <c r="N651" s="3" t="str">
        <f t="shared" si="91"/>
        <v/>
      </c>
      <c r="O651" s="3" t="str">
        <f t="shared" si="92"/>
        <v/>
      </c>
      <c r="P651" s="3" t="str">
        <f t="shared" si="93"/>
        <v/>
      </c>
      <c r="Q651" s="3">
        <f t="shared" si="94"/>
        <v>0</v>
      </c>
      <c r="R651" s="3">
        <f t="shared" si="95"/>
        <v>0</v>
      </c>
      <c r="S651" s="3" t="e" cm="1">
        <f t="array" aca="1" ref="S651" ca="1">SUMPRODUCT(MID($P651,ROW(INDIRECT("1:23")),1)*2^(-ROW(INDIRECT("1:23"))))</f>
        <v>#VALUE!</v>
      </c>
      <c r="T651" s="3" t="e">
        <f t="shared" ca="1" si="96"/>
        <v>#VALUE!</v>
      </c>
      <c r="U651" s="3" t="e">
        <f t="shared" ca="1" si="97"/>
        <v>#VALUE!</v>
      </c>
      <c r="V651" s="73"/>
      <c r="W651" s="9" t="str">
        <f t="shared" si="98"/>
        <v>OK</v>
      </c>
    </row>
    <row r="652" spans="1:23" x14ac:dyDescent="0.3">
      <c r="A652" s="44">
        <v>649</v>
      </c>
      <c r="B652" s="14">
        <v>9</v>
      </c>
      <c r="C652" s="4">
        <v>14</v>
      </c>
      <c r="D652" s="3" t="str">
        <f>VLOOKUP($C652,Overall!$K$5:$T$36,2)</f>
        <v>Normal</v>
      </c>
      <c r="E652" s="3">
        <f ca="1">VLOOKUP($C652,Overall!$K$5:$T$36,10)</f>
        <v>0</v>
      </c>
      <c r="F652" s="9" t="str">
        <f>VLOOKUP($C652,Overall!$K$5:$T$36,6)</f>
        <v>10000000000000000000000000000000</v>
      </c>
      <c r="G652" s="8">
        <v>17</v>
      </c>
      <c r="H652" s="3" t="str">
        <f>VLOOKUP($G652,Overall!$K$5:$T$36,2)</f>
        <v>Normal</v>
      </c>
      <c r="I652" s="3">
        <f ca="1">VLOOKUP($G652,Overall!$K$5:$T$36,10)</f>
        <v>0.5</v>
      </c>
      <c r="J652" s="62" t="str">
        <f>VLOOKUP($G652,Overall!$K$5:$T$36,6)</f>
        <v>00111111000000000000000000000000</v>
      </c>
      <c r="K652" s="8">
        <f t="shared" ca="1" si="90"/>
        <v>0</v>
      </c>
      <c r="L652" s="62">
        <f>VLOOKUP($B652,Overall!$B$5:$I$13,8)</f>
        <v>0</v>
      </c>
      <c r="M652" s="58"/>
      <c r="N652" s="3" t="str">
        <f t="shared" si="91"/>
        <v/>
      </c>
      <c r="O652" s="3" t="str">
        <f t="shared" si="92"/>
        <v/>
      </c>
      <c r="P652" s="3" t="str">
        <f t="shared" si="93"/>
        <v/>
      </c>
      <c r="Q652" s="3">
        <f t="shared" si="94"/>
        <v>0</v>
      </c>
      <c r="R652" s="3">
        <f t="shared" si="95"/>
        <v>0</v>
      </c>
      <c r="S652" s="3" t="e" cm="1">
        <f t="array" aca="1" ref="S652" ca="1">SUMPRODUCT(MID($P652,ROW(INDIRECT("1:23")),1)*2^(-ROW(INDIRECT("1:23"))))</f>
        <v>#VALUE!</v>
      </c>
      <c r="T652" s="3" t="e">
        <f t="shared" ca="1" si="96"/>
        <v>#VALUE!</v>
      </c>
      <c r="U652" s="3" t="e">
        <f t="shared" ca="1" si="97"/>
        <v>#VALUE!</v>
      </c>
      <c r="V652" s="73"/>
      <c r="W652" s="9" t="str">
        <f t="shared" si="98"/>
        <v>OK</v>
      </c>
    </row>
    <row r="653" spans="1:23" x14ac:dyDescent="0.3">
      <c r="A653" s="44">
        <v>650</v>
      </c>
      <c r="B653" s="14">
        <v>9</v>
      </c>
      <c r="C653" s="4">
        <v>14</v>
      </c>
      <c r="D653" s="3" t="str">
        <f>VLOOKUP($C653,Overall!$K$5:$T$36,2)</f>
        <v>Normal</v>
      </c>
      <c r="E653" s="3">
        <f ca="1">VLOOKUP($C653,Overall!$K$5:$T$36,10)</f>
        <v>0</v>
      </c>
      <c r="F653" s="9" t="str">
        <f>VLOOKUP($C653,Overall!$K$5:$T$36,6)</f>
        <v>10000000000000000000000000000000</v>
      </c>
      <c r="G653" s="8">
        <v>18</v>
      </c>
      <c r="H653" s="3" t="str">
        <f>VLOOKUP($G653,Overall!$K$5:$T$36,2)</f>
        <v>Normal</v>
      </c>
      <c r="I653" s="3">
        <f ca="1">VLOOKUP($G653,Overall!$K$5:$T$36,10)</f>
        <v>1</v>
      </c>
      <c r="J653" s="62" t="str">
        <f>VLOOKUP($G653,Overall!$K$5:$T$36,6)</f>
        <v>00111111100000000000000000000000</v>
      </c>
      <c r="K653" s="8">
        <f t="shared" ca="1" si="90"/>
        <v>0</v>
      </c>
      <c r="L653" s="62">
        <f>VLOOKUP($B653,Overall!$B$5:$I$13,8)</f>
        <v>0</v>
      </c>
      <c r="M653" s="58"/>
      <c r="N653" s="3" t="str">
        <f t="shared" si="91"/>
        <v/>
      </c>
      <c r="O653" s="3" t="str">
        <f t="shared" si="92"/>
        <v/>
      </c>
      <c r="P653" s="3" t="str">
        <f t="shared" si="93"/>
        <v/>
      </c>
      <c r="Q653" s="3">
        <f t="shared" si="94"/>
        <v>0</v>
      </c>
      <c r="R653" s="3">
        <f t="shared" si="95"/>
        <v>0</v>
      </c>
      <c r="S653" s="3" t="e" cm="1">
        <f t="array" aca="1" ref="S653" ca="1">SUMPRODUCT(MID($P653,ROW(INDIRECT("1:23")),1)*2^(-ROW(INDIRECT("1:23"))))</f>
        <v>#VALUE!</v>
      </c>
      <c r="T653" s="3" t="e">
        <f t="shared" ca="1" si="96"/>
        <v>#VALUE!</v>
      </c>
      <c r="U653" s="3" t="e">
        <f t="shared" ca="1" si="97"/>
        <v>#VALUE!</v>
      </c>
      <c r="V653" s="73"/>
      <c r="W653" s="9" t="str">
        <f t="shared" si="98"/>
        <v>OK</v>
      </c>
    </row>
    <row r="654" spans="1:23" x14ac:dyDescent="0.3">
      <c r="A654" s="44">
        <v>651</v>
      </c>
      <c r="B654" s="14">
        <v>9</v>
      </c>
      <c r="C654" s="4">
        <v>14</v>
      </c>
      <c r="D654" s="3" t="str">
        <f>VLOOKUP($C654,Overall!$K$5:$T$36,2)</f>
        <v>Normal</v>
      </c>
      <c r="E654" s="3">
        <f ca="1">VLOOKUP($C654,Overall!$K$5:$T$36,10)</f>
        <v>0</v>
      </c>
      <c r="F654" s="9" t="str">
        <f>VLOOKUP($C654,Overall!$K$5:$T$36,6)</f>
        <v>10000000000000000000000000000000</v>
      </c>
      <c r="G654" s="8">
        <v>19</v>
      </c>
      <c r="H654" s="3" t="str">
        <f>VLOOKUP($G654,Overall!$K$5:$T$36,2)</f>
        <v>Normal</v>
      </c>
      <c r="I654" s="3">
        <f ca="1">VLOOKUP($G654,Overall!$K$5:$T$36,10)</f>
        <v>1.5</v>
      </c>
      <c r="J654" s="62" t="str">
        <f>VLOOKUP($G654,Overall!$K$5:$T$36,6)</f>
        <v>00111111110000000000000000000000</v>
      </c>
      <c r="K654" s="8">
        <f t="shared" ca="1" si="90"/>
        <v>0</v>
      </c>
      <c r="L654" s="62">
        <f>VLOOKUP($B654,Overall!$B$5:$I$13,8)</f>
        <v>0</v>
      </c>
      <c r="M654" s="58"/>
      <c r="N654" s="3" t="str">
        <f t="shared" si="91"/>
        <v/>
      </c>
      <c r="O654" s="3" t="str">
        <f t="shared" si="92"/>
        <v/>
      </c>
      <c r="P654" s="3" t="str">
        <f t="shared" si="93"/>
        <v/>
      </c>
      <c r="Q654" s="3">
        <f t="shared" si="94"/>
        <v>0</v>
      </c>
      <c r="R654" s="3">
        <f t="shared" si="95"/>
        <v>0</v>
      </c>
      <c r="S654" s="3" t="e" cm="1">
        <f t="array" aca="1" ref="S654" ca="1">SUMPRODUCT(MID($P654,ROW(INDIRECT("1:23")),1)*2^(-ROW(INDIRECT("1:23"))))</f>
        <v>#VALUE!</v>
      </c>
      <c r="T654" s="3" t="e">
        <f t="shared" ca="1" si="96"/>
        <v>#VALUE!</v>
      </c>
      <c r="U654" s="3" t="e">
        <f t="shared" ca="1" si="97"/>
        <v>#VALUE!</v>
      </c>
      <c r="V654" s="73"/>
      <c r="W654" s="9" t="str">
        <f t="shared" si="98"/>
        <v>OK</v>
      </c>
    </row>
    <row r="655" spans="1:23" x14ac:dyDescent="0.3">
      <c r="A655" s="44">
        <v>652</v>
      </c>
      <c r="B655" s="14">
        <v>9</v>
      </c>
      <c r="C655" s="4">
        <v>14</v>
      </c>
      <c r="D655" s="3" t="str">
        <f>VLOOKUP($C655,Overall!$K$5:$T$36,2)</f>
        <v>Normal</v>
      </c>
      <c r="E655" s="3">
        <f ca="1">VLOOKUP($C655,Overall!$K$5:$T$36,10)</f>
        <v>0</v>
      </c>
      <c r="F655" s="9" t="str">
        <f>VLOOKUP($C655,Overall!$K$5:$T$36,6)</f>
        <v>10000000000000000000000000000000</v>
      </c>
      <c r="G655" s="8">
        <v>20</v>
      </c>
      <c r="H655" s="3" t="str">
        <f>VLOOKUP($G655,Overall!$K$5:$T$36,2)</f>
        <v>Normal</v>
      </c>
      <c r="I655" s="3">
        <f ca="1">VLOOKUP($G655,Overall!$K$5:$T$36,10)</f>
        <v>12345.6787109375</v>
      </c>
      <c r="J655" s="62" t="str">
        <f>VLOOKUP($G655,Overall!$K$5:$T$36,6)</f>
        <v>001000110010000001110011010110111</v>
      </c>
      <c r="K655" s="8">
        <f t="shared" ca="1" si="90"/>
        <v>0</v>
      </c>
      <c r="L655" s="62">
        <f>VLOOKUP($B655,Overall!$B$5:$I$13,8)</f>
        <v>0</v>
      </c>
      <c r="M655" s="58"/>
      <c r="N655" s="3" t="str">
        <f t="shared" si="91"/>
        <v/>
      </c>
      <c r="O655" s="3" t="str">
        <f t="shared" si="92"/>
        <v/>
      </c>
      <c r="P655" s="3" t="str">
        <f t="shared" si="93"/>
        <v/>
      </c>
      <c r="Q655" s="3">
        <f t="shared" si="94"/>
        <v>0</v>
      </c>
      <c r="R655" s="3">
        <f t="shared" si="95"/>
        <v>0</v>
      </c>
      <c r="S655" s="3" t="e" cm="1">
        <f t="array" aca="1" ref="S655" ca="1">SUMPRODUCT(MID($P655,ROW(INDIRECT("1:23")),1)*2^(-ROW(INDIRECT("1:23"))))</f>
        <v>#VALUE!</v>
      </c>
      <c r="T655" s="3" t="e">
        <f t="shared" ca="1" si="96"/>
        <v>#VALUE!</v>
      </c>
      <c r="U655" s="3" t="e">
        <f t="shared" ca="1" si="97"/>
        <v>#VALUE!</v>
      </c>
      <c r="V655" s="73"/>
      <c r="W655" s="9" t="str">
        <f t="shared" si="98"/>
        <v>OK</v>
      </c>
    </row>
    <row r="656" spans="1:23" x14ac:dyDescent="0.3">
      <c r="A656" s="44">
        <v>653</v>
      </c>
      <c r="B656" s="14">
        <v>9</v>
      </c>
      <c r="C656" s="4">
        <v>14</v>
      </c>
      <c r="D656" s="3" t="str">
        <f>VLOOKUP($C656,Overall!$K$5:$T$36,2)</f>
        <v>Normal</v>
      </c>
      <c r="E656" s="3">
        <f ca="1">VLOOKUP($C656,Overall!$K$5:$T$36,10)</f>
        <v>0</v>
      </c>
      <c r="F656" s="9" t="str">
        <f>VLOOKUP($C656,Overall!$K$5:$T$36,6)</f>
        <v>10000000000000000000000000000000</v>
      </c>
      <c r="G656" s="8">
        <v>21</v>
      </c>
      <c r="H656" s="3" t="str">
        <f>VLOOKUP($G656,Overall!$K$5:$T$36,2)</f>
        <v>Normal</v>
      </c>
      <c r="I656" s="3">
        <f ca="1">VLOOKUP($G656,Overall!$K$5:$T$36,10)</f>
        <v>2.345678924830959E+38</v>
      </c>
      <c r="J656" s="62" t="str">
        <f>VLOOKUP($G656,Overall!$K$5:$T$36,6)</f>
        <v>01111111001100000111100000100010</v>
      </c>
      <c r="K656" s="8">
        <f t="shared" ca="1" si="90"/>
        <v>0</v>
      </c>
      <c r="L656" s="62">
        <f>VLOOKUP($B656,Overall!$B$5:$I$13,8)</f>
        <v>0</v>
      </c>
      <c r="M656" s="58"/>
      <c r="N656" s="3" t="str">
        <f t="shared" si="91"/>
        <v/>
      </c>
      <c r="O656" s="3" t="str">
        <f t="shared" si="92"/>
        <v/>
      </c>
      <c r="P656" s="3" t="str">
        <f t="shared" si="93"/>
        <v/>
      </c>
      <c r="Q656" s="3">
        <f t="shared" si="94"/>
        <v>0</v>
      </c>
      <c r="R656" s="3">
        <f t="shared" si="95"/>
        <v>0</v>
      </c>
      <c r="S656" s="3" t="e" cm="1">
        <f t="array" aca="1" ref="S656" ca="1">SUMPRODUCT(MID($P656,ROW(INDIRECT("1:23")),1)*2^(-ROW(INDIRECT("1:23"))))</f>
        <v>#VALUE!</v>
      </c>
      <c r="T656" s="3" t="e">
        <f t="shared" ca="1" si="96"/>
        <v>#VALUE!</v>
      </c>
      <c r="U656" s="3" t="e">
        <f t="shared" ca="1" si="97"/>
        <v>#VALUE!</v>
      </c>
      <c r="V656" s="73"/>
      <c r="W656" s="9" t="str">
        <f t="shared" si="98"/>
        <v>OK</v>
      </c>
    </row>
    <row r="657" spans="1:23" x14ac:dyDescent="0.3">
      <c r="A657" s="44">
        <v>654</v>
      </c>
      <c r="B657" s="14">
        <v>9</v>
      </c>
      <c r="C657" s="4">
        <v>14</v>
      </c>
      <c r="D657" s="3" t="str">
        <f>VLOOKUP($C657,Overall!$K$5:$T$36,2)</f>
        <v>Normal</v>
      </c>
      <c r="E657" s="3">
        <f ca="1">VLOOKUP($C657,Overall!$K$5:$T$36,10)</f>
        <v>0</v>
      </c>
      <c r="F657" s="9" t="str">
        <f>VLOOKUP($C657,Overall!$K$5:$T$36,6)</f>
        <v>10000000000000000000000000000000</v>
      </c>
      <c r="G657" s="8">
        <v>22</v>
      </c>
      <c r="H657" s="3" t="str">
        <f>VLOOKUP($G657,Overall!$K$5:$T$36,2)</f>
        <v>Normal</v>
      </c>
      <c r="I657" s="3">
        <f ca="1">VLOOKUP($G657,Overall!$K$5:$T$36,10)</f>
        <v>3.4028232635611926E+38</v>
      </c>
      <c r="J657" s="62" t="str">
        <f>VLOOKUP($G657,Overall!$K$5:$T$36,6)</f>
        <v>01111111011111111111111111111110</v>
      </c>
      <c r="K657" s="8">
        <f t="shared" ca="1" si="90"/>
        <v>0</v>
      </c>
      <c r="L657" s="62">
        <f>VLOOKUP($B657,Overall!$B$5:$I$13,8)</f>
        <v>0</v>
      </c>
      <c r="M657" s="58"/>
      <c r="N657" s="3" t="str">
        <f t="shared" si="91"/>
        <v/>
      </c>
      <c r="O657" s="3" t="str">
        <f t="shared" si="92"/>
        <v/>
      </c>
      <c r="P657" s="3" t="str">
        <f t="shared" si="93"/>
        <v/>
      </c>
      <c r="Q657" s="3">
        <f t="shared" si="94"/>
        <v>0</v>
      </c>
      <c r="R657" s="3">
        <f t="shared" si="95"/>
        <v>0</v>
      </c>
      <c r="S657" s="3" t="e" cm="1">
        <f t="array" aca="1" ref="S657" ca="1">SUMPRODUCT(MID($P657,ROW(INDIRECT("1:23")),1)*2^(-ROW(INDIRECT("1:23"))))</f>
        <v>#VALUE!</v>
      </c>
      <c r="T657" s="3" t="e">
        <f t="shared" ca="1" si="96"/>
        <v>#VALUE!</v>
      </c>
      <c r="U657" s="3" t="e">
        <f t="shared" ca="1" si="97"/>
        <v>#VALUE!</v>
      </c>
      <c r="V657" s="73"/>
      <c r="W657" s="9" t="str">
        <f t="shared" si="98"/>
        <v>OK</v>
      </c>
    </row>
    <row r="658" spans="1:23" x14ac:dyDescent="0.3">
      <c r="A658" s="44">
        <v>655</v>
      </c>
      <c r="B658" s="14">
        <v>9</v>
      </c>
      <c r="C658" s="4">
        <v>14</v>
      </c>
      <c r="D658" s="3" t="str">
        <f>VLOOKUP($C658,Overall!$K$5:$T$36,2)</f>
        <v>Normal</v>
      </c>
      <c r="E658" s="3">
        <f ca="1">VLOOKUP($C658,Overall!$K$5:$T$36,10)</f>
        <v>0</v>
      </c>
      <c r="F658" s="9" t="str">
        <f>VLOOKUP($C658,Overall!$K$5:$T$36,6)</f>
        <v>10000000000000000000000000000000</v>
      </c>
      <c r="G658" s="8">
        <v>23</v>
      </c>
      <c r="H658" s="3" t="str">
        <f>VLOOKUP($G658,Overall!$K$5:$T$36,2)</f>
        <v>Normal</v>
      </c>
      <c r="I658" s="3">
        <f ca="1">VLOOKUP($G658,Overall!$K$5:$T$36,10)</f>
        <v>3.4028234663852886E+38</v>
      </c>
      <c r="J658" s="62" t="str">
        <f>VLOOKUP($G658,Overall!$K$5:$T$36,6)</f>
        <v>01111111011111111111111111111111</v>
      </c>
      <c r="K658" s="8">
        <f t="shared" ca="1" si="90"/>
        <v>0</v>
      </c>
      <c r="L658" s="62">
        <f>VLOOKUP($B658,Overall!$B$5:$I$13,8)</f>
        <v>0</v>
      </c>
      <c r="M658" s="58"/>
      <c r="N658" s="3" t="str">
        <f t="shared" si="91"/>
        <v/>
      </c>
      <c r="O658" s="3" t="str">
        <f t="shared" si="92"/>
        <v/>
      </c>
      <c r="P658" s="3" t="str">
        <f t="shared" si="93"/>
        <v/>
      </c>
      <c r="Q658" s="3">
        <f t="shared" si="94"/>
        <v>0</v>
      </c>
      <c r="R658" s="3">
        <f t="shared" si="95"/>
        <v>0</v>
      </c>
      <c r="S658" s="3" t="e" cm="1">
        <f t="array" aca="1" ref="S658" ca="1">SUMPRODUCT(MID($P658,ROW(INDIRECT("1:23")),1)*2^(-ROW(INDIRECT("1:23"))))</f>
        <v>#VALUE!</v>
      </c>
      <c r="T658" s="3" t="e">
        <f t="shared" ca="1" si="96"/>
        <v>#VALUE!</v>
      </c>
      <c r="U658" s="3" t="e">
        <f t="shared" ca="1" si="97"/>
        <v>#VALUE!</v>
      </c>
      <c r="V658" s="73"/>
      <c r="W658" s="9" t="str">
        <f t="shared" si="98"/>
        <v>OK</v>
      </c>
    </row>
    <row r="659" spans="1:23" x14ac:dyDescent="0.3">
      <c r="A659" s="44">
        <v>656</v>
      </c>
      <c r="B659" s="14">
        <v>9</v>
      </c>
      <c r="C659" s="4">
        <v>14</v>
      </c>
      <c r="D659" s="3" t="str">
        <f>VLOOKUP($C659,Overall!$K$5:$T$36,2)</f>
        <v>Normal</v>
      </c>
      <c r="E659" s="3">
        <f ca="1">VLOOKUP($C659,Overall!$K$5:$T$36,10)</f>
        <v>0</v>
      </c>
      <c r="F659" s="9" t="str">
        <f>VLOOKUP($C659,Overall!$K$5:$T$36,6)</f>
        <v>10000000000000000000000000000000</v>
      </c>
      <c r="G659" s="8">
        <v>24</v>
      </c>
      <c r="H659" s="3" t="str">
        <f>VLOOKUP($G659,Overall!$K$5:$T$36,2)</f>
        <v>Normal</v>
      </c>
      <c r="I659" s="3">
        <f ca="1">VLOOKUP($G659,Overall!$K$5:$T$36,10)</f>
        <v>-1.1754943508222875E-38</v>
      </c>
      <c r="J659" s="62" t="str">
        <f>VLOOKUP($G659,Overall!$K$5:$T$36,6)</f>
        <v>10000000100000000000000000000000</v>
      </c>
      <c r="K659" s="8">
        <f t="shared" ca="1" si="90"/>
        <v>0</v>
      </c>
      <c r="L659" s="62">
        <f>VLOOKUP($B659,Overall!$B$5:$I$13,8)</f>
        <v>0</v>
      </c>
      <c r="M659" s="58"/>
      <c r="N659" s="3" t="str">
        <f t="shared" si="91"/>
        <v/>
      </c>
      <c r="O659" s="3" t="str">
        <f t="shared" si="92"/>
        <v/>
      </c>
      <c r="P659" s="3" t="str">
        <f t="shared" si="93"/>
        <v/>
      </c>
      <c r="Q659" s="3">
        <f t="shared" si="94"/>
        <v>0</v>
      </c>
      <c r="R659" s="3">
        <f t="shared" si="95"/>
        <v>0</v>
      </c>
      <c r="S659" s="3" t="e" cm="1">
        <f t="array" aca="1" ref="S659" ca="1">SUMPRODUCT(MID($P659,ROW(INDIRECT("1:23")),1)*2^(-ROW(INDIRECT("1:23"))))</f>
        <v>#VALUE!</v>
      </c>
      <c r="T659" s="3" t="e">
        <f t="shared" ca="1" si="96"/>
        <v>#VALUE!</v>
      </c>
      <c r="U659" s="3" t="e">
        <f t="shared" ca="1" si="97"/>
        <v>#VALUE!</v>
      </c>
      <c r="V659" s="73"/>
      <c r="W659" s="9" t="str">
        <f t="shared" si="98"/>
        <v>OK</v>
      </c>
    </row>
    <row r="660" spans="1:23" x14ac:dyDescent="0.3">
      <c r="A660" s="44">
        <v>657</v>
      </c>
      <c r="B660" s="14">
        <v>9</v>
      </c>
      <c r="C660" s="4">
        <v>14</v>
      </c>
      <c r="D660" s="3" t="str">
        <f>VLOOKUP($C660,Overall!$K$5:$T$36,2)</f>
        <v>Normal</v>
      </c>
      <c r="E660" s="3">
        <f ca="1">VLOOKUP($C660,Overall!$K$5:$T$36,10)</f>
        <v>0</v>
      </c>
      <c r="F660" s="9" t="str">
        <f>VLOOKUP($C660,Overall!$K$5:$T$36,6)</f>
        <v>10000000000000000000000000000000</v>
      </c>
      <c r="G660" s="8">
        <v>25</v>
      </c>
      <c r="H660" s="3" t="str">
        <f>VLOOKUP($G660,Overall!$K$5:$T$36,2)</f>
        <v>Normal</v>
      </c>
      <c r="I660" s="3">
        <f ca="1">VLOOKUP($G660,Overall!$K$5:$T$36,10)</f>
        <v>-1.1754944909521339E-38</v>
      </c>
      <c r="J660" s="62" t="str">
        <f>VLOOKUP($G660,Overall!$K$5:$T$36,6)</f>
        <v>10000000100000000000000000000001</v>
      </c>
      <c r="K660" s="8">
        <f t="shared" ca="1" si="90"/>
        <v>0</v>
      </c>
      <c r="L660" s="62">
        <f>VLOOKUP($B660,Overall!$B$5:$I$13,8)</f>
        <v>0</v>
      </c>
      <c r="M660" s="58"/>
      <c r="N660" s="3" t="str">
        <f t="shared" si="91"/>
        <v/>
      </c>
      <c r="O660" s="3" t="str">
        <f t="shared" si="92"/>
        <v/>
      </c>
      <c r="P660" s="3" t="str">
        <f t="shared" si="93"/>
        <v/>
      </c>
      <c r="Q660" s="3">
        <f t="shared" si="94"/>
        <v>0</v>
      </c>
      <c r="R660" s="3">
        <f t="shared" si="95"/>
        <v>0</v>
      </c>
      <c r="S660" s="3" t="e" cm="1">
        <f t="array" aca="1" ref="S660" ca="1">SUMPRODUCT(MID($P660,ROW(INDIRECT("1:23")),1)*2^(-ROW(INDIRECT("1:23"))))</f>
        <v>#VALUE!</v>
      </c>
      <c r="T660" s="3" t="e">
        <f t="shared" ca="1" si="96"/>
        <v>#VALUE!</v>
      </c>
      <c r="U660" s="3" t="e">
        <f t="shared" ca="1" si="97"/>
        <v>#VALUE!</v>
      </c>
      <c r="V660" s="73"/>
      <c r="W660" s="9" t="str">
        <f t="shared" si="98"/>
        <v>OK</v>
      </c>
    </row>
    <row r="661" spans="1:23" x14ac:dyDescent="0.3">
      <c r="A661" s="44">
        <v>658</v>
      </c>
      <c r="B661" s="14">
        <v>9</v>
      </c>
      <c r="C661" s="4">
        <v>14</v>
      </c>
      <c r="D661" s="3" t="str">
        <f>VLOOKUP($C661,Overall!$K$5:$T$36,2)</f>
        <v>Normal</v>
      </c>
      <c r="E661" s="3">
        <f ca="1">VLOOKUP($C661,Overall!$K$5:$T$36,10)</f>
        <v>0</v>
      </c>
      <c r="F661" s="9" t="str">
        <f>VLOOKUP($C661,Overall!$K$5:$T$36,6)</f>
        <v>10000000000000000000000000000000</v>
      </c>
      <c r="G661" s="8">
        <v>26</v>
      </c>
      <c r="H661" s="3" t="str">
        <f>VLOOKUP($G661,Overall!$K$5:$T$36,2)</f>
        <v>Normal</v>
      </c>
      <c r="I661" s="3">
        <f ca="1">VLOOKUP($G661,Overall!$K$5:$T$36,10)</f>
        <v>-0.5</v>
      </c>
      <c r="J661" s="62" t="str">
        <f>VLOOKUP($G661,Overall!$K$5:$T$36,6)</f>
        <v>10111111000000000000000000000000</v>
      </c>
      <c r="K661" s="8">
        <f t="shared" ca="1" si="90"/>
        <v>0</v>
      </c>
      <c r="L661" s="62">
        <f>VLOOKUP($B661,Overall!$B$5:$I$13,8)</f>
        <v>0</v>
      </c>
      <c r="M661" s="58"/>
      <c r="N661" s="3" t="str">
        <f t="shared" si="91"/>
        <v/>
      </c>
      <c r="O661" s="3" t="str">
        <f t="shared" si="92"/>
        <v/>
      </c>
      <c r="P661" s="3" t="str">
        <f t="shared" si="93"/>
        <v/>
      </c>
      <c r="Q661" s="3">
        <f t="shared" si="94"/>
        <v>0</v>
      </c>
      <c r="R661" s="3">
        <f t="shared" si="95"/>
        <v>0</v>
      </c>
      <c r="S661" s="3" t="e" cm="1">
        <f t="array" aca="1" ref="S661" ca="1">SUMPRODUCT(MID($P661,ROW(INDIRECT("1:23")),1)*2^(-ROW(INDIRECT("1:23"))))</f>
        <v>#VALUE!</v>
      </c>
      <c r="T661" s="3" t="e">
        <f t="shared" ca="1" si="96"/>
        <v>#VALUE!</v>
      </c>
      <c r="U661" s="3" t="e">
        <f t="shared" ca="1" si="97"/>
        <v>#VALUE!</v>
      </c>
      <c r="V661" s="73"/>
      <c r="W661" s="9" t="str">
        <f t="shared" si="98"/>
        <v>OK</v>
      </c>
    </row>
    <row r="662" spans="1:23" x14ac:dyDescent="0.3">
      <c r="A662" s="44">
        <v>659</v>
      </c>
      <c r="B662" s="14">
        <v>9</v>
      </c>
      <c r="C662" s="4">
        <v>14</v>
      </c>
      <c r="D662" s="3" t="str">
        <f>VLOOKUP($C662,Overall!$K$5:$T$36,2)</f>
        <v>Normal</v>
      </c>
      <c r="E662" s="3">
        <f ca="1">VLOOKUP($C662,Overall!$K$5:$T$36,10)</f>
        <v>0</v>
      </c>
      <c r="F662" s="9" t="str">
        <f>VLOOKUP($C662,Overall!$K$5:$T$36,6)</f>
        <v>10000000000000000000000000000000</v>
      </c>
      <c r="G662" s="8">
        <v>27</v>
      </c>
      <c r="H662" s="3" t="str">
        <f>VLOOKUP($G662,Overall!$K$5:$T$36,2)</f>
        <v>Normal</v>
      </c>
      <c r="I662" s="3">
        <f ca="1">VLOOKUP($G662,Overall!$K$5:$T$36,10)</f>
        <v>-1</v>
      </c>
      <c r="J662" s="62" t="str">
        <f>VLOOKUP($G662,Overall!$K$5:$T$36,6)</f>
        <v>10111111100000000000000000000000</v>
      </c>
      <c r="K662" s="8">
        <f t="shared" ca="1" si="90"/>
        <v>0</v>
      </c>
      <c r="L662" s="62">
        <f>VLOOKUP($B662,Overall!$B$5:$I$13,8)</f>
        <v>0</v>
      </c>
      <c r="M662" s="58"/>
      <c r="N662" s="3" t="str">
        <f t="shared" si="91"/>
        <v/>
      </c>
      <c r="O662" s="3" t="str">
        <f t="shared" si="92"/>
        <v/>
      </c>
      <c r="P662" s="3" t="str">
        <f t="shared" si="93"/>
        <v/>
      </c>
      <c r="Q662" s="3">
        <f t="shared" si="94"/>
        <v>0</v>
      </c>
      <c r="R662" s="3">
        <f t="shared" si="95"/>
        <v>0</v>
      </c>
      <c r="S662" s="3" t="e" cm="1">
        <f t="array" aca="1" ref="S662" ca="1">SUMPRODUCT(MID($P662,ROW(INDIRECT("1:23")),1)*2^(-ROW(INDIRECT("1:23"))))</f>
        <v>#VALUE!</v>
      </c>
      <c r="T662" s="3" t="e">
        <f t="shared" ca="1" si="96"/>
        <v>#VALUE!</v>
      </c>
      <c r="U662" s="3" t="e">
        <f t="shared" ca="1" si="97"/>
        <v>#VALUE!</v>
      </c>
      <c r="V662" s="73"/>
      <c r="W662" s="9" t="str">
        <f t="shared" si="98"/>
        <v>OK</v>
      </c>
    </row>
    <row r="663" spans="1:23" x14ac:dyDescent="0.3">
      <c r="A663" s="44">
        <v>660</v>
      </c>
      <c r="B663" s="14">
        <v>9</v>
      </c>
      <c r="C663" s="4">
        <v>14</v>
      </c>
      <c r="D663" s="3" t="str">
        <f>VLOOKUP($C663,Overall!$K$5:$T$36,2)</f>
        <v>Normal</v>
      </c>
      <c r="E663" s="3">
        <f ca="1">VLOOKUP($C663,Overall!$K$5:$T$36,10)</f>
        <v>0</v>
      </c>
      <c r="F663" s="9" t="str">
        <f>VLOOKUP($C663,Overall!$K$5:$T$36,6)</f>
        <v>10000000000000000000000000000000</v>
      </c>
      <c r="G663" s="8">
        <v>28</v>
      </c>
      <c r="H663" s="3" t="str">
        <f>VLOOKUP($G663,Overall!$K$5:$T$36,2)</f>
        <v>Normal</v>
      </c>
      <c r="I663" s="3">
        <f ca="1">VLOOKUP($G663,Overall!$K$5:$T$36,10)</f>
        <v>-1.5</v>
      </c>
      <c r="J663" s="62" t="str">
        <f>VLOOKUP($G663,Overall!$K$5:$T$36,6)</f>
        <v>10111111110000000000000000000000</v>
      </c>
      <c r="K663" s="8">
        <f t="shared" ca="1" si="90"/>
        <v>0</v>
      </c>
      <c r="L663" s="62">
        <f>VLOOKUP($B663,Overall!$B$5:$I$13,8)</f>
        <v>0</v>
      </c>
      <c r="M663" s="58"/>
      <c r="N663" s="3" t="str">
        <f t="shared" si="91"/>
        <v/>
      </c>
      <c r="O663" s="3" t="str">
        <f t="shared" si="92"/>
        <v/>
      </c>
      <c r="P663" s="3" t="str">
        <f t="shared" si="93"/>
        <v/>
      </c>
      <c r="Q663" s="3">
        <f t="shared" si="94"/>
        <v>0</v>
      </c>
      <c r="R663" s="3">
        <f t="shared" si="95"/>
        <v>0</v>
      </c>
      <c r="S663" s="3" t="e" cm="1">
        <f t="array" aca="1" ref="S663" ca="1">SUMPRODUCT(MID($P663,ROW(INDIRECT("1:23")),1)*2^(-ROW(INDIRECT("1:23"))))</f>
        <v>#VALUE!</v>
      </c>
      <c r="T663" s="3" t="e">
        <f t="shared" ca="1" si="96"/>
        <v>#VALUE!</v>
      </c>
      <c r="U663" s="3" t="e">
        <f t="shared" ca="1" si="97"/>
        <v>#VALUE!</v>
      </c>
      <c r="V663" s="73"/>
      <c r="W663" s="9" t="str">
        <f t="shared" si="98"/>
        <v>OK</v>
      </c>
    </row>
    <row r="664" spans="1:23" x14ac:dyDescent="0.3">
      <c r="A664" s="44">
        <v>661</v>
      </c>
      <c r="B664" s="14">
        <v>9</v>
      </c>
      <c r="C664" s="4">
        <v>14</v>
      </c>
      <c r="D664" s="3" t="str">
        <f>VLOOKUP($C664,Overall!$K$5:$T$36,2)</f>
        <v>Normal</v>
      </c>
      <c r="E664" s="3">
        <f ca="1">VLOOKUP($C664,Overall!$K$5:$T$36,10)</f>
        <v>0</v>
      </c>
      <c r="F664" s="9" t="str">
        <f>VLOOKUP($C664,Overall!$K$5:$T$36,6)</f>
        <v>10000000000000000000000000000000</v>
      </c>
      <c r="G664" s="8">
        <v>29</v>
      </c>
      <c r="H664" s="3" t="str">
        <f>VLOOKUP($G664,Overall!$K$5:$T$36,2)</f>
        <v>Normal</v>
      </c>
      <c r="I664" s="3">
        <f ca="1">VLOOKUP($G664,Overall!$K$5:$T$36,10)</f>
        <v>-12345.6787109375</v>
      </c>
      <c r="J664" s="62" t="str">
        <f>VLOOKUP($G664,Overall!$K$5:$T$36,6)</f>
        <v>101000110010000001110011010110111</v>
      </c>
      <c r="K664" s="8">
        <f t="shared" ca="1" si="90"/>
        <v>0</v>
      </c>
      <c r="L664" s="62">
        <f>VLOOKUP($B664,Overall!$B$5:$I$13,8)</f>
        <v>0</v>
      </c>
      <c r="M664" s="58"/>
      <c r="N664" s="3" t="str">
        <f t="shared" si="91"/>
        <v/>
      </c>
      <c r="O664" s="3" t="str">
        <f t="shared" si="92"/>
        <v/>
      </c>
      <c r="P664" s="3" t="str">
        <f t="shared" si="93"/>
        <v/>
      </c>
      <c r="Q664" s="3">
        <f t="shared" si="94"/>
        <v>0</v>
      </c>
      <c r="R664" s="3">
        <f t="shared" si="95"/>
        <v>0</v>
      </c>
      <c r="S664" s="3" t="e" cm="1">
        <f t="array" aca="1" ref="S664" ca="1">SUMPRODUCT(MID($P664,ROW(INDIRECT("1:23")),1)*2^(-ROW(INDIRECT("1:23"))))</f>
        <v>#VALUE!</v>
      </c>
      <c r="T664" s="3" t="e">
        <f t="shared" ca="1" si="96"/>
        <v>#VALUE!</v>
      </c>
      <c r="U664" s="3" t="e">
        <f t="shared" ca="1" si="97"/>
        <v>#VALUE!</v>
      </c>
      <c r="V664" s="73"/>
      <c r="W664" s="9" t="str">
        <f t="shared" si="98"/>
        <v>OK</v>
      </c>
    </row>
    <row r="665" spans="1:23" x14ac:dyDescent="0.3">
      <c r="A665" s="44">
        <v>662</v>
      </c>
      <c r="B665" s="14">
        <v>9</v>
      </c>
      <c r="C665" s="4">
        <v>14</v>
      </c>
      <c r="D665" s="3" t="str">
        <f>VLOOKUP($C665,Overall!$K$5:$T$36,2)</f>
        <v>Normal</v>
      </c>
      <c r="E665" s="3">
        <f ca="1">VLOOKUP($C665,Overall!$K$5:$T$36,10)</f>
        <v>0</v>
      </c>
      <c r="F665" s="9" t="str">
        <f>VLOOKUP($C665,Overall!$K$5:$T$36,6)</f>
        <v>10000000000000000000000000000000</v>
      </c>
      <c r="G665" s="8">
        <v>30</v>
      </c>
      <c r="H665" s="3" t="str">
        <f>VLOOKUP($G665,Overall!$K$5:$T$36,2)</f>
        <v>Normal</v>
      </c>
      <c r="I665" s="3">
        <f ca="1">VLOOKUP($G665,Overall!$K$5:$T$36,10)</f>
        <v>-2.345678924830959E+38</v>
      </c>
      <c r="J665" s="62" t="str">
        <f>VLOOKUP($G665,Overall!$K$5:$T$36,6)</f>
        <v>11111111001100000111100000100010</v>
      </c>
      <c r="K665" s="8">
        <f t="shared" ca="1" si="90"/>
        <v>0</v>
      </c>
      <c r="L665" s="62">
        <f>VLOOKUP($B665,Overall!$B$5:$I$13,8)</f>
        <v>0</v>
      </c>
      <c r="M665" s="58"/>
      <c r="N665" s="3" t="str">
        <f t="shared" si="91"/>
        <v/>
      </c>
      <c r="O665" s="3" t="str">
        <f t="shared" si="92"/>
        <v/>
      </c>
      <c r="P665" s="3" t="str">
        <f t="shared" si="93"/>
        <v/>
      </c>
      <c r="Q665" s="3">
        <f t="shared" si="94"/>
        <v>0</v>
      </c>
      <c r="R665" s="3">
        <f t="shared" si="95"/>
        <v>0</v>
      </c>
      <c r="S665" s="3" t="e" cm="1">
        <f t="array" aca="1" ref="S665" ca="1">SUMPRODUCT(MID($P665,ROW(INDIRECT("1:23")),1)*2^(-ROW(INDIRECT("1:23"))))</f>
        <v>#VALUE!</v>
      </c>
      <c r="T665" s="3" t="e">
        <f t="shared" ca="1" si="96"/>
        <v>#VALUE!</v>
      </c>
      <c r="U665" s="3" t="e">
        <f t="shared" ca="1" si="97"/>
        <v>#VALUE!</v>
      </c>
      <c r="V665" s="73"/>
      <c r="W665" s="9" t="str">
        <f t="shared" si="98"/>
        <v>OK</v>
      </c>
    </row>
    <row r="666" spans="1:23" x14ac:dyDescent="0.3">
      <c r="A666" s="44">
        <v>663</v>
      </c>
      <c r="B666" s="14">
        <v>9</v>
      </c>
      <c r="C666" s="4">
        <v>14</v>
      </c>
      <c r="D666" s="3" t="str">
        <f>VLOOKUP($C666,Overall!$K$5:$T$36,2)</f>
        <v>Normal</v>
      </c>
      <c r="E666" s="3">
        <f ca="1">VLOOKUP($C666,Overall!$K$5:$T$36,10)</f>
        <v>0</v>
      </c>
      <c r="F666" s="9" t="str">
        <f>VLOOKUP($C666,Overall!$K$5:$T$36,6)</f>
        <v>10000000000000000000000000000000</v>
      </c>
      <c r="G666" s="8">
        <v>31</v>
      </c>
      <c r="H666" s="3" t="str">
        <f>VLOOKUP($G666,Overall!$K$5:$T$36,2)</f>
        <v>Normal</v>
      </c>
      <c r="I666" s="3">
        <f ca="1">VLOOKUP($G666,Overall!$K$5:$T$36,10)</f>
        <v>-3.4028232635611926E+38</v>
      </c>
      <c r="J666" s="62" t="str">
        <f>VLOOKUP($G666,Overall!$K$5:$T$36,6)</f>
        <v>11111111011111111111111111111110</v>
      </c>
      <c r="K666" s="8">
        <f t="shared" ca="1" si="90"/>
        <v>0</v>
      </c>
      <c r="L666" s="62">
        <f>VLOOKUP($B666,Overall!$B$5:$I$13,8)</f>
        <v>0</v>
      </c>
      <c r="M666" s="58"/>
      <c r="N666" s="3" t="str">
        <f t="shared" si="91"/>
        <v/>
      </c>
      <c r="O666" s="3" t="str">
        <f t="shared" si="92"/>
        <v/>
      </c>
      <c r="P666" s="3" t="str">
        <f t="shared" si="93"/>
        <v/>
      </c>
      <c r="Q666" s="3">
        <f t="shared" si="94"/>
        <v>0</v>
      </c>
      <c r="R666" s="3">
        <f t="shared" si="95"/>
        <v>0</v>
      </c>
      <c r="S666" s="3" t="e" cm="1">
        <f t="array" aca="1" ref="S666" ca="1">SUMPRODUCT(MID($P666,ROW(INDIRECT("1:23")),1)*2^(-ROW(INDIRECT("1:23"))))</f>
        <v>#VALUE!</v>
      </c>
      <c r="T666" s="3" t="e">
        <f t="shared" ca="1" si="96"/>
        <v>#VALUE!</v>
      </c>
      <c r="U666" s="3" t="e">
        <f t="shared" ca="1" si="97"/>
        <v>#VALUE!</v>
      </c>
      <c r="V666" s="73"/>
      <c r="W666" s="9" t="str">
        <f t="shared" si="98"/>
        <v>OK</v>
      </c>
    </row>
    <row r="667" spans="1:23" x14ac:dyDescent="0.3">
      <c r="A667" s="44">
        <v>664</v>
      </c>
      <c r="B667" s="14">
        <v>9</v>
      </c>
      <c r="C667" s="4">
        <v>14</v>
      </c>
      <c r="D667" s="3" t="str">
        <f>VLOOKUP($C667,Overall!$K$5:$T$36,2)</f>
        <v>Normal</v>
      </c>
      <c r="E667" s="3">
        <f ca="1">VLOOKUP($C667,Overall!$K$5:$T$36,10)</f>
        <v>0</v>
      </c>
      <c r="F667" s="9" t="str">
        <f>VLOOKUP($C667,Overall!$K$5:$T$36,6)</f>
        <v>10000000000000000000000000000000</v>
      </c>
      <c r="G667" s="8">
        <v>32</v>
      </c>
      <c r="H667" s="3" t="str">
        <f>VLOOKUP($G667,Overall!$K$5:$T$36,2)</f>
        <v>Normal</v>
      </c>
      <c r="I667" s="3">
        <f ca="1">VLOOKUP($G667,Overall!$K$5:$T$36,10)</f>
        <v>-3.4028234663852886E+38</v>
      </c>
      <c r="J667" s="62" t="str">
        <f>VLOOKUP($G667,Overall!$K$5:$T$36,6)</f>
        <v>11111111011111111111111111111111</v>
      </c>
      <c r="K667" s="8">
        <f t="shared" ca="1" si="90"/>
        <v>0</v>
      </c>
      <c r="L667" s="62">
        <f>VLOOKUP($B667,Overall!$B$5:$I$13,8)</f>
        <v>0</v>
      </c>
      <c r="M667" s="58"/>
      <c r="N667" s="3" t="str">
        <f t="shared" si="91"/>
        <v/>
      </c>
      <c r="O667" s="3" t="str">
        <f t="shared" si="92"/>
        <v/>
      </c>
      <c r="P667" s="3" t="str">
        <f t="shared" si="93"/>
        <v/>
      </c>
      <c r="Q667" s="3">
        <f t="shared" si="94"/>
        <v>0</v>
      </c>
      <c r="R667" s="3">
        <f t="shared" si="95"/>
        <v>0</v>
      </c>
      <c r="S667" s="3" t="e" cm="1">
        <f t="array" aca="1" ref="S667" ca="1">SUMPRODUCT(MID($P667,ROW(INDIRECT("1:23")),1)*2^(-ROW(INDIRECT("1:23"))))</f>
        <v>#VALUE!</v>
      </c>
      <c r="T667" s="3" t="e">
        <f t="shared" ca="1" si="96"/>
        <v>#VALUE!</v>
      </c>
      <c r="U667" s="3" t="e">
        <f t="shared" ca="1" si="97"/>
        <v>#VALUE!</v>
      </c>
      <c r="V667" s="73"/>
      <c r="W667" s="9" t="str">
        <f t="shared" si="98"/>
        <v>OK</v>
      </c>
    </row>
    <row r="668" spans="1:23" x14ac:dyDescent="0.3">
      <c r="A668" s="44">
        <v>665</v>
      </c>
      <c r="B668" s="14">
        <v>9</v>
      </c>
      <c r="C668" s="4">
        <v>15</v>
      </c>
      <c r="D668" s="3" t="str">
        <f>VLOOKUP($C668,Overall!$K$5:$T$36,2)</f>
        <v>Normal</v>
      </c>
      <c r="E668" s="3">
        <f ca="1">VLOOKUP($C668,Overall!$K$5:$T$36,10)</f>
        <v>1.1754943508222875E-38</v>
      </c>
      <c r="F668" s="9" t="str">
        <f>VLOOKUP($C668,Overall!$K$5:$T$36,6)</f>
        <v>00000000100000000000000000000000</v>
      </c>
      <c r="G668" s="8">
        <v>13</v>
      </c>
      <c r="H668" s="3" t="str">
        <f>VLOOKUP($G668,Overall!$K$5:$T$36,2)</f>
        <v>Normal</v>
      </c>
      <c r="I668" s="3">
        <f ca="1">VLOOKUP($G668,Overall!$K$5:$T$36,10)</f>
        <v>0</v>
      </c>
      <c r="J668" s="62" t="str">
        <f>VLOOKUP($G668,Overall!$K$5:$T$36,6)</f>
        <v>00000000000000000000000000000000</v>
      </c>
      <c r="K668" s="8">
        <f t="shared" ca="1" si="90"/>
        <v>0</v>
      </c>
      <c r="L668" s="62">
        <f>VLOOKUP($B668,Overall!$B$5:$I$13,8)</f>
        <v>0</v>
      </c>
      <c r="M668" s="58"/>
      <c r="N668" s="3" t="str">
        <f t="shared" si="91"/>
        <v/>
      </c>
      <c r="O668" s="3" t="str">
        <f t="shared" si="92"/>
        <v/>
      </c>
      <c r="P668" s="3" t="str">
        <f t="shared" si="93"/>
        <v/>
      </c>
      <c r="Q668" s="3">
        <f t="shared" si="94"/>
        <v>0</v>
      </c>
      <c r="R668" s="3">
        <f t="shared" si="95"/>
        <v>0</v>
      </c>
      <c r="S668" s="3" t="e" cm="1">
        <f t="array" aca="1" ref="S668" ca="1">SUMPRODUCT(MID($P668,ROW(INDIRECT("1:23")),1)*2^(-ROW(INDIRECT("1:23"))))</f>
        <v>#VALUE!</v>
      </c>
      <c r="T668" s="3" t="e">
        <f t="shared" ca="1" si="96"/>
        <v>#VALUE!</v>
      </c>
      <c r="U668" s="3" t="e">
        <f t="shared" ca="1" si="97"/>
        <v>#VALUE!</v>
      </c>
      <c r="V668" s="73"/>
      <c r="W668" s="9" t="str">
        <f t="shared" si="98"/>
        <v>OK</v>
      </c>
    </row>
    <row r="669" spans="1:23" x14ac:dyDescent="0.3">
      <c r="A669" s="44">
        <v>666</v>
      </c>
      <c r="B669" s="14">
        <v>9</v>
      </c>
      <c r="C669" s="4">
        <v>15</v>
      </c>
      <c r="D669" s="3" t="str">
        <f>VLOOKUP($C669,Overall!$K$5:$T$36,2)</f>
        <v>Normal</v>
      </c>
      <c r="E669" s="3">
        <f ca="1">VLOOKUP($C669,Overall!$K$5:$T$36,10)</f>
        <v>1.1754943508222875E-38</v>
      </c>
      <c r="F669" s="9" t="str">
        <f>VLOOKUP($C669,Overall!$K$5:$T$36,6)</f>
        <v>00000000100000000000000000000000</v>
      </c>
      <c r="G669" s="8">
        <v>14</v>
      </c>
      <c r="H669" s="3" t="str">
        <f>VLOOKUP($G669,Overall!$K$5:$T$36,2)</f>
        <v>Normal</v>
      </c>
      <c r="I669" s="3">
        <f ca="1">VLOOKUP($G669,Overall!$K$5:$T$36,10)</f>
        <v>0</v>
      </c>
      <c r="J669" s="62" t="str">
        <f>VLOOKUP($G669,Overall!$K$5:$T$36,6)</f>
        <v>10000000000000000000000000000000</v>
      </c>
      <c r="K669" s="8">
        <f t="shared" ca="1" si="90"/>
        <v>0</v>
      </c>
      <c r="L669" s="62">
        <f>VLOOKUP($B669,Overall!$B$5:$I$13,8)</f>
        <v>0</v>
      </c>
      <c r="M669" s="58"/>
      <c r="N669" s="3" t="str">
        <f t="shared" si="91"/>
        <v/>
      </c>
      <c r="O669" s="3" t="str">
        <f t="shared" si="92"/>
        <v/>
      </c>
      <c r="P669" s="3" t="str">
        <f t="shared" si="93"/>
        <v/>
      </c>
      <c r="Q669" s="3">
        <f t="shared" si="94"/>
        <v>0</v>
      </c>
      <c r="R669" s="3">
        <f t="shared" si="95"/>
        <v>0</v>
      </c>
      <c r="S669" s="3" t="e" cm="1">
        <f t="array" aca="1" ref="S669" ca="1">SUMPRODUCT(MID($P669,ROW(INDIRECT("1:23")),1)*2^(-ROW(INDIRECT("1:23"))))</f>
        <v>#VALUE!</v>
      </c>
      <c r="T669" s="3" t="e">
        <f t="shared" ca="1" si="96"/>
        <v>#VALUE!</v>
      </c>
      <c r="U669" s="3" t="e">
        <f t="shared" ca="1" si="97"/>
        <v>#VALUE!</v>
      </c>
      <c r="V669" s="73"/>
      <c r="W669" s="9" t="str">
        <f t="shared" si="98"/>
        <v>OK</v>
      </c>
    </row>
    <row r="670" spans="1:23" x14ac:dyDescent="0.3">
      <c r="A670" s="44">
        <v>667</v>
      </c>
      <c r="B670" s="14">
        <v>9</v>
      </c>
      <c r="C670" s="4">
        <v>15</v>
      </c>
      <c r="D670" s="3" t="str">
        <f>VLOOKUP($C670,Overall!$K$5:$T$36,2)</f>
        <v>Normal</v>
      </c>
      <c r="E670" s="3">
        <f ca="1">VLOOKUP($C670,Overall!$K$5:$T$36,10)</f>
        <v>1.1754943508222875E-38</v>
      </c>
      <c r="F670" s="9" t="str">
        <f>VLOOKUP($C670,Overall!$K$5:$T$36,6)</f>
        <v>00000000100000000000000000000000</v>
      </c>
      <c r="G670" s="8">
        <v>15</v>
      </c>
      <c r="H670" s="3" t="str">
        <f>VLOOKUP($G670,Overall!$K$5:$T$36,2)</f>
        <v>Normal</v>
      </c>
      <c r="I670" s="3">
        <f ca="1">VLOOKUP($G670,Overall!$K$5:$T$36,10)</f>
        <v>1.1754943508222875E-38</v>
      </c>
      <c r="J670" s="62" t="str">
        <f>VLOOKUP($G670,Overall!$K$5:$T$36,6)</f>
        <v>00000000100000000000000000000000</v>
      </c>
      <c r="K670" s="8">
        <f t="shared" ca="1" si="90"/>
        <v>1.3817869688151111E-76</v>
      </c>
      <c r="L670" s="62">
        <f>VLOOKUP($B670,Overall!$B$5:$I$13,8)</f>
        <v>0</v>
      </c>
      <c r="M670" s="58"/>
      <c r="N670" s="3" t="str">
        <f t="shared" si="91"/>
        <v/>
      </c>
      <c r="O670" s="3" t="str">
        <f t="shared" si="92"/>
        <v/>
      </c>
      <c r="P670" s="3" t="str">
        <f t="shared" si="93"/>
        <v/>
      </c>
      <c r="Q670" s="3">
        <f t="shared" si="94"/>
        <v>0</v>
      </c>
      <c r="R670" s="3">
        <f t="shared" si="95"/>
        <v>0</v>
      </c>
      <c r="S670" s="3" t="e" cm="1">
        <f t="array" aca="1" ref="S670" ca="1">SUMPRODUCT(MID($P670,ROW(INDIRECT("1:23")),1)*2^(-ROW(INDIRECT("1:23"))))</f>
        <v>#VALUE!</v>
      </c>
      <c r="T670" s="3" t="e">
        <f t="shared" ca="1" si="96"/>
        <v>#VALUE!</v>
      </c>
      <c r="U670" s="3" t="e">
        <f t="shared" ca="1" si="97"/>
        <v>#VALUE!</v>
      </c>
      <c r="V670" s="73"/>
      <c r="W670" s="9" t="str">
        <f t="shared" si="98"/>
        <v>OK</v>
      </c>
    </row>
    <row r="671" spans="1:23" x14ac:dyDescent="0.3">
      <c r="A671" s="44">
        <v>668</v>
      </c>
      <c r="B671" s="14">
        <v>9</v>
      </c>
      <c r="C671" s="4">
        <v>15</v>
      </c>
      <c r="D671" s="3" t="str">
        <f>VLOOKUP($C671,Overall!$K$5:$T$36,2)</f>
        <v>Normal</v>
      </c>
      <c r="E671" s="3">
        <f ca="1">VLOOKUP($C671,Overall!$K$5:$T$36,10)</f>
        <v>1.1754943508222875E-38</v>
      </c>
      <c r="F671" s="9" t="str">
        <f>VLOOKUP($C671,Overall!$K$5:$T$36,6)</f>
        <v>00000000100000000000000000000000</v>
      </c>
      <c r="G671" s="8">
        <v>16</v>
      </c>
      <c r="H671" s="3" t="str">
        <f>VLOOKUP($G671,Overall!$K$5:$T$36,2)</f>
        <v>Normal</v>
      </c>
      <c r="I671" s="3">
        <f ca="1">VLOOKUP($G671,Overall!$K$5:$T$36,10)</f>
        <v>1.1754944909521339E-38</v>
      </c>
      <c r="J671" s="62" t="str">
        <f>VLOOKUP($G671,Overall!$K$5:$T$36,6)</f>
        <v>00000000100000000000000000000001</v>
      </c>
      <c r="K671" s="8">
        <f t="shared" ca="1" si="90"/>
        <v>1.381787133536954E-76</v>
      </c>
      <c r="L671" s="62">
        <f>VLOOKUP($B671,Overall!$B$5:$I$13,8)</f>
        <v>0</v>
      </c>
      <c r="M671" s="58"/>
      <c r="N671" s="3" t="str">
        <f t="shared" si="91"/>
        <v/>
      </c>
      <c r="O671" s="3" t="str">
        <f t="shared" si="92"/>
        <v/>
      </c>
      <c r="P671" s="3" t="str">
        <f t="shared" si="93"/>
        <v/>
      </c>
      <c r="Q671" s="3">
        <f t="shared" si="94"/>
        <v>0</v>
      </c>
      <c r="R671" s="3">
        <f t="shared" si="95"/>
        <v>0</v>
      </c>
      <c r="S671" s="3" t="e" cm="1">
        <f t="array" aca="1" ref="S671" ca="1">SUMPRODUCT(MID($P671,ROW(INDIRECT("1:23")),1)*2^(-ROW(INDIRECT("1:23"))))</f>
        <v>#VALUE!</v>
      </c>
      <c r="T671" s="3" t="e">
        <f t="shared" ca="1" si="96"/>
        <v>#VALUE!</v>
      </c>
      <c r="U671" s="3" t="e">
        <f t="shared" ca="1" si="97"/>
        <v>#VALUE!</v>
      </c>
      <c r="V671" s="73"/>
      <c r="W671" s="9" t="str">
        <f t="shared" si="98"/>
        <v>OK</v>
      </c>
    </row>
    <row r="672" spans="1:23" x14ac:dyDescent="0.3">
      <c r="A672" s="44">
        <v>669</v>
      </c>
      <c r="B672" s="14">
        <v>9</v>
      </c>
      <c r="C672" s="4">
        <v>15</v>
      </c>
      <c r="D672" s="3" t="str">
        <f>VLOOKUP($C672,Overall!$K$5:$T$36,2)</f>
        <v>Normal</v>
      </c>
      <c r="E672" s="3">
        <f ca="1">VLOOKUP($C672,Overall!$K$5:$T$36,10)</f>
        <v>1.1754943508222875E-38</v>
      </c>
      <c r="F672" s="9" t="str">
        <f>VLOOKUP($C672,Overall!$K$5:$T$36,6)</f>
        <v>00000000100000000000000000000000</v>
      </c>
      <c r="G672" s="8">
        <v>17</v>
      </c>
      <c r="H672" s="3" t="str">
        <f>VLOOKUP($G672,Overall!$K$5:$T$36,2)</f>
        <v>Normal</v>
      </c>
      <c r="I672" s="3">
        <f ca="1">VLOOKUP($G672,Overall!$K$5:$T$36,10)</f>
        <v>0.5</v>
      </c>
      <c r="J672" s="62" t="str">
        <f>VLOOKUP($G672,Overall!$K$5:$T$36,6)</f>
        <v>00111111000000000000000000000000</v>
      </c>
      <c r="K672" s="8">
        <f t="shared" ca="1" si="90"/>
        <v>5.8774717541114375E-39</v>
      </c>
      <c r="L672" s="62">
        <f>VLOOKUP($B672,Overall!$B$5:$I$13,8)</f>
        <v>0</v>
      </c>
      <c r="M672" s="58"/>
      <c r="N672" s="3" t="str">
        <f t="shared" si="91"/>
        <v/>
      </c>
      <c r="O672" s="3" t="str">
        <f t="shared" si="92"/>
        <v/>
      </c>
      <c r="P672" s="3" t="str">
        <f t="shared" si="93"/>
        <v/>
      </c>
      <c r="Q672" s="3">
        <f t="shared" si="94"/>
        <v>0</v>
      </c>
      <c r="R672" s="3">
        <f t="shared" si="95"/>
        <v>0</v>
      </c>
      <c r="S672" s="3" t="e" cm="1">
        <f t="array" aca="1" ref="S672" ca="1">SUMPRODUCT(MID($P672,ROW(INDIRECT("1:23")),1)*2^(-ROW(INDIRECT("1:23"))))</f>
        <v>#VALUE!</v>
      </c>
      <c r="T672" s="3" t="e">
        <f t="shared" ca="1" si="96"/>
        <v>#VALUE!</v>
      </c>
      <c r="U672" s="3" t="e">
        <f t="shared" ca="1" si="97"/>
        <v>#VALUE!</v>
      </c>
      <c r="V672" s="73"/>
      <c r="W672" s="9" t="str">
        <f t="shared" si="98"/>
        <v>OK</v>
      </c>
    </row>
    <row r="673" spans="1:23" x14ac:dyDescent="0.3">
      <c r="A673" s="44">
        <v>670</v>
      </c>
      <c r="B673" s="14">
        <v>9</v>
      </c>
      <c r="C673" s="4">
        <v>15</v>
      </c>
      <c r="D673" s="3" t="str">
        <f>VLOOKUP($C673,Overall!$K$5:$T$36,2)</f>
        <v>Normal</v>
      </c>
      <c r="E673" s="3">
        <f ca="1">VLOOKUP($C673,Overall!$K$5:$T$36,10)</f>
        <v>1.1754943508222875E-38</v>
      </c>
      <c r="F673" s="9" t="str">
        <f>VLOOKUP($C673,Overall!$K$5:$T$36,6)</f>
        <v>00000000100000000000000000000000</v>
      </c>
      <c r="G673" s="8">
        <v>18</v>
      </c>
      <c r="H673" s="3" t="str">
        <f>VLOOKUP($G673,Overall!$K$5:$T$36,2)</f>
        <v>Normal</v>
      </c>
      <c r="I673" s="3">
        <f ca="1">VLOOKUP($G673,Overall!$K$5:$T$36,10)</f>
        <v>1</v>
      </c>
      <c r="J673" s="62" t="str">
        <f>VLOOKUP($G673,Overall!$K$5:$T$36,6)</f>
        <v>00111111100000000000000000000000</v>
      </c>
      <c r="K673" s="8">
        <f t="shared" ca="1" si="90"/>
        <v>1.1754943508222875E-38</v>
      </c>
      <c r="L673" s="62">
        <f>VLOOKUP($B673,Overall!$B$5:$I$13,8)</f>
        <v>0</v>
      </c>
      <c r="M673" s="58"/>
      <c r="N673" s="3" t="str">
        <f t="shared" si="91"/>
        <v/>
      </c>
      <c r="O673" s="3" t="str">
        <f t="shared" si="92"/>
        <v/>
      </c>
      <c r="P673" s="3" t="str">
        <f t="shared" si="93"/>
        <v/>
      </c>
      <c r="Q673" s="3">
        <f t="shared" si="94"/>
        <v>0</v>
      </c>
      <c r="R673" s="3">
        <f t="shared" si="95"/>
        <v>0</v>
      </c>
      <c r="S673" s="3" t="e" cm="1">
        <f t="array" aca="1" ref="S673" ca="1">SUMPRODUCT(MID($P673,ROW(INDIRECT("1:23")),1)*2^(-ROW(INDIRECT("1:23"))))</f>
        <v>#VALUE!</v>
      </c>
      <c r="T673" s="3" t="e">
        <f t="shared" ca="1" si="96"/>
        <v>#VALUE!</v>
      </c>
      <c r="U673" s="3" t="e">
        <f t="shared" ca="1" si="97"/>
        <v>#VALUE!</v>
      </c>
      <c r="V673" s="73"/>
      <c r="W673" s="9" t="str">
        <f t="shared" si="98"/>
        <v>OK</v>
      </c>
    </row>
    <row r="674" spans="1:23" x14ac:dyDescent="0.3">
      <c r="A674" s="44">
        <v>671</v>
      </c>
      <c r="B674" s="14">
        <v>9</v>
      </c>
      <c r="C674" s="4">
        <v>15</v>
      </c>
      <c r="D674" s="3" t="str">
        <f>VLOOKUP($C674,Overall!$K$5:$T$36,2)</f>
        <v>Normal</v>
      </c>
      <c r="E674" s="3">
        <f ca="1">VLOOKUP($C674,Overall!$K$5:$T$36,10)</f>
        <v>1.1754943508222875E-38</v>
      </c>
      <c r="F674" s="9" t="str">
        <f>VLOOKUP($C674,Overall!$K$5:$T$36,6)</f>
        <v>00000000100000000000000000000000</v>
      </c>
      <c r="G674" s="8">
        <v>19</v>
      </c>
      <c r="H674" s="3" t="str">
        <f>VLOOKUP($G674,Overall!$K$5:$T$36,2)</f>
        <v>Normal</v>
      </c>
      <c r="I674" s="3">
        <f ca="1">VLOOKUP($G674,Overall!$K$5:$T$36,10)</f>
        <v>1.5</v>
      </c>
      <c r="J674" s="62" t="str">
        <f>VLOOKUP($G674,Overall!$K$5:$T$36,6)</f>
        <v>00111111110000000000000000000000</v>
      </c>
      <c r="K674" s="8">
        <f t="shared" ca="1" si="90"/>
        <v>1.7632415262334313E-38</v>
      </c>
      <c r="L674" s="62">
        <f>VLOOKUP($B674,Overall!$B$5:$I$13,8)</f>
        <v>0</v>
      </c>
      <c r="M674" s="58"/>
      <c r="N674" s="3" t="str">
        <f t="shared" si="91"/>
        <v/>
      </c>
      <c r="O674" s="3" t="str">
        <f t="shared" si="92"/>
        <v/>
      </c>
      <c r="P674" s="3" t="str">
        <f t="shared" si="93"/>
        <v/>
      </c>
      <c r="Q674" s="3">
        <f t="shared" si="94"/>
        <v>0</v>
      </c>
      <c r="R674" s="3">
        <f t="shared" si="95"/>
        <v>0</v>
      </c>
      <c r="S674" s="3" t="e" cm="1">
        <f t="array" aca="1" ref="S674" ca="1">SUMPRODUCT(MID($P674,ROW(INDIRECT("1:23")),1)*2^(-ROW(INDIRECT("1:23"))))</f>
        <v>#VALUE!</v>
      </c>
      <c r="T674" s="3" t="e">
        <f t="shared" ca="1" si="96"/>
        <v>#VALUE!</v>
      </c>
      <c r="U674" s="3" t="e">
        <f t="shared" ca="1" si="97"/>
        <v>#VALUE!</v>
      </c>
      <c r="V674" s="73"/>
      <c r="W674" s="9" t="str">
        <f t="shared" si="98"/>
        <v>OK</v>
      </c>
    </row>
    <row r="675" spans="1:23" x14ac:dyDescent="0.3">
      <c r="A675" s="44">
        <v>672</v>
      </c>
      <c r="B675" s="14">
        <v>9</v>
      </c>
      <c r="C675" s="4">
        <v>15</v>
      </c>
      <c r="D675" s="3" t="str">
        <f>VLOOKUP($C675,Overall!$K$5:$T$36,2)</f>
        <v>Normal</v>
      </c>
      <c r="E675" s="3">
        <f ca="1">VLOOKUP($C675,Overall!$K$5:$T$36,10)</f>
        <v>1.1754943508222875E-38</v>
      </c>
      <c r="F675" s="9" t="str">
        <f>VLOOKUP($C675,Overall!$K$5:$T$36,6)</f>
        <v>00000000100000000000000000000000</v>
      </c>
      <c r="G675" s="8">
        <v>20</v>
      </c>
      <c r="H675" s="3" t="str">
        <f>VLOOKUP($G675,Overall!$K$5:$T$36,2)</f>
        <v>Normal</v>
      </c>
      <c r="I675" s="3">
        <f ca="1">VLOOKUP($G675,Overall!$K$5:$T$36,10)</f>
        <v>12345.6787109375</v>
      </c>
      <c r="J675" s="62" t="str">
        <f>VLOOKUP($G675,Overall!$K$5:$T$36,6)</f>
        <v>001000110010000001110011010110111</v>
      </c>
      <c r="K675" s="8">
        <f t="shared" ca="1" si="90"/>
        <v>1.4512275581774012E-34</v>
      </c>
      <c r="L675" s="62">
        <f>VLOOKUP($B675,Overall!$B$5:$I$13,8)</f>
        <v>0</v>
      </c>
      <c r="M675" s="58"/>
      <c r="N675" s="3" t="str">
        <f t="shared" si="91"/>
        <v/>
      </c>
      <c r="O675" s="3" t="str">
        <f t="shared" si="92"/>
        <v/>
      </c>
      <c r="P675" s="3" t="str">
        <f t="shared" si="93"/>
        <v/>
      </c>
      <c r="Q675" s="3">
        <f t="shared" si="94"/>
        <v>0</v>
      </c>
      <c r="R675" s="3">
        <f t="shared" si="95"/>
        <v>0</v>
      </c>
      <c r="S675" s="3" t="e" cm="1">
        <f t="array" aca="1" ref="S675" ca="1">SUMPRODUCT(MID($P675,ROW(INDIRECT("1:23")),1)*2^(-ROW(INDIRECT("1:23"))))</f>
        <v>#VALUE!</v>
      </c>
      <c r="T675" s="3" t="e">
        <f t="shared" ca="1" si="96"/>
        <v>#VALUE!</v>
      </c>
      <c r="U675" s="3" t="e">
        <f t="shared" ca="1" si="97"/>
        <v>#VALUE!</v>
      </c>
      <c r="V675" s="73"/>
      <c r="W675" s="9" t="str">
        <f t="shared" si="98"/>
        <v>OK</v>
      </c>
    </row>
    <row r="676" spans="1:23" x14ac:dyDescent="0.3">
      <c r="A676" s="44">
        <v>673</v>
      </c>
      <c r="B676" s="14">
        <v>9</v>
      </c>
      <c r="C676" s="4">
        <v>15</v>
      </c>
      <c r="D676" s="3" t="str">
        <f>VLOOKUP($C676,Overall!$K$5:$T$36,2)</f>
        <v>Normal</v>
      </c>
      <c r="E676" s="3">
        <f ca="1">VLOOKUP($C676,Overall!$K$5:$T$36,10)</f>
        <v>1.1754943508222875E-38</v>
      </c>
      <c r="F676" s="9" t="str">
        <f>VLOOKUP($C676,Overall!$K$5:$T$36,6)</f>
        <v>00000000100000000000000000000000</v>
      </c>
      <c r="G676" s="8">
        <v>21</v>
      </c>
      <c r="H676" s="3" t="str">
        <f>VLOOKUP($G676,Overall!$K$5:$T$36,2)</f>
        <v>Normal</v>
      </c>
      <c r="I676" s="3">
        <f ca="1">VLOOKUP($G676,Overall!$K$5:$T$36,10)</f>
        <v>2.345678924830959E+38</v>
      </c>
      <c r="J676" s="62" t="str">
        <f>VLOOKUP($G676,Overall!$K$5:$T$36,6)</f>
        <v>01111111001100000111100000100010</v>
      </c>
      <c r="K676" s="8">
        <f t="shared" ca="1" si="90"/>
        <v>2.7573323249816895</v>
      </c>
      <c r="L676" s="62">
        <f>VLOOKUP($B676,Overall!$B$5:$I$13,8)</f>
        <v>0</v>
      </c>
      <c r="M676" s="58"/>
      <c r="N676" s="3" t="str">
        <f t="shared" si="91"/>
        <v/>
      </c>
      <c r="O676" s="3" t="str">
        <f t="shared" si="92"/>
        <v/>
      </c>
      <c r="P676" s="3" t="str">
        <f t="shared" si="93"/>
        <v/>
      </c>
      <c r="Q676" s="3">
        <f t="shared" si="94"/>
        <v>0</v>
      </c>
      <c r="R676" s="3">
        <f t="shared" si="95"/>
        <v>0</v>
      </c>
      <c r="S676" s="3" t="e" cm="1">
        <f t="array" aca="1" ref="S676" ca="1">SUMPRODUCT(MID($P676,ROW(INDIRECT("1:23")),1)*2^(-ROW(INDIRECT("1:23"))))</f>
        <v>#VALUE!</v>
      </c>
      <c r="T676" s="3" t="e">
        <f t="shared" ca="1" si="96"/>
        <v>#VALUE!</v>
      </c>
      <c r="U676" s="3" t="e">
        <f t="shared" ca="1" si="97"/>
        <v>#VALUE!</v>
      </c>
      <c r="V676" s="73"/>
      <c r="W676" s="9" t="str">
        <f t="shared" si="98"/>
        <v>OK</v>
      </c>
    </row>
    <row r="677" spans="1:23" x14ac:dyDescent="0.3">
      <c r="A677" s="44">
        <v>674</v>
      </c>
      <c r="B677" s="14">
        <v>9</v>
      </c>
      <c r="C677" s="4">
        <v>15</v>
      </c>
      <c r="D677" s="3" t="str">
        <f>VLOOKUP($C677,Overall!$K$5:$T$36,2)</f>
        <v>Normal</v>
      </c>
      <c r="E677" s="3">
        <f ca="1">VLOOKUP($C677,Overall!$K$5:$T$36,10)</f>
        <v>1.1754943508222875E-38</v>
      </c>
      <c r="F677" s="9" t="str">
        <f>VLOOKUP($C677,Overall!$K$5:$T$36,6)</f>
        <v>00000000100000000000000000000000</v>
      </c>
      <c r="G677" s="8">
        <v>22</v>
      </c>
      <c r="H677" s="3" t="str">
        <f>VLOOKUP($G677,Overall!$K$5:$T$36,2)</f>
        <v>Normal</v>
      </c>
      <c r="I677" s="3">
        <f ca="1">VLOOKUP($G677,Overall!$K$5:$T$36,10)</f>
        <v>3.4028232635611926E+38</v>
      </c>
      <c r="J677" s="62" t="str">
        <f>VLOOKUP($G677,Overall!$K$5:$T$36,6)</f>
        <v>01111111011111111111111111111110</v>
      </c>
      <c r="K677" s="8">
        <f t="shared" ca="1" si="90"/>
        <v>3.9999995231628418</v>
      </c>
      <c r="L677" s="62">
        <f>VLOOKUP($B677,Overall!$B$5:$I$13,8)</f>
        <v>0</v>
      </c>
      <c r="M677" s="58"/>
      <c r="N677" s="3" t="str">
        <f t="shared" si="91"/>
        <v/>
      </c>
      <c r="O677" s="3" t="str">
        <f t="shared" si="92"/>
        <v/>
      </c>
      <c r="P677" s="3" t="str">
        <f t="shared" si="93"/>
        <v/>
      </c>
      <c r="Q677" s="3">
        <f t="shared" si="94"/>
        <v>0</v>
      </c>
      <c r="R677" s="3">
        <f t="shared" si="95"/>
        <v>0</v>
      </c>
      <c r="S677" s="3" t="e" cm="1">
        <f t="array" aca="1" ref="S677" ca="1">SUMPRODUCT(MID($P677,ROW(INDIRECT("1:23")),1)*2^(-ROW(INDIRECT("1:23"))))</f>
        <v>#VALUE!</v>
      </c>
      <c r="T677" s="3" t="e">
        <f t="shared" ca="1" si="96"/>
        <v>#VALUE!</v>
      </c>
      <c r="U677" s="3" t="e">
        <f t="shared" ca="1" si="97"/>
        <v>#VALUE!</v>
      </c>
      <c r="V677" s="73"/>
      <c r="W677" s="9" t="str">
        <f t="shared" si="98"/>
        <v>OK</v>
      </c>
    </row>
    <row r="678" spans="1:23" x14ac:dyDescent="0.3">
      <c r="A678" s="44">
        <v>675</v>
      </c>
      <c r="B678" s="14">
        <v>9</v>
      </c>
      <c r="C678" s="4">
        <v>15</v>
      </c>
      <c r="D678" s="3" t="str">
        <f>VLOOKUP($C678,Overall!$K$5:$T$36,2)</f>
        <v>Normal</v>
      </c>
      <c r="E678" s="3">
        <f ca="1">VLOOKUP($C678,Overall!$K$5:$T$36,10)</f>
        <v>1.1754943508222875E-38</v>
      </c>
      <c r="F678" s="9" t="str">
        <f>VLOOKUP($C678,Overall!$K$5:$T$36,6)</f>
        <v>00000000100000000000000000000000</v>
      </c>
      <c r="G678" s="8">
        <v>23</v>
      </c>
      <c r="H678" s="3" t="str">
        <f>VLOOKUP($G678,Overall!$K$5:$T$36,2)</f>
        <v>Normal</v>
      </c>
      <c r="I678" s="3">
        <f ca="1">VLOOKUP($G678,Overall!$K$5:$T$36,10)</f>
        <v>3.4028234663852886E+38</v>
      </c>
      <c r="J678" s="62" t="str">
        <f>VLOOKUP($G678,Overall!$K$5:$T$36,6)</f>
        <v>01111111011111111111111111111111</v>
      </c>
      <c r="K678" s="8">
        <f t="shared" ca="1" si="90"/>
        <v>3.9999997615814209</v>
      </c>
      <c r="L678" s="62">
        <f>VLOOKUP($B678,Overall!$B$5:$I$13,8)</f>
        <v>0</v>
      </c>
      <c r="M678" s="58"/>
      <c r="N678" s="3" t="str">
        <f t="shared" si="91"/>
        <v/>
      </c>
      <c r="O678" s="3" t="str">
        <f t="shared" si="92"/>
        <v/>
      </c>
      <c r="P678" s="3" t="str">
        <f t="shared" si="93"/>
        <v/>
      </c>
      <c r="Q678" s="3">
        <f t="shared" si="94"/>
        <v>0</v>
      </c>
      <c r="R678" s="3">
        <f t="shared" si="95"/>
        <v>0</v>
      </c>
      <c r="S678" s="3" t="e" cm="1">
        <f t="array" aca="1" ref="S678" ca="1">SUMPRODUCT(MID($P678,ROW(INDIRECT("1:23")),1)*2^(-ROW(INDIRECT("1:23"))))</f>
        <v>#VALUE!</v>
      </c>
      <c r="T678" s="3" t="e">
        <f t="shared" ca="1" si="96"/>
        <v>#VALUE!</v>
      </c>
      <c r="U678" s="3" t="e">
        <f t="shared" ca="1" si="97"/>
        <v>#VALUE!</v>
      </c>
      <c r="V678" s="73"/>
      <c r="W678" s="9" t="str">
        <f t="shared" si="98"/>
        <v>OK</v>
      </c>
    </row>
    <row r="679" spans="1:23" x14ac:dyDescent="0.3">
      <c r="A679" s="44">
        <v>676</v>
      </c>
      <c r="B679" s="14">
        <v>9</v>
      </c>
      <c r="C679" s="4">
        <v>15</v>
      </c>
      <c r="D679" s="3" t="str">
        <f>VLOOKUP($C679,Overall!$K$5:$T$36,2)</f>
        <v>Normal</v>
      </c>
      <c r="E679" s="3">
        <f ca="1">VLOOKUP($C679,Overall!$K$5:$T$36,10)</f>
        <v>1.1754943508222875E-38</v>
      </c>
      <c r="F679" s="9" t="str">
        <f>VLOOKUP($C679,Overall!$K$5:$T$36,6)</f>
        <v>00000000100000000000000000000000</v>
      </c>
      <c r="G679" s="8">
        <v>24</v>
      </c>
      <c r="H679" s="3" t="str">
        <f>VLOOKUP($G679,Overall!$K$5:$T$36,2)</f>
        <v>Normal</v>
      </c>
      <c r="I679" s="3">
        <f ca="1">VLOOKUP($G679,Overall!$K$5:$T$36,10)</f>
        <v>-1.1754943508222875E-38</v>
      </c>
      <c r="J679" s="62" t="str">
        <f>VLOOKUP($G679,Overall!$K$5:$T$36,6)</f>
        <v>10000000100000000000000000000000</v>
      </c>
      <c r="K679" s="8">
        <f t="shared" ca="1" si="90"/>
        <v>-1.3817869688151111E-76</v>
      </c>
      <c r="L679" s="62">
        <f>VLOOKUP($B679,Overall!$B$5:$I$13,8)</f>
        <v>0</v>
      </c>
      <c r="M679" s="58"/>
      <c r="N679" s="3" t="str">
        <f t="shared" si="91"/>
        <v/>
      </c>
      <c r="O679" s="3" t="str">
        <f t="shared" si="92"/>
        <v/>
      </c>
      <c r="P679" s="3" t="str">
        <f t="shared" si="93"/>
        <v/>
      </c>
      <c r="Q679" s="3">
        <f t="shared" si="94"/>
        <v>0</v>
      </c>
      <c r="R679" s="3">
        <f t="shared" si="95"/>
        <v>0</v>
      </c>
      <c r="S679" s="3" t="e" cm="1">
        <f t="array" aca="1" ref="S679" ca="1">SUMPRODUCT(MID($P679,ROW(INDIRECT("1:23")),1)*2^(-ROW(INDIRECT("1:23"))))</f>
        <v>#VALUE!</v>
      </c>
      <c r="T679" s="3" t="e">
        <f t="shared" ca="1" si="96"/>
        <v>#VALUE!</v>
      </c>
      <c r="U679" s="3" t="e">
        <f t="shared" ca="1" si="97"/>
        <v>#VALUE!</v>
      </c>
      <c r="V679" s="73"/>
      <c r="W679" s="9" t="str">
        <f t="shared" si="98"/>
        <v>OK</v>
      </c>
    </row>
    <row r="680" spans="1:23" x14ac:dyDescent="0.3">
      <c r="A680" s="44">
        <v>677</v>
      </c>
      <c r="B680" s="14">
        <v>9</v>
      </c>
      <c r="C680" s="4">
        <v>15</v>
      </c>
      <c r="D680" s="3" t="str">
        <f>VLOOKUP($C680,Overall!$K$5:$T$36,2)</f>
        <v>Normal</v>
      </c>
      <c r="E680" s="3">
        <f ca="1">VLOOKUP($C680,Overall!$K$5:$T$36,10)</f>
        <v>1.1754943508222875E-38</v>
      </c>
      <c r="F680" s="9" t="str">
        <f>VLOOKUP($C680,Overall!$K$5:$T$36,6)</f>
        <v>00000000100000000000000000000000</v>
      </c>
      <c r="G680" s="8">
        <v>25</v>
      </c>
      <c r="H680" s="3" t="str">
        <f>VLOOKUP($G680,Overall!$K$5:$T$36,2)</f>
        <v>Normal</v>
      </c>
      <c r="I680" s="3">
        <f ca="1">VLOOKUP($G680,Overall!$K$5:$T$36,10)</f>
        <v>-1.1754944909521339E-38</v>
      </c>
      <c r="J680" s="62" t="str">
        <f>VLOOKUP($G680,Overall!$K$5:$T$36,6)</f>
        <v>10000000100000000000000000000001</v>
      </c>
      <c r="K680" s="8">
        <f t="shared" ca="1" si="90"/>
        <v>-1.381787133536954E-76</v>
      </c>
      <c r="L680" s="62">
        <f>VLOOKUP($B680,Overall!$B$5:$I$13,8)</f>
        <v>0</v>
      </c>
      <c r="M680" s="58"/>
      <c r="N680" s="3" t="str">
        <f t="shared" si="91"/>
        <v/>
      </c>
      <c r="O680" s="3" t="str">
        <f t="shared" si="92"/>
        <v/>
      </c>
      <c r="P680" s="3" t="str">
        <f t="shared" si="93"/>
        <v/>
      </c>
      <c r="Q680" s="3">
        <f t="shared" si="94"/>
        <v>0</v>
      </c>
      <c r="R680" s="3">
        <f t="shared" si="95"/>
        <v>0</v>
      </c>
      <c r="S680" s="3" t="e" cm="1">
        <f t="array" aca="1" ref="S680" ca="1">SUMPRODUCT(MID($P680,ROW(INDIRECT("1:23")),1)*2^(-ROW(INDIRECT("1:23"))))</f>
        <v>#VALUE!</v>
      </c>
      <c r="T680" s="3" t="e">
        <f t="shared" ca="1" si="96"/>
        <v>#VALUE!</v>
      </c>
      <c r="U680" s="3" t="e">
        <f t="shared" ca="1" si="97"/>
        <v>#VALUE!</v>
      </c>
      <c r="V680" s="73"/>
      <c r="W680" s="9" t="str">
        <f t="shared" si="98"/>
        <v>OK</v>
      </c>
    </row>
    <row r="681" spans="1:23" x14ac:dyDescent="0.3">
      <c r="A681" s="44">
        <v>678</v>
      </c>
      <c r="B681" s="14">
        <v>9</v>
      </c>
      <c r="C681" s="4">
        <v>15</v>
      </c>
      <c r="D681" s="3" t="str">
        <f>VLOOKUP($C681,Overall!$K$5:$T$36,2)</f>
        <v>Normal</v>
      </c>
      <c r="E681" s="3">
        <f ca="1">VLOOKUP($C681,Overall!$K$5:$T$36,10)</f>
        <v>1.1754943508222875E-38</v>
      </c>
      <c r="F681" s="9" t="str">
        <f>VLOOKUP($C681,Overall!$K$5:$T$36,6)</f>
        <v>00000000100000000000000000000000</v>
      </c>
      <c r="G681" s="8">
        <v>26</v>
      </c>
      <c r="H681" s="3" t="str">
        <f>VLOOKUP($G681,Overall!$K$5:$T$36,2)</f>
        <v>Normal</v>
      </c>
      <c r="I681" s="3">
        <f ca="1">VLOOKUP($G681,Overall!$K$5:$T$36,10)</f>
        <v>-0.5</v>
      </c>
      <c r="J681" s="62" t="str">
        <f>VLOOKUP($G681,Overall!$K$5:$T$36,6)</f>
        <v>10111111000000000000000000000000</v>
      </c>
      <c r="K681" s="8">
        <f t="shared" ca="1" si="90"/>
        <v>-5.8774717541114375E-39</v>
      </c>
      <c r="L681" s="62">
        <f>VLOOKUP($B681,Overall!$B$5:$I$13,8)</f>
        <v>0</v>
      </c>
      <c r="M681" s="58"/>
      <c r="N681" s="3" t="str">
        <f t="shared" si="91"/>
        <v/>
      </c>
      <c r="O681" s="3" t="str">
        <f t="shared" si="92"/>
        <v/>
      </c>
      <c r="P681" s="3" t="str">
        <f t="shared" si="93"/>
        <v/>
      </c>
      <c r="Q681" s="3">
        <f t="shared" si="94"/>
        <v>0</v>
      </c>
      <c r="R681" s="3">
        <f t="shared" si="95"/>
        <v>0</v>
      </c>
      <c r="S681" s="3" t="e" cm="1">
        <f t="array" aca="1" ref="S681" ca="1">SUMPRODUCT(MID($P681,ROW(INDIRECT("1:23")),1)*2^(-ROW(INDIRECT("1:23"))))</f>
        <v>#VALUE!</v>
      </c>
      <c r="T681" s="3" t="e">
        <f t="shared" ca="1" si="96"/>
        <v>#VALUE!</v>
      </c>
      <c r="U681" s="3" t="e">
        <f t="shared" ca="1" si="97"/>
        <v>#VALUE!</v>
      </c>
      <c r="V681" s="73"/>
      <c r="W681" s="9" t="str">
        <f t="shared" si="98"/>
        <v>OK</v>
      </c>
    </row>
    <row r="682" spans="1:23" x14ac:dyDescent="0.3">
      <c r="A682" s="44">
        <v>679</v>
      </c>
      <c r="B682" s="14">
        <v>9</v>
      </c>
      <c r="C682" s="4">
        <v>15</v>
      </c>
      <c r="D682" s="3" t="str">
        <f>VLOOKUP($C682,Overall!$K$5:$T$36,2)</f>
        <v>Normal</v>
      </c>
      <c r="E682" s="3">
        <f ca="1">VLOOKUP($C682,Overall!$K$5:$T$36,10)</f>
        <v>1.1754943508222875E-38</v>
      </c>
      <c r="F682" s="9" t="str">
        <f>VLOOKUP($C682,Overall!$K$5:$T$36,6)</f>
        <v>00000000100000000000000000000000</v>
      </c>
      <c r="G682" s="8">
        <v>27</v>
      </c>
      <c r="H682" s="3" t="str">
        <f>VLOOKUP($G682,Overall!$K$5:$T$36,2)</f>
        <v>Normal</v>
      </c>
      <c r="I682" s="3">
        <f ca="1">VLOOKUP($G682,Overall!$K$5:$T$36,10)</f>
        <v>-1</v>
      </c>
      <c r="J682" s="62" t="str">
        <f>VLOOKUP($G682,Overall!$K$5:$T$36,6)</f>
        <v>10111111100000000000000000000000</v>
      </c>
      <c r="K682" s="8">
        <f t="shared" ca="1" si="90"/>
        <v>-1.1754943508222875E-38</v>
      </c>
      <c r="L682" s="62">
        <f>VLOOKUP($B682,Overall!$B$5:$I$13,8)</f>
        <v>0</v>
      </c>
      <c r="M682" s="58"/>
      <c r="N682" s="3" t="str">
        <f t="shared" si="91"/>
        <v/>
      </c>
      <c r="O682" s="3" t="str">
        <f t="shared" si="92"/>
        <v/>
      </c>
      <c r="P682" s="3" t="str">
        <f t="shared" si="93"/>
        <v/>
      </c>
      <c r="Q682" s="3">
        <f t="shared" si="94"/>
        <v>0</v>
      </c>
      <c r="R682" s="3">
        <f t="shared" si="95"/>
        <v>0</v>
      </c>
      <c r="S682" s="3" t="e" cm="1">
        <f t="array" aca="1" ref="S682" ca="1">SUMPRODUCT(MID($P682,ROW(INDIRECT("1:23")),1)*2^(-ROW(INDIRECT("1:23"))))</f>
        <v>#VALUE!</v>
      </c>
      <c r="T682" s="3" t="e">
        <f t="shared" ca="1" si="96"/>
        <v>#VALUE!</v>
      </c>
      <c r="U682" s="3" t="e">
        <f t="shared" ca="1" si="97"/>
        <v>#VALUE!</v>
      </c>
      <c r="V682" s="73"/>
      <c r="W682" s="9" t="str">
        <f t="shared" si="98"/>
        <v>OK</v>
      </c>
    </row>
    <row r="683" spans="1:23" x14ac:dyDescent="0.3">
      <c r="A683" s="44">
        <v>680</v>
      </c>
      <c r="B683" s="14">
        <v>9</v>
      </c>
      <c r="C683" s="4">
        <v>15</v>
      </c>
      <c r="D683" s="3" t="str">
        <f>VLOOKUP($C683,Overall!$K$5:$T$36,2)</f>
        <v>Normal</v>
      </c>
      <c r="E683" s="3">
        <f ca="1">VLOOKUP($C683,Overall!$K$5:$T$36,10)</f>
        <v>1.1754943508222875E-38</v>
      </c>
      <c r="F683" s="9" t="str">
        <f>VLOOKUP($C683,Overall!$K$5:$T$36,6)</f>
        <v>00000000100000000000000000000000</v>
      </c>
      <c r="G683" s="8">
        <v>28</v>
      </c>
      <c r="H683" s="3" t="str">
        <f>VLOOKUP($G683,Overall!$K$5:$T$36,2)</f>
        <v>Normal</v>
      </c>
      <c r="I683" s="3">
        <f ca="1">VLOOKUP($G683,Overall!$K$5:$T$36,10)</f>
        <v>-1.5</v>
      </c>
      <c r="J683" s="62" t="str">
        <f>VLOOKUP($G683,Overall!$K$5:$T$36,6)</f>
        <v>10111111110000000000000000000000</v>
      </c>
      <c r="K683" s="8">
        <f t="shared" ca="1" si="90"/>
        <v>-1.7632415262334313E-38</v>
      </c>
      <c r="L683" s="62">
        <f>VLOOKUP($B683,Overall!$B$5:$I$13,8)</f>
        <v>0</v>
      </c>
      <c r="M683" s="58"/>
      <c r="N683" s="3" t="str">
        <f t="shared" si="91"/>
        <v/>
      </c>
      <c r="O683" s="3" t="str">
        <f t="shared" si="92"/>
        <v/>
      </c>
      <c r="P683" s="3" t="str">
        <f t="shared" si="93"/>
        <v/>
      </c>
      <c r="Q683" s="3">
        <f t="shared" si="94"/>
        <v>0</v>
      </c>
      <c r="R683" s="3">
        <f t="shared" si="95"/>
        <v>0</v>
      </c>
      <c r="S683" s="3" t="e" cm="1">
        <f t="array" aca="1" ref="S683" ca="1">SUMPRODUCT(MID($P683,ROW(INDIRECT("1:23")),1)*2^(-ROW(INDIRECT("1:23"))))</f>
        <v>#VALUE!</v>
      </c>
      <c r="T683" s="3" t="e">
        <f t="shared" ca="1" si="96"/>
        <v>#VALUE!</v>
      </c>
      <c r="U683" s="3" t="e">
        <f t="shared" ca="1" si="97"/>
        <v>#VALUE!</v>
      </c>
      <c r="V683" s="73"/>
      <c r="W683" s="9" t="str">
        <f t="shared" si="98"/>
        <v>OK</v>
      </c>
    </row>
    <row r="684" spans="1:23" x14ac:dyDescent="0.3">
      <c r="A684" s="44">
        <v>681</v>
      </c>
      <c r="B684" s="14">
        <v>9</v>
      </c>
      <c r="C684" s="4">
        <v>15</v>
      </c>
      <c r="D684" s="3" t="str">
        <f>VLOOKUP($C684,Overall!$K$5:$T$36,2)</f>
        <v>Normal</v>
      </c>
      <c r="E684" s="3">
        <f ca="1">VLOOKUP($C684,Overall!$K$5:$T$36,10)</f>
        <v>1.1754943508222875E-38</v>
      </c>
      <c r="F684" s="9" t="str">
        <f>VLOOKUP($C684,Overall!$K$5:$T$36,6)</f>
        <v>00000000100000000000000000000000</v>
      </c>
      <c r="G684" s="8">
        <v>29</v>
      </c>
      <c r="H684" s="3" t="str">
        <f>VLOOKUP($G684,Overall!$K$5:$T$36,2)</f>
        <v>Normal</v>
      </c>
      <c r="I684" s="3">
        <f ca="1">VLOOKUP($G684,Overall!$K$5:$T$36,10)</f>
        <v>-12345.6787109375</v>
      </c>
      <c r="J684" s="62" t="str">
        <f>VLOOKUP($G684,Overall!$K$5:$T$36,6)</f>
        <v>101000110010000001110011010110111</v>
      </c>
      <c r="K684" s="8">
        <f t="shared" ca="1" si="90"/>
        <v>-1.4512275581774012E-34</v>
      </c>
      <c r="L684" s="62">
        <f>VLOOKUP($B684,Overall!$B$5:$I$13,8)</f>
        <v>0</v>
      </c>
      <c r="M684" s="58"/>
      <c r="N684" s="3" t="str">
        <f t="shared" si="91"/>
        <v/>
      </c>
      <c r="O684" s="3" t="str">
        <f t="shared" si="92"/>
        <v/>
      </c>
      <c r="P684" s="3" t="str">
        <f t="shared" si="93"/>
        <v/>
      </c>
      <c r="Q684" s="3">
        <f t="shared" si="94"/>
        <v>0</v>
      </c>
      <c r="R684" s="3">
        <f t="shared" si="95"/>
        <v>0</v>
      </c>
      <c r="S684" s="3" t="e" cm="1">
        <f t="array" aca="1" ref="S684" ca="1">SUMPRODUCT(MID($P684,ROW(INDIRECT("1:23")),1)*2^(-ROW(INDIRECT("1:23"))))</f>
        <v>#VALUE!</v>
      </c>
      <c r="T684" s="3" t="e">
        <f t="shared" ca="1" si="96"/>
        <v>#VALUE!</v>
      </c>
      <c r="U684" s="3" t="e">
        <f t="shared" ca="1" si="97"/>
        <v>#VALUE!</v>
      </c>
      <c r="V684" s="73"/>
      <c r="W684" s="9" t="str">
        <f t="shared" si="98"/>
        <v>OK</v>
      </c>
    </row>
    <row r="685" spans="1:23" x14ac:dyDescent="0.3">
      <c r="A685" s="44">
        <v>682</v>
      </c>
      <c r="B685" s="14">
        <v>9</v>
      </c>
      <c r="C685" s="4">
        <v>15</v>
      </c>
      <c r="D685" s="3" t="str">
        <f>VLOOKUP($C685,Overall!$K$5:$T$36,2)</f>
        <v>Normal</v>
      </c>
      <c r="E685" s="3">
        <f ca="1">VLOOKUP($C685,Overall!$K$5:$T$36,10)</f>
        <v>1.1754943508222875E-38</v>
      </c>
      <c r="F685" s="9" t="str">
        <f>VLOOKUP($C685,Overall!$K$5:$T$36,6)</f>
        <v>00000000100000000000000000000000</v>
      </c>
      <c r="G685" s="8">
        <v>30</v>
      </c>
      <c r="H685" s="3" t="str">
        <f>VLOOKUP($G685,Overall!$K$5:$T$36,2)</f>
        <v>Normal</v>
      </c>
      <c r="I685" s="3">
        <f ca="1">VLOOKUP($G685,Overall!$K$5:$T$36,10)</f>
        <v>-2.345678924830959E+38</v>
      </c>
      <c r="J685" s="62" t="str">
        <f>VLOOKUP($G685,Overall!$K$5:$T$36,6)</f>
        <v>11111111001100000111100000100010</v>
      </c>
      <c r="K685" s="8">
        <f t="shared" ca="1" si="90"/>
        <v>-2.7573323249816895</v>
      </c>
      <c r="L685" s="62">
        <f>VLOOKUP($B685,Overall!$B$5:$I$13,8)</f>
        <v>0</v>
      </c>
      <c r="M685" s="58"/>
      <c r="N685" s="3" t="str">
        <f t="shared" si="91"/>
        <v/>
      </c>
      <c r="O685" s="3" t="str">
        <f t="shared" si="92"/>
        <v/>
      </c>
      <c r="P685" s="3" t="str">
        <f t="shared" si="93"/>
        <v/>
      </c>
      <c r="Q685" s="3">
        <f t="shared" si="94"/>
        <v>0</v>
      </c>
      <c r="R685" s="3">
        <f t="shared" si="95"/>
        <v>0</v>
      </c>
      <c r="S685" s="3" t="e" cm="1">
        <f t="array" aca="1" ref="S685" ca="1">SUMPRODUCT(MID($P685,ROW(INDIRECT("1:23")),1)*2^(-ROW(INDIRECT("1:23"))))</f>
        <v>#VALUE!</v>
      </c>
      <c r="T685" s="3" t="e">
        <f t="shared" ca="1" si="96"/>
        <v>#VALUE!</v>
      </c>
      <c r="U685" s="3" t="e">
        <f t="shared" ca="1" si="97"/>
        <v>#VALUE!</v>
      </c>
      <c r="V685" s="73"/>
      <c r="W685" s="9" t="str">
        <f t="shared" si="98"/>
        <v>OK</v>
      </c>
    </row>
    <row r="686" spans="1:23" x14ac:dyDescent="0.3">
      <c r="A686" s="44">
        <v>683</v>
      </c>
      <c r="B686" s="14">
        <v>9</v>
      </c>
      <c r="C686" s="4">
        <v>15</v>
      </c>
      <c r="D686" s="3" t="str">
        <f>VLOOKUP($C686,Overall!$K$5:$T$36,2)</f>
        <v>Normal</v>
      </c>
      <c r="E686" s="3">
        <f ca="1">VLOOKUP($C686,Overall!$K$5:$T$36,10)</f>
        <v>1.1754943508222875E-38</v>
      </c>
      <c r="F686" s="9" t="str">
        <f>VLOOKUP($C686,Overall!$K$5:$T$36,6)</f>
        <v>00000000100000000000000000000000</v>
      </c>
      <c r="G686" s="8">
        <v>31</v>
      </c>
      <c r="H686" s="3" t="str">
        <f>VLOOKUP($G686,Overall!$K$5:$T$36,2)</f>
        <v>Normal</v>
      </c>
      <c r="I686" s="3">
        <f ca="1">VLOOKUP($G686,Overall!$K$5:$T$36,10)</f>
        <v>-3.4028232635611926E+38</v>
      </c>
      <c r="J686" s="62" t="str">
        <f>VLOOKUP($G686,Overall!$K$5:$T$36,6)</f>
        <v>11111111011111111111111111111110</v>
      </c>
      <c r="K686" s="8">
        <f t="shared" ca="1" si="90"/>
        <v>-3.9999995231628418</v>
      </c>
      <c r="L686" s="62">
        <f>VLOOKUP($B686,Overall!$B$5:$I$13,8)</f>
        <v>0</v>
      </c>
      <c r="M686" s="58"/>
      <c r="N686" s="3" t="str">
        <f t="shared" si="91"/>
        <v/>
      </c>
      <c r="O686" s="3" t="str">
        <f t="shared" si="92"/>
        <v/>
      </c>
      <c r="P686" s="3" t="str">
        <f t="shared" si="93"/>
        <v/>
      </c>
      <c r="Q686" s="3">
        <f t="shared" si="94"/>
        <v>0</v>
      </c>
      <c r="R686" s="3">
        <f t="shared" si="95"/>
        <v>0</v>
      </c>
      <c r="S686" s="3" t="e" cm="1">
        <f t="array" aca="1" ref="S686" ca="1">SUMPRODUCT(MID($P686,ROW(INDIRECT("1:23")),1)*2^(-ROW(INDIRECT("1:23"))))</f>
        <v>#VALUE!</v>
      </c>
      <c r="T686" s="3" t="e">
        <f t="shared" ca="1" si="96"/>
        <v>#VALUE!</v>
      </c>
      <c r="U686" s="3" t="e">
        <f t="shared" ca="1" si="97"/>
        <v>#VALUE!</v>
      </c>
      <c r="V686" s="73"/>
      <c r="W686" s="9" t="str">
        <f t="shared" si="98"/>
        <v>OK</v>
      </c>
    </row>
    <row r="687" spans="1:23" x14ac:dyDescent="0.3">
      <c r="A687" s="44">
        <v>684</v>
      </c>
      <c r="B687" s="14">
        <v>9</v>
      </c>
      <c r="C687" s="4">
        <v>15</v>
      </c>
      <c r="D687" s="3" t="str">
        <f>VLOOKUP($C687,Overall!$K$5:$T$36,2)</f>
        <v>Normal</v>
      </c>
      <c r="E687" s="3">
        <f ca="1">VLOOKUP($C687,Overall!$K$5:$T$36,10)</f>
        <v>1.1754943508222875E-38</v>
      </c>
      <c r="F687" s="9" t="str">
        <f>VLOOKUP($C687,Overall!$K$5:$T$36,6)</f>
        <v>00000000100000000000000000000000</v>
      </c>
      <c r="G687" s="8">
        <v>32</v>
      </c>
      <c r="H687" s="3" t="str">
        <f>VLOOKUP($G687,Overall!$K$5:$T$36,2)</f>
        <v>Normal</v>
      </c>
      <c r="I687" s="3">
        <f ca="1">VLOOKUP($G687,Overall!$K$5:$T$36,10)</f>
        <v>-3.4028234663852886E+38</v>
      </c>
      <c r="J687" s="62" t="str">
        <f>VLOOKUP($G687,Overall!$K$5:$T$36,6)</f>
        <v>11111111011111111111111111111111</v>
      </c>
      <c r="K687" s="8">
        <f t="shared" ca="1" si="90"/>
        <v>-3.9999997615814209</v>
      </c>
      <c r="L687" s="62">
        <f>VLOOKUP($B687,Overall!$B$5:$I$13,8)</f>
        <v>0</v>
      </c>
      <c r="M687" s="58"/>
      <c r="N687" s="3" t="str">
        <f t="shared" si="91"/>
        <v/>
      </c>
      <c r="O687" s="3" t="str">
        <f t="shared" si="92"/>
        <v/>
      </c>
      <c r="P687" s="3" t="str">
        <f t="shared" si="93"/>
        <v/>
      </c>
      <c r="Q687" s="3">
        <f t="shared" si="94"/>
        <v>0</v>
      </c>
      <c r="R687" s="3">
        <f t="shared" si="95"/>
        <v>0</v>
      </c>
      <c r="S687" s="3" t="e" cm="1">
        <f t="array" aca="1" ref="S687" ca="1">SUMPRODUCT(MID($P687,ROW(INDIRECT("1:23")),1)*2^(-ROW(INDIRECT("1:23"))))</f>
        <v>#VALUE!</v>
      </c>
      <c r="T687" s="3" t="e">
        <f t="shared" ca="1" si="96"/>
        <v>#VALUE!</v>
      </c>
      <c r="U687" s="3" t="e">
        <f t="shared" ca="1" si="97"/>
        <v>#VALUE!</v>
      </c>
      <c r="V687" s="73"/>
      <c r="W687" s="9" t="str">
        <f t="shared" si="98"/>
        <v>OK</v>
      </c>
    </row>
    <row r="688" spans="1:23" x14ac:dyDescent="0.3">
      <c r="A688" s="44">
        <v>685</v>
      </c>
      <c r="B688" s="14">
        <v>9</v>
      </c>
      <c r="C688" s="4">
        <v>16</v>
      </c>
      <c r="D688" s="3" t="str">
        <f>VLOOKUP($C688,Overall!$K$5:$T$36,2)</f>
        <v>Normal</v>
      </c>
      <c r="E688" s="3">
        <f ca="1">VLOOKUP($C688,Overall!$K$5:$T$36,10)</f>
        <v>1.1754944909521339E-38</v>
      </c>
      <c r="F688" s="9" t="str">
        <f>VLOOKUP($C688,Overall!$K$5:$T$36,6)</f>
        <v>00000000100000000000000000000001</v>
      </c>
      <c r="G688" s="8">
        <v>13</v>
      </c>
      <c r="H688" s="3" t="str">
        <f>VLOOKUP($G688,Overall!$K$5:$T$36,2)</f>
        <v>Normal</v>
      </c>
      <c r="I688" s="3">
        <f ca="1">VLOOKUP($G688,Overall!$K$5:$T$36,10)</f>
        <v>0</v>
      </c>
      <c r="J688" s="62" t="str">
        <f>VLOOKUP($G688,Overall!$K$5:$T$36,6)</f>
        <v>00000000000000000000000000000000</v>
      </c>
      <c r="K688" s="8">
        <f t="shared" ca="1" si="90"/>
        <v>0</v>
      </c>
      <c r="L688" s="62">
        <f>VLOOKUP($B688,Overall!$B$5:$I$13,8)</f>
        <v>0</v>
      </c>
      <c r="M688" s="58"/>
      <c r="N688" s="3" t="str">
        <f t="shared" si="91"/>
        <v/>
      </c>
      <c r="O688" s="3" t="str">
        <f t="shared" si="92"/>
        <v/>
      </c>
      <c r="P688" s="3" t="str">
        <f t="shared" si="93"/>
        <v/>
      </c>
      <c r="Q688" s="3">
        <f t="shared" si="94"/>
        <v>0</v>
      </c>
      <c r="R688" s="3">
        <f t="shared" si="95"/>
        <v>0</v>
      </c>
      <c r="S688" s="3" t="e" cm="1">
        <f t="array" aca="1" ref="S688" ca="1">SUMPRODUCT(MID($P688,ROW(INDIRECT("1:23")),1)*2^(-ROW(INDIRECT("1:23"))))</f>
        <v>#VALUE!</v>
      </c>
      <c r="T688" s="3" t="e">
        <f t="shared" ca="1" si="96"/>
        <v>#VALUE!</v>
      </c>
      <c r="U688" s="3" t="e">
        <f t="shared" ca="1" si="97"/>
        <v>#VALUE!</v>
      </c>
      <c r="V688" s="73"/>
      <c r="W688" s="9" t="str">
        <f t="shared" si="98"/>
        <v>OK</v>
      </c>
    </row>
    <row r="689" spans="1:23" x14ac:dyDescent="0.3">
      <c r="A689" s="44">
        <v>686</v>
      </c>
      <c r="B689" s="14">
        <v>9</v>
      </c>
      <c r="C689" s="4">
        <v>16</v>
      </c>
      <c r="D689" s="3" t="str">
        <f>VLOOKUP($C689,Overall!$K$5:$T$36,2)</f>
        <v>Normal</v>
      </c>
      <c r="E689" s="3">
        <f ca="1">VLOOKUP($C689,Overall!$K$5:$T$36,10)</f>
        <v>1.1754944909521339E-38</v>
      </c>
      <c r="F689" s="9" t="str">
        <f>VLOOKUP($C689,Overall!$K$5:$T$36,6)</f>
        <v>00000000100000000000000000000001</v>
      </c>
      <c r="G689" s="8">
        <v>14</v>
      </c>
      <c r="H689" s="3" t="str">
        <f>VLOOKUP($G689,Overall!$K$5:$T$36,2)</f>
        <v>Normal</v>
      </c>
      <c r="I689" s="3">
        <f ca="1">VLOOKUP($G689,Overall!$K$5:$T$36,10)</f>
        <v>0</v>
      </c>
      <c r="J689" s="62" t="str">
        <f>VLOOKUP($G689,Overall!$K$5:$T$36,6)</f>
        <v>10000000000000000000000000000000</v>
      </c>
      <c r="K689" s="8">
        <f t="shared" ca="1" si="90"/>
        <v>0</v>
      </c>
      <c r="L689" s="62">
        <f>VLOOKUP($B689,Overall!$B$5:$I$13,8)</f>
        <v>0</v>
      </c>
      <c r="M689" s="58"/>
      <c r="N689" s="3" t="str">
        <f t="shared" si="91"/>
        <v/>
      </c>
      <c r="O689" s="3" t="str">
        <f t="shared" si="92"/>
        <v/>
      </c>
      <c r="P689" s="3" t="str">
        <f t="shared" si="93"/>
        <v/>
      </c>
      <c r="Q689" s="3">
        <f t="shared" si="94"/>
        <v>0</v>
      </c>
      <c r="R689" s="3">
        <f t="shared" si="95"/>
        <v>0</v>
      </c>
      <c r="S689" s="3" t="e" cm="1">
        <f t="array" aca="1" ref="S689" ca="1">SUMPRODUCT(MID($P689,ROW(INDIRECT("1:23")),1)*2^(-ROW(INDIRECT("1:23"))))</f>
        <v>#VALUE!</v>
      </c>
      <c r="T689" s="3" t="e">
        <f t="shared" ca="1" si="96"/>
        <v>#VALUE!</v>
      </c>
      <c r="U689" s="3" t="e">
        <f t="shared" ca="1" si="97"/>
        <v>#VALUE!</v>
      </c>
      <c r="V689" s="73"/>
      <c r="W689" s="9" t="str">
        <f t="shared" si="98"/>
        <v>OK</v>
      </c>
    </row>
    <row r="690" spans="1:23" x14ac:dyDescent="0.3">
      <c r="A690" s="44">
        <v>687</v>
      </c>
      <c r="B690" s="14">
        <v>9</v>
      </c>
      <c r="C690" s="4">
        <v>16</v>
      </c>
      <c r="D690" s="3" t="str">
        <f>VLOOKUP($C690,Overall!$K$5:$T$36,2)</f>
        <v>Normal</v>
      </c>
      <c r="E690" s="3">
        <f ca="1">VLOOKUP($C690,Overall!$K$5:$T$36,10)</f>
        <v>1.1754944909521339E-38</v>
      </c>
      <c r="F690" s="9" t="str">
        <f>VLOOKUP($C690,Overall!$K$5:$T$36,6)</f>
        <v>00000000100000000000000000000001</v>
      </c>
      <c r="G690" s="8">
        <v>15</v>
      </c>
      <c r="H690" s="3" t="str">
        <f>VLOOKUP($G690,Overall!$K$5:$T$36,2)</f>
        <v>Normal</v>
      </c>
      <c r="I690" s="3">
        <f ca="1">VLOOKUP($G690,Overall!$K$5:$T$36,10)</f>
        <v>1.1754943508222875E-38</v>
      </c>
      <c r="J690" s="62" t="str">
        <f>VLOOKUP($G690,Overall!$K$5:$T$36,6)</f>
        <v>00000000100000000000000000000000</v>
      </c>
      <c r="K690" s="8">
        <f t="shared" ca="1" si="90"/>
        <v>1.381787133536954E-76</v>
      </c>
      <c r="L690" s="62">
        <f>VLOOKUP($B690,Overall!$B$5:$I$13,8)</f>
        <v>0</v>
      </c>
      <c r="M690" s="58"/>
      <c r="N690" s="3" t="str">
        <f t="shared" si="91"/>
        <v/>
      </c>
      <c r="O690" s="3" t="str">
        <f t="shared" si="92"/>
        <v/>
      </c>
      <c r="P690" s="3" t="str">
        <f t="shared" si="93"/>
        <v/>
      </c>
      <c r="Q690" s="3">
        <f t="shared" si="94"/>
        <v>0</v>
      </c>
      <c r="R690" s="3">
        <f t="shared" si="95"/>
        <v>0</v>
      </c>
      <c r="S690" s="3" t="e" cm="1">
        <f t="array" aca="1" ref="S690" ca="1">SUMPRODUCT(MID($P690,ROW(INDIRECT("1:23")),1)*2^(-ROW(INDIRECT("1:23"))))</f>
        <v>#VALUE!</v>
      </c>
      <c r="T690" s="3" t="e">
        <f t="shared" ca="1" si="96"/>
        <v>#VALUE!</v>
      </c>
      <c r="U690" s="3" t="e">
        <f t="shared" ca="1" si="97"/>
        <v>#VALUE!</v>
      </c>
      <c r="V690" s="73"/>
      <c r="W690" s="9" t="str">
        <f t="shared" si="98"/>
        <v>OK</v>
      </c>
    </row>
    <row r="691" spans="1:23" x14ac:dyDescent="0.3">
      <c r="A691" s="44">
        <v>688</v>
      </c>
      <c r="B691" s="14">
        <v>9</v>
      </c>
      <c r="C691" s="4">
        <v>16</v>
      </c>
      <c r="D691" s="3" t="str">
        <f>VLOOKUP($C691,Overall!$K$5:$T$36,2)</f>
        <v>Normal</v>
      </c>
      <c r="E691" s="3">
        <f ca="1">VLOOKUP($C691,Overall!$K$5:$T$36,10)</f>
        <v>1.1754944909521339E-38</v>
      </c>
      <c r="F691" s="9" t="str">
        <f>VLOOKUP($C691,Overall!$K$5:$T$36,6)</f>
        <v>00000000100000000000000000000001</v>
      </c>
      <c r="G691" s="8">
        <v>16</v>
      </c>
      <c r="H691" s="3" t="str">
        <f>VLOOKUP($G691,Overall!$K$5:$T$36,2)</f>
        <v>Normal</v>
      </c>
      <c r="I691" s="3">
        <f ca="1">VLOOKUP($G691,Overall!$K$5:$T$36,10)</f>
        <v>1.1754944909521339E-38</v>
      </c>
      <c r="J691" s="62" t="str">
        <f>VLOOKUP($G691,Overall!$K$5:$T$36,6)</f>
        <v>00000000100000000000000000000001</v>
      </c>
      <c r="K691" s="8">
        <f t="shared" ca="1" si="90"/>
        <v>1.3817872982588165E-76</v>
      </c>
      <c r="L691" s="62">
        <f>VLOOKUP($B691,Overall!$B$5:$I$13,8)</f>
        <v>0</v>
      </c>
      <c r="M691" s="58"/>
      <c r="N691" s="3" t="str">
        <f t="shared" si="91"/>
        <v/>
      </c>
      <c r="O691" s="3" t="str">
        <f t="shared" si="92"/>
        <v/>
      </c>
      <c r="P691" s="3" t="str">
        <f t="shared" si="93"/>
        <v/>
      </c>
      <c r="Q691" s="3">
        <f t="shared" si="94"/>
        <v>0</v>
      </c>
      <c r="R691" s="3">
        <f t="shared" si="95"/>
        <v>0</v>
      </c>
      <c r="S691" s="3" t="e" cm="1">
        <f t="array" aca="1" ref="S691" ca="1">SUMPRODUCT(MID($P691,ROW(INDIRECT("1:23")),1)*2^(-ROW(INDIRECT("1:23"))))</f>
        <v>#VALUE!</v>
      </c>
      <c r="T691" s="3" t="e">
        <f t="shared" ca="1" si="96"/>
        <v>#VALUE!</v>
      </c>
      <c r="U691" s="3" t="e">
        <f t="shared" ca="1" si="97"/>
        <v>#VALUE!</v>
      </c>
      <c r="V691" s="73"/>
      <c r="W691" s="9" t="str">
        <f t="shared" si="98"/>
        <v>OK</v>
      </c>
    </row>
    <row r="692" spans="1:23" x14ac:dyDescent="0.3">
      <c r="A692" s="44">
        <v>689</v>
      </c>
      <c r="B692" s="14">
        <v>9</v>
      </c>
      <c r="C692" s="4">
        <v>16</v>
      </c>
      <c r="D692" s="3" t="str">
        <f>VLOOKUP($C692,Overall!$K$5:$T$36,2)</f>
        <v>Normal</v>
      </c>
      <c r="E692" s="3">
        <f ca="1">VLOOKUP($C692,Overall!$K$5:$T$36,10)</f>
        <v>1.1754944909521339E-38</v>
      </c>
      <c r="F692" s="9" t="str">
        <f>VLOOKUP($C692,Overall!$K$5:$T$36,6)</f>
        <v>00000000100000000000000000000001</v>
      </c>
      <c r="G692" s="8">
        <v>17</v>
      </c>
      <c r="H692" s="3" t="str">
        <f>VLOOKUP($G692,Overall!$K$5:$T$36,2)</f>
        <v>Normal</v>
      </c>
      <c r="I692" s="3">
        <f ca="1">VLOOKUP($G692,Overall!$K$5:$T$36,10)</f>
        <v>0.5</v>
      </c>
      <c r="J692" s="62" t="str">
        <f>VLOOKUP($G692,Overall!$K$5:$T$36,6)</f>
        <v>00111111000000000000000000000000</v>
      </c>
      <c r="K692" s="8">
        <f t="shared" ca="1" si="90"/>
        <v>5.8774724547606697E-39</v>
      </c>
      <c r="L692" s="62">
        <f>VLOOKUP($B692,Overall!$B$5:$I$13,8)</f>
        <v>0</v>
      </c>
      <c r="M692" s="58"/>
      <c r="N692" s="3" t="str">
        <f t="shared" si="91"/>
        <v/>
      </c>
      <c r="O692" s="3" t="str">
        <f t="shared" si="92"/>
        <v/>
      </c>
      <c r="P692" s="3" t="str">
        <f t="shared" si="93"/>
        <v/>
      </c>
      <c r="Q692" s="3">
        <f t="shared" si="94"/>
        <v>0</v>
      </c>
      <c r="R692" s="3">
        <f t="shared" si="95"/>
        <v>0</v>
      </c>
      <c r="S692" s="3" t="e" cm="1">
        <f t="array" aca="1" ref="S692" ca="1">SUMPRODUCT(MID($P692,ROW(INDIRECT("1:23")),1)*2^(-ROW(INDIRECT("1:23"))))</f>
        <v>#VALUE!</v>
      </c>
      <c r="T692" s="3" t="e">
        <f t="shared" ca="1" si="96"/>
        <v>#VALUE!</v>
      </c>
      <c r="U692" s="3" t="e">
        <f t="shared" ca="1" si="97"/>
        <v>#VALUE!</v>
      </c>
      <c r="V692" s="73"/>
      <c r="W692" s="9" t="str">
        <f t="shared" si="98"/>
        <v>OK</v>
      </c>
    </row>
    <row r="693" spans="1:23" x14ac:dyDescent="0.3">
      <c r="A693" s="44">
        <v>690</v>
      </c>
      <c r="B693" s="14">
        <v>9</v>
      </c>
      <c r="C693" s="4">
        <v>16</v>
      </c>
      <c r="D693" s="3" t="str">
        <f>VLOOKUP($C693,Overall!$K$5:$T$36,2)</f>
        <v>Normal</v>
      </c>
      <c r="E693" s="3">
        <f ca="1">VLOOKUP($C693,Overall!$K$5:$T$36,10)</f>
        <v>1.1754944909521339E-38</v>
      </c>
      <c r="F693" s="9" t="str">
        <f>VLOOKUP($C693,Overall!$K$5:$T$36,6)</f>
        <v>00000000100000000000000000000001</v>
      </c>
      <c r="G693" s="8">
        <v>18</v>
      </c>
      <c r="H693" s="3" t="str">
        <f>VLOOKUP($G693,Overall!$K$5:$T$36,2)</f>
        <v>Normal</v>
      </c>
      <c r="I693" s="3">
        <f ca="1">VLOOKUP($G693,Overall!$K$5:$T$36,10)</f>
        <v>1</v>
      </c>
      <c r="J693" s="62" t="str">
        <f>VLOOKUP($G693,Overall!$K$5:$T$36,6)</f>
        <v>00111111100000000000000000000000</v>
      </c>
      <c r="K693" s="8">
        <f t="shared" ca="1" si="90"/>
        <v>1.1754944909521339E-38</v>
      </c>
      <c r="L693" s="62">
        <f>VLOOKUP($B693,Overall!$B$5:$I$13,8)</f>
        <v>0</v>
      </c>
      <c r="M693" s="58"/>
      <c r="N693" s="3" t="str">
        <f t="shared" si="91"/>
        <v/>
      </c>
      <c r="O693" s="3" t="str">
        <f t="shared" si="92"/>
        <v/>
      </c>
      <c r="P693" s="3" t="str">
        <f t="shared" si="93"/>
        <v/>
      </c>
      <c r="Q693" s="3">
        <f t="shared" si="94"/>
        <v>0</v>
      </c>
      <c r="R693" s="3">
        <f t="shared" si="95"/>
        <v>0</v>
      </c>
      <c r="S693" s="3" t="e" cm="1">
        <f t="array" aca="1" ref="S693" ca="1">SUMPRODUCT(MID($P693,ROW(INDIRECT("1:23")),1)*2^(-ROW(INDIRECT("1:23"))))</f>
        <v>#VALUE!</v>
      </c>
      <c r="T693" s="3" t="e">
        <f t="shared" ca="1" si="96"/>
        <v>#VALUE!</v>
      </c>
      <c r="U693" s="3" t="e">
        <f t="shared" ca="1" si="97"/>
        <v>#VALUE!</v>
      </c>
      <c r="V693" s="73"/>
      <c r="W693" s="9" t="str">
        <f t="shared" si="98"/>
        <v>OK</v>
      </c>
    </row>
    <row r="694" spans="1:23" x14ac:dyDescent="0.3">
      <c r="A694" s="44">
        <v>691</v>
      </c>
      <c r="B694" s="14">
        <v>9</v>
      </c>
      <c r="C694" s="4">
        <v>16</v>
      </c>
      <c r="D694" s="3" t="str">
        <f>VLOOKUP($C694,Overall!$K$5:$T$36,2)</f>
        <v>Normal</v>
      </c>
      <c r="E694" s="3">
        <f ca="1">VLOOKUP($C694,Overall!$K$5:$T$36,10)</f>
        <v>1.1754944909521339E-38</v>
      </c>
      <c r="F694" s="9" t="str">
        <f>VLOOKUP($C694,Overall!$K$5:$T$36,6)</f>
        <v>00000000100000000000000000000001</v>
      </c>
      <c r="G694" s="8">
        <v>19</v>
      </c>
      <c r="H694" s="3" t="str">
        <f>VLOOKUP($G694,Overall!$K$5:$T$36,2)</f>
        <v>Normal</v>
      </c>
      <c r="I694" s="3">
        <f ca="1">VLOOKUP($G694,Overall!$K$5:$T$36,10)</f>
        <v>1.5</v>
      </c>
      <c r="J694" s="62" t="str">
        <f>VLOOKUP($G694,Overall!$K$5:$T$36,6)</f>
        <v>00111111110000000000000000000000</v>
      </c>
      <c r="K694" s="8">
        <f t="shared" ca="1" si="90"/>
        <v>1.7632417364282009E-38</v>
      </c>
      <c r="L694" s="62">
        <f>VLOOKUP($B694,Overall!$B$5:$I$13,8)</f>
        <v>0</v>
      </c>
      <c r="M694" s="58"/>
      <c r="N694" s="3" t="str">
        <f t="shared" si="91"/>
        <v/>
      </c>
      <c r="O694" s="3" t="str">
        <f t="shared" si="92"/>
        <v/>
      </c>
      <c r="P694" s="3" t="str">
        <f t="shared" si="93"/>
        <v/>
      </c>
      <c r="Q694" s="3">
        <f t="shared" si="94"/>
        <v>0</v>
      </c>
      <c r="R694" s="3">
        <f t="shared" si="95"/>
        <v>0</v>
      </c>
      <c r="S694" s="3" t="e" cm="1">
        <f t="array" aca="1" ref="S694" ca="1">SUMPRODUCT(MID($P694,ROW(INDIRECT("1:23")),1)*2^(-ROW(INDIRECT("1:23"))))</f>
        <v>#VALUE!</v>
      </c>
      <c r="T694" s="3" t="e">
        <f t="shared" ca="1" si="96"/>
        <v>#VALUE!</v>
      </c>
      <c r="U694" s="3" t="e">
        <f t="shared" ca="1" si="97"/>
        <v>#VALUE!</v>
      </c>
      <c r="V694" s="73"/>
      <c r="W694" s="9" t="str">
        <f t="shared" si="98"/>
        <v>OK</v>
      </c>
    </row>
    <row r="695" spans="1:23" x14ac:dyDescent="0.3">
      <c r="A695" s="44">
        <v>692</v>
      </c>
      <c r="B695" s="14">
        <v>9</v>
      </c>
      <c r="C695" s="4">
        <v>16</v>
      </c>
      <c r="D695" s="3" t="str">
        <f>VLOOKUP($C695,Overall!$K$5:$T$36,2)</f>
        <v>Normal</v>
      </c>
      <c r="E695" s="3">
        <f ca="1">VLOOKUP($C695,Overall!$K$5:$T$36,10)</f>
        <v>1.1754944909521339E-38</v>
      </c>
      <c r="F695" s="9" t="str">
        <f>VLOOKUP($C695,Overall!$K$5:$T$36,6)</f>
        <v>00000000100000000000000000000001</v>
      </c>
      <c r="G695" s="8">
        <v>20</v>
      </c>
      <c r="H695" s="3" t="str">
        <f>VLOOKUP($G695,Overall!$K$5:$T$36,2)</f>
        <v>Normal</v>
      </c>
      <c r="I695" s="3">
        <f ca="1">VLOOKUP($G695,Overall!$K$5:$T$36,10)</f>
        <v>12345.6787109375</v>
      </c>
      <c r="J695" s="62" t="str">
        <f>VLOOKUP($G695,Overall!$K$5:$T$36,6)</f>
        <v>001000110010000001110011010110111</v>
      </c>
      <c r="K695" s="8">
        <f t="shared" ca="1" si="90"/>
        <v>1.4512277311772074E-34</v>
      </c>
      <c r="L695" s="62">
        <f>VLOOKUP($B695,Overall!$B$5:$I$13,8)</f>
        <v>0</v>
      </c>
      <c r="M695" s="58"/>
      <c r="N695" s="3" t="str">
        <f t="shared" si="91"/>
        <v/>
      </c>
      <c r="O695" s="3" t="str">
        <f t="shared" si="92"/>
        <v/>
      </c>
      <c r="P695" s="3" t="str">
        <f t="shared" si="93"/>
        <v/>
      </c>
      <c r="Q695" s="3">
        <f t="shared" si="94"/>
        <v>0</v>
      </c>
      <c r="R695" s="3">
        <f t="shared" si="95"/>
        <v>0</v>
      </c>
      <c r="S695" s="3" t="e" cm="1">
        <f t="array" aca="1" ref="S695" ca="1">SUMPRODUCT(MID($P695,ROW(INDIRECT("1:23")),1)*2^(-ROW(INDIRECT("1:23"))))</f>
        <v>#VALUE!</v>
      </c>
      <c r="T695" s="3" t="e">
        <f t="shared" ca="1" si="96"/>
        <v>#VALUE!</v>
      </c>
      <c r="U695" s="3" t="e">
        <f t="shared" ca="1" si="97"/>
        <v>#VALUE!</v>
      </c>
      <c r="V695" s="73"/>
      <c r="W695" s="9" t="str">
        <f t="shared" si="98"/>
        <v>OK</v>
      </c>
    </row>
    <row r="696" spans="1:23" x14ac:dyDescent="0.3">
      <c r="A696" s="44">
        <v>693</v>
      </c>
      <c r="B696" s="14">
        <v>9</v>
      </c>
      <c r="C696" s="4">
        <v>16</v>
      </c>
      <c r="D696" s="3" t="str">
        <f>VLOOKUP($C696,Overall!$K$5:$T$36,2)</f>
        <v>Normal</v>
      </c>
      <c r="E696" s="3">
        <f ca="1">VLOOKUP($C696,Overall!$K$5:$T$36,10)</f>
        <v>1.1754944909521339E-38</v>
      </c>
      <c r="F696" s="9" t="str">
        <f>VLOOKUP($C696,Overall!$K$5:$T$36,6)</f>
        <v>00000000100000000000000000000001</v>
      </c>
      <c r="G696" s="8">
        <v>21</v>
      </c>
      <c r="H696" s="3" t="str">
        <f>VLOOKUP($G696,Overall!$K$5:$T$36,2)</f>
        <v>Normal</v>
      </c>
      <c r="I696" s="3">
        <f ca="1">VLOOKUP($G696,Overall!$K$5:$T$36,10)</f>
        <v>2.345678924830959E+38</v>
      </c>
      <c r="J696" s="62" t="str">
        <f>VLOOKUP($G696,Overall!$K$5:$T$36,6)</f>
        <v>01111111001100000111100000100010</v>
      </c>
      <c r="K696" s="8">
        <f t="shared" ca="1" si="90"/>
        <v>2.757332653681317</v>
      </c>
      <c r="L696" s="62">
        <f>VLOOKUP($B696,Overall!$B$5:$I$13,8)</f>
        <v>0</v>
      </c>
      <c r="M696" s="58"/>
      <c r="N696" s="3" t="str">
        <f t="shared" si="91"/>
        <v/>
      </c>
      <c r="O696" s="3" t="str">
        <f t="shared" si="92"/>
        <v/>
      </c>
      <c r="P696" s="3" t="str">
        <f t="shared" si="93"/>
        <v/>
      </c>
      <c r="Q696" s="3">
        <f t="shared" si="94"/>
        <v>0</v>
      </c>
      <c r="R696" s="3">
        <f t="shared" si="95"/>
        <v>0</v>
      </c>
      <c r="S696" s="3" t="e" cm="1">
        <f t="array" aca="1" ref="S696" ca="1">SUMPRODUCT(MID($P696,ROW(INDIRECT("1:23")),1)*2^(-ROW(INDIRECT("1:23"))))</f>
        <v>#VALUE!</v>
      </c>
      <c r="T696" s="3" t="e">
        <f t="shared" ca="1" si="96"/>
        <v>#VALUE!</v>
      </c>
      <c r="U696" s="3" t="e">
        <f t="shared" ca="1" si="97"/>
        <v>#VALUE!</v>
      </c>
      <c r="V696" s="73"/>
      <c r="W696" s="9" t="str">
        <f t="shared" si="98"/>
        <v>OK</v>
      </c>
    </row>
    <row r="697" spans="1:23" x14ac:dyDescent="0.3">
      <c r="A697" s="44">
        <v>694</v>
      </c>
      <c r="B697" s="14">
        <v>9</v>
      </c>
      <c r="C697" s="4">
        <v>16</v>
      </c>
      <c r="D697" s="3" t="str">
        <f>VLOOKUP($C697,Overall!$K$5:$T$36,2)</f>
        <v>Normal</v>
      </c>
      <c r="E697" s="3">
        <f ca="1">VLOOKUP($C697,Overall!$K$5:$T$36,10)</f>
        <v>1.1754944909521339E-38</v>
      </c>
      <c r="F697" s="9" t="str">
        <f>VLOOKUP($C697,Overall!$K$5:$T$36,6)</f>
        <v>00000000100000000000000000000001</v>
      </c>
      <c r="G697" s="8">
        <v>22</v>
      </c>
      <c r="H697" s="3" t="str">
        <f>VLOOKUP($G697,Overall!$K$5:$T$36,2)</f>
        <v>Normal</v>
      </c>
      <c r="I697" s="3">
        <f ca="1">VLOOKUP($G697,Overall!$K$5:$T$36,10)</f>
        <v>3.4028232635611926E+38</v>
      </c>
      <c r="J697" s="62" t="str">
        <f>VLOOKUP($G697,Overall!$K$5:$T$36,6)</f>
        <v>01111111011111111111111111111110</v>
      </c>
      <c r="K697" s="8">
        <f t="shared" ca="1" si="90"/>
        <v>3.9999999999999432</v>
      </c>
      <c r="L697" s="62">
        <f>VLOOKUP($B697,Overall!$B$5:$I$13,8)</f>
        <v>0</v>
      </c>
      <c r="M697" s="58"/>
      <c r="N697" s="3" t="str">
        <f t="shared" si="91"/>
        <v/>
      </c>
      <c r="O697" s="3" t="str">
        <f t="shared" si="92"/>
        <v/>
      </c>
      <c r="P697" s="3" t="str">
        <f t="shared" si="93"/>
        <v/>
      </c>
      <c r="Q697" s="3">
        <f t="shared" si="94"/>
        <v>0</v>
      </c>
      <c r="R697" s="3">
        <f t="shared" si="95"/>
        <v>0</v>
      </c>
      <c r="S697" s="3" t="e" cm="1">
        <f t="array" aca="1" ref="S697" ca="1">SUMPRODUCT(MID($P697,ROW(INDIRECT("1:23")),1)*2^(-ROW(INDIRECT("1:23"))))</f>
        <v>#VALUE!</v>
      </c>
      <c r="T697" s="3" t="e">
        <f t="shared" ca="1" si="96"/>
        <v>#VALUE!</v>
      </c>
      <c r="U697" s="3" t="e">
        <f t="shared" ca="1" si="97"/>
        <v>#VALUE!</v>
      </c>
      <c r="V697" s="73"/>
      <c r="W697" s="9" t="str">
        <f t="shared" si="98"/>
        <v>OK</v>
      </c>
    </row>
    <row r="698" spans="1:23" x14ac:dyDescent="0.3">
      <c r="A698" s="44">
        <v>695</v>
      </c>
      <c r="B698" s="14">
        <v>9</v>
      </c>
      <c r="C698" s="4">
        <v>16</v>
      </c>
      <c r="D698" s="3" t="str">
        <f>VLOOKUP($C698,Overall!$K$5:$T$36,2)</f>
        <v>Normal</v>
      </c>
      <c r="E698" s="3">
        <f ca="1">VLOOKUP($C698,Overall!$K$5:$T$36,10)</f>
        <v>1.1754944909521339E-38</v>
      </c>
      <c r="F698" s="9" t="str">
        <f>VLOOKUP($C698,Overall!$K$5:$T$36,6)</f>
        <v>00000000100000000000000000000001</v>
      </c>
      <c r="G698" s="8">
        <v>23</v>
      </c>
      <c r="H698" s="3" t="str">
        <f>VLOOKUP($G698,Overall!$K$5:$T$36,2)</f>
        <v>Normal</v>
      </c>
      <c r="I698" s="3">
        <f ca="1">VLOOKUP($G698,Overall!$K$5:$T$36,10)</f>
        <v>3.4028234663852886E+38</v>
      </c>
      <c r="J698" s="62" t="str">
        <f>VLOOKUP($G698,Overall!$K$5:$T$36,6)</f>
        <v>01111111011111111111111111111111</v>
      </c>
      <c r="K698" s="8">
        <f t="shared" ca="1" si="90"/>
        <v>4.0000002384185507</v>
      </c>
      <c r="L698" s="62">
        <f>VLOOKUP($B698,Overall!$B$5:$I$13,8)</f>
        <v>0</v>
      </c>
      <c r="M698" s="58"/>
      <c r="N698" s="3" t="str">
        <f t="shared" si="91"/>
        <v/>
      </c>
      <c r="O698" s="3" t="str">
        <f t="shared" si="92"/>
        <v/>
      </c>
      <c r="P698" s="3" t="str">
        <f t="shared" si="93"/>
        <v/>
      </c>
      <c r="Q698" s="3">
        <f t="shared" si="94"/>
        <v>0</v>
      </c>
      <c r="R698" s="3">
        <f t="shared" si="95"/>
        <v>0</v>
      </c>
      <c r="S698" s="3" t="e" cm="1">
        <f t="array" aca="1" ref="S698" ca="1">SUMPRODUCT(MID($P698,ROW(INDIRECT("1:23")),1)*2^(-ROW(INDIRECT("1:23"))))</f>
        <v>#VALUE!</v>
      </c>
      <c r="T698" s="3" t="e">
        <f t="shared" ca="1" si="96"/>
        <v>#VALUE!</v>
      </c>
      <c r="U698" s="3" t="e">
        <f t="shared" ca="1" si="97"/>
        <v>#VALUE!</v>
      </c>
      <c r="V698" s="73"/>
      <c r="W698" s="9" t="str">
        <f t="shared" si="98"/>
        <v>OK</v>
      </c>
    </row>
    <row r="699" spans="1:23" x14ac:dyDescent="0.3">
      <c r="A699" s="44">
        <v>696</v>
      </c>
      <c r="B699" s="14">
        <v>9</v>
      </c>
      <c r="C699" s="4">
        <v>16</v>
      </c>
      <c r="D699" s="3" t="str">
        <f>VLOOKUP($C699,Overall!$K$5:$T$36,2)</f>
        <v>Normal</v>
      </c>
      <c r="E699" s="3">
        <f ca="1">VLOOKUP($C699,Overall!$K$5:$T$36,10)</f>
        <v>1.1754944909521339E-38</v>
      </c>
      <c r="F699" s="9" t="str">
        <f>VLOOKUP($C699,Overall!$K$5:$T$36,6)</f>
        <v>00000000100000000000000000000001</v>
      </c>
      <c r="G699" s="8">
        <v>24</v>
      </c>
      <c r="H699" s="3" t="str">
        <f>VLOOKUP($G699,Overall!$K$5:$T$36,2)</f>
        <v>Normal</v>
      </c>
      <c r="I699" s="3">
        <f ca="1">VLOOKUP($G699,Overall!$K$5:$T$36,10)</f>
        <v>-1.1754943508222875E-38</v>
      </c>
      <c r="J699" s="62" t="str">
        <f>VLOOKUP($G699,Overall!$K$5:$T$36,6)</f>
        <v>10000000100000000000000000000000</v>
      </c>
      <c r="K699" s="8">
        <f t="shared" ca="1" si="90"/>
        <v>-1.381787133536954E-76</v>
      </c>
      <c r="L699" s="62">
        <f>VLOOKUP($B699,Overall!$B$5:$I$13,8)</f>
        <v>0</v>
      </c>
      <c r="M699" s="58"/>
      <c r="N699" s="3" t="str">
        <f t="shared" si="91"/>
        <v/>
      </c>
      <c r="O699" s="3" t="str">
        <f t="shared" si="92"/>
        <v/>
      </c>
      <c r="P699" s="3" t="str">
        <f t="shared" si="93"/>
        <v/>
      </c>
      <c r="Q699" s="3">
        <f t="shared" si="94"/>
        <v>0</v>
      </c>
      <c r="R699" s="3">
        <f t="shared" si="95"/>
        <v>0</v>
      </c>
      <c r="S699" s="3" t="e" cm="1">
        <f t="array" aca="1" ref="S699" ca="1">SUMPRODUCT(MID($P699,ROW(INDIRECT("1:23")),1)*2^(-ROW(INDIRECT("1:23"))))</f>
        <v>#VALUE!</v>
      </c>
      <c r="T699" s="3" t="e">
        <f t="shared" ca="1" si="96"/>
        <v>#VALUE!</v>
      </c>
      <c r="U699" s="3" t="e">
        <f t="shared" ca="1" si="97"/>
        <v>#VALUE!</v>
      </c>
      <c r="V699" s="73"/>
      <c r="W699" s="9" t="str">
        <f t="shared" si="98"/>
        <v>OK</v>
      </c>
    </row>
    <row r="700" spans="1:23" x14ac:dyDescent="0.3">
      <c r="A700" s="44">
        <v>697</v>
      </c>
      <c r="B700" s="14">
        <v>9</v>
      </c>
      <c r="C700" s="4">
        <v>16</v>
      </c>
      <c r="D700" s="3" t="str">
        <f>VLOOKUP($C700,Overall!$K$5:$T$36,2)</f>
        <v>Normal</v>
      </c>
      <c r="E700" s="3">
        <f ca="1">VLOOKUP($C700,Overall!$K$5:$T$36,10)</f>
        <v>1.1754944909521339E-38</v>
      </c>
      <c r="F700" s="9" t="str">
        <f>VLOOKUP($C700,Overall!$K$5:$T$36,6)</f>
        <v>00000000100000000000000000000001</v>
      </c>
      <c r="G700" s="8">
        <v>25</v>
      </c>
      <c r="H700" s="3" t="str">
        <f>VLOOKUP($G700,Overall!$K$5:$T$36,2)</f>
        <v>Normal</v>
      </c>
      <c r="I700" s="3">
        <f ca="1">VLOOKUP($G700,Overall!$K$5:$T$36,10)</f>
        <v>-1.1754944909521339E-38</v>
      </c>
      <c r="J700" s="62" t="str">
        <f>VLOOKUP($G700,Overall!$K$5:$T$36,6)</f>
        <v>10000000100000000000000000000001</v>
      </c>
      <c r="K700" s="8">
        <f t="shared" ca="1" si="90"/>
        <v>-1.3817872982588165E-76</v>
      </c>
      <c r="L700" s="62">
        <f>VLOOKUP($B700,Overall!$B$5:$I$13,8)</f>
        <v>0</v>
      </c>
      <c r="M700" s="58"/>
      <c r="N700" s="3" t="str">
        <f t="shared" si="91"/>
        <v/>
      </c>
      <c r="O700" s="3" t="str">
        <f t="shared" si="92"/>
        <v/>
      </c>
      <c r="P700" s="3" t="str">
        <f t="shared" si="93"/>
        <v/>
      </c>
      <c r="Q700" s="3">
        <f t="shared" si="94"/>
        <v>0</v>
      </c>
      <c r="R700" s="3">
        <f t="shared" si="95"/>
        <v>0</v>
      </c>
      <c r="S700" s="3" t="e" cm="1">
        <f t="array" aca="1" ref="S700" ca="1">SUMPRODUCT(MID($P700,ROW(INDIRECT("1:23")),1)*2^(-ROW(INDIRECT("1:23"))))</f>
        <v>#VALUE!</v>
      </c>
      <c r="T700" s="3" t="e">
        <f t="shared" ca="1" si="96"/>
        <v>#VALUE!</v>
      </c>
      <c r="U700" s="3" t="e">
        <f t="shared" ca="1" si="97"/>
        <v>#VALUE!</v>
      </c>
      <c r="V700" s="73"/>
      <c r="W700" s="9" t="str">
        <f t="shared" si="98"/>
        <v>OK</v>
      </c>
    </row>
    <row r="701" spans="1:23" x14ac:dyDescent="0.3">
      <c r="A701" s="44">
        <v>698</v>
      </c>
      <c r="B701" s="14">
        <v>9</v>
      </c>
      <c r="C701" s="4">
        <v>16</v>
      </c>
      <c r="D701" s="3" t="str">
        <f>VLOOKUP($C701,Overall!$K$5:$T$36,2)</f>
        <v>Normal</v>
      </c>
      <c r="E701" s="3">
        <f ca="1">VLOOKUP($C701,Overall!$K$5:$T$36,10)</f>
        <v>1.1754944909521339E-38</v>
      </c>
      <c r="F701" s="9" t="str">
        <f>VLOOKUP($C701,Overall!$K$5:$T$36,6)</f>
        <v>00000000100000000000000000000001</v>
      </c>
      <c r="G701" s="8">
        <v>26</v>
      </c>
      <c r="H701" s="3" t="str">
        <f>VLOOKUP($G701,Overall!$K$5:$T$36,2)</f>
        <v>Normal</v>
      </c>
      <c r="I701" s="3">
        <f ca="1">VLOOKUP($G701,Overall!$K$5:$T$36,10)</f>
        <v>-0.5</v>
      </c>
      <c r="J701" s="62" t="str">
        <f>VLOOKUP($G701,Overall!$K$5:$T$36,6)</f>
        <v>10111111000000000000000000000000</v>
      </c>
      <c r="K701" s="8">
        <f t="shared" ca="1" si="90"/>
        <v>-5.8774724547606697E-39</v>
      </c>
      <c r="L701" s="62">
        <f>VLOOKUP($B701,Overall!$B$5:$I$13,8)</f>
        <v>0</v>
      </c>
      <c r="M701" s="58"/>
      <c r="N701" s="3" t="str">
        <f t="shared" si="91"/>
        <v/>
      </c>
      <c r="O701" s="3" t="str">
        <f t="shared" si="92"/>
        <v/>
      </c>
      <c r="P701" s="3" t="str">
        <f t="shared" si="93"/>
        <v/>
      </c>
      <c r="Q701" s="3">
        <f t="shared" si="94"/>
        <v>0</v>
      </c>
      <c r="R701" s="3">
        <f t="shared" si="95"/>
        <v>0</v>
      </c>
      <c r="S701" s="3" t="e" cm="1">
        <f t="array" aca="1" ref="S701" ca="1">SUMPRODUCT(MID($P701,ROW(INDIRECT("1:23")),1)*2^(-ROW(INDIRECT("1:23"))))</f>
        <v>#VALUE!</v>
      </c>
      <c r="T701" s="3" t="e">
        <f t="shared" ca="1" si="96"/>
        <v>#VALUE!</v>
      </c>
      <c r="U701" s="3" t="e">
        <f t="shared" ca="1" si="97"/>
        <v>#VALUE!</v>
      </c>
      <c r="V701" s="73"/>
      <c r="W701" s="9" t="str">
        <f t="shared" si="98"/>
        <v>OK</v>
      </c>
    </row>
    <row r="702" spans="1:23" x14ac:dyDescent="0.3">
      <c r="A702" s="44">
        <v>699</v>
      </c>
      <c r="B702" s="14">
        <v>9</v>
      </c>
      <c r="C702" s="4">
        <v>16</v>
      </c>
      <c r="D702" s="3" t="str">
        <f>VLOOKUP($C702,Overall!$K$5:$T$36,2)</f>
        <v>Normal</v>
      </c>
      <c r="E702" s="3">
        <f ca="1">VLOOKUP($C702,Overall!$K$5:$T$36,10)</f>
        <v>1.1754944909521339E-38</v>
      </c>
      <c r="F702" s="9" t="str">
        <f>VLOOKUP($C702,Overall!$K$5:$T$36,6)</f>
        <v>00000000100000000000000000000001</v>
      </c>
      <c r="G702" s="8">
        <v>27</v>
      </c>
      <c r="H702" s="3" t="str">
        <f>VLOOKUP($G702,Overall!$K$5:$T$36,2)</f>
        <v>Normal</v>
      </c>
      <c r="I702" s="3">
        <f ca="1">VLOOKUP($G702,Overall!$K$5:$T$36,10)</f>
        <v>-1</v>
      </c>
      <c r="J702" s="62" t="str">
        <f>VLOOKUP($G702,Overall!$K$5:$T$36,6)</f>
        <v>10111111100000000000000000000000</v>
      </c>
      <c r="K702" s="8">
        <f t="shared" ca="1" si="90"/>
        <v>-1.1754944909521339E-38</v>
      </c>
      <c r="L702" s="62">
        <f>VLOOKUP($B702,Overall!$B$5:$I$13,8)</f>
        <v>0</v>
      </c>
      <c r="M702" s="58"/>
      <c r="N702" s="3" t="str">
        <f t="shared" si="91"/>
        <v/>
      </c>
      <c r="O702" s="3" t="str">
        <f t="shared" si="92"/>
        <v/>
      </c>
      <c r="P702" s="3" t="str">
        <f t="shared" si="93"/>
        <v/>
      </c>
      <c r="Q702" s="3">
        <f t="shared" si="94"/>
        <v>0</v>
      </c>
      <c r="R702" s="3">
        <f t="shared" si="95"/>
        <v>0</v>
      </c>
      <c r="S702" s="3" t="e" cm="1">
        <f t="array" aca="1" ref="S702" ca="1">SUMPRODUCT(MID($P702,ROW(INDIRECT("1:23")),1)*2^(-ROW(INDIRECT("1:23"))))</f>
        <v>#VALUE!</v>
      </c>
      <c r="T702" s="3" t="e">
        <f t="shared" ca="1" si="96"/>
        <v>#VALUE!</v>
      </c>
      <c r="U702" s="3" t="e">
        <f t="shared" ca="1" si="97"/>
        <v>#VALUE!</v>
      </c>
      <c r="V702" s="73"/>
      <c r="W702" s="9" t="str">
        <f t="shared" si="98"/>
        <v>OK</v>
      </c>
    </row>
    <row r="703" spans="1:23" x14ac:dyDescent="0.3">
      <c r="A703" s="44">
        <v>700</v>
      </c>
      <c r="B703" s="14">
        <v>9</v>
      </c>
      <c r="C703" s="4">
        <v>16</v>
      </c>
      <c r="D703" s="3" t="str">
        <f>VLOOKUP($C703,Overall!$K$5:$T$36,2)</f>
        <v>Normal</v>
      </c>
      <c r="E703" s="3">
        <f ca="1">VLOOKUP($C703,Overall!$K$5:$T$36,10)</f>
        <v>1.1754944909521339E-38</v>
      </c>
      <c r="F703" s="9" t="str">
        <f>VLOOKUP($C703,Overall!$K$5:$T$36,6)</f>
        <v>00000000100000000000000000000001</v>
      </c>
      <c r="G703" s="8">
        <v>28</v>
      </c>
      <c r="H703" s="3" t="str">
        <f>VLOOKUP($G703,Overall!$K$5:$T$36,2)</f>
        <v>Normal</v>
      </c>
      <c r="I703" s="3">
        <f ca="1">VLOOKUP($G703,Overall!$K$5:$T$36,10)</f>
        <v>-1.5</v>
      </c>
      <c r="J703" s="62" t="str">
        <f>VLOOKUP($G703,Overall!$K$5:$T$36,6)</f>
        <v>10111111110000000000000000000000</v>
      </c>
      <c r="K703" s="8">
        <f t="shared" ca="1" si="90"/>
        <v>-1.7632417364282009E-38</v>
      </c>
      <c r="L703" s="62">
        <f>VLOOKUP($B703,Overall!$B$5:$I$13,8)</f>
        <v>0</v>
      </c>
      <c r="M703" s="58"/>
      <c r="N703" s="3" t="str">
        <f t="shared" si="91"/>
        <v/>
      </c>
      <c r="O703" s="3" t="str">
        <f t="shared" si="92"/>
        <v/>
      </c>
      <c r="P703" s="3" t="str">
        <f t="shared" si="93"/>
        <v/>
      </c>
      <c r="Q703" s="3">
        <f t="shared" si="94"/>
        <v>0</v>
      </c>
      <c r="R703" s="3">
        <f t="shared" si="95"/>
        <v>0</v>
      </c>
      <c r="S703" s="3" t="e" cm="1">
        <f t="array" aca="1" ref="S703" ca="1">SUMPRODUCT(MID($P703,ROW(INDIRECT("1:23")),1)*2^(-ROW(INDIRECT("1:23"))))</f>
        <v>#VALUE!</v>
      </c>
      <c r="T703" s="3" t="e">
        <f t="shared" ca="1" si="96"/>
        <v>#VALUE!</v>
      </c>
      <c r="U703" s="3" t="e">
        <f t="shared" ca="1" si="97"/>
        <v>#VALUE!</v>
      </c>
      <c r="V703" s="73"/>
      <c r="W703" s="9" t="str">
        <f t="shared" si="98"/>
        <v>OK</v>
      </c>
    </row>
    <row r="704" spans="1:23" x14ac:dyDescent="0.3">
      <c r="A704" s="44">
        <v>701</v>
      </c>
      <c r="B704" s="14">
        <v>9</v>
      </c>
      <c r="C704" s="4">
        <v>16</v>
      </c>
      <c r="D704" s="3" t="str">
        <f>VLOOKUP($C704,Overall!$K$5:$T$36,2)</f>
        <v>Normal</v>
      </c>
      <c r="E704" s="3">
        <f ca="1">VLOOKUP($C704,Overall!$K$5:$T$36,10)</f>
        <v>1.1754944909521339E-38</v>
      </c>
      <c r="F704" s="9" t="str">
        <f>VLOOKUP($C704,Overall!$K$5:$T$36,6)</f>
        <v>00000000100000000000000000000001</v>
      </c>
      <c r="G704" s="8">
        <v>29</v>
      </c>
      <c r="H704" s="3" t="str">
        <f>VLOOKUP($G704,Overall!$K$5:$T$36,2)</f>
        <v>Normal</v>
      </c>
      <c r="I704" s="3">
        <f ca="1">VLOOKUP($G704,Overall!$K$5:$T$36,10)</f>
        <v>-12345.6787109375</v>
      </c>
      <c r="J704" s="62" t="str">
        <f>VLOOKUP($G704,Overall!$K$5:$T$36,6)</f>
        <v>101000110010000001110011010110111</v>
      </c>
      <c r="K704" s="8">
        <f t="shared" ca="1" si="90"/>
        <v>-1.4512277311772074E-34</v>
      </c>
      <c r="L704" s="62">
        <f>VLOOKUP($B704,Overall!$B$5:$I$13,8)</f>
        <v>0</v>
      </c>
      <c r="M704" s="58"/>
      <c r="N704" s="3" t="str">
        <f t="shared" si="91"/>
        <v/>
      </c>
      <c r="O704" s="3" t="str">
        <f t="shared" si="92"/>
        <v/>
      </c>
      <c r="P704" s="3" t="str">
        <f t="shared" si="93"/>
        <v/>
      </c>
      <c r="Q704" s="3">
        <f t="shared" si="94"/>
        <v>0</v>
      </c>
      <c r="R704" s="3">
        <f t="shared" si="95"/>
        <v>0</v>
      </c>
      <c r="S704" s="3" t="e" cm="1">
        <f t="array" aca="1" ref="S704" ca="1">SUMPRODUCT(MID($P704,ROW(INDIRECT("1:23")),1)*2^(-ROW(INDIRECT("1:23"))))</f>
        <v>#VALUE!</v>
      </c>
      <c r="T704" s="3" t="e">
        <f t="shared" ca="1" si="96"/>
        <v>#VALUE!</v>
      </c>
      <c r="U704" s="3" t="e">
        <f t="shared" ca="1" si="97"/>
        <v>#VALUE!</v>
      </c>
      <c r="V704" s="73"/>
      <c r="W704" s="9" t="str">
        <f t="shared" si="98"/>
        <v>OK</v>
      </c>
    </row>
    <row r="705" spans="1:23" x14ac:dyDescent="0.3">
      <c r="A705" s="44">
        <v>702</v>
      </c>
      <c r="B705" s="14">
        <v>9</v>
      </c>
      <c r="C705" s="4">
        <v>16</v>
      </c>
      <c r="D705" s="3" t="str">
        <f>VLOOKUP($C705,Overall!$K$5:$T$36,2)</f>
        <v>Normal</v>
      </c>
      <c r="E705" s="3">
        <f ca="1">VLOOKUP($C705,Overall!$K$5:$T$36,10)</f>
        <v>1.1754944909521339E-38</v>
      </c>
      <c r="F705" s="9" t="str">
        <f>VLOOKUP($C705,Overall!$K$5:$T$36,6)</f>
        <v>00000000100000000000000000000001</v>
      </c>
      <c r="G705" s="8">
        <v>30</v>
      </c>
      <c r="H705" s="3" t="str">
        <f>VLOOKUP($G705,Overall!$K$5:$T$36,2)</f>
        <v>Normal</v>
      </c>
      <c r="I705" s="3">
        <f ca="1">VLOOKUP($G705,Overall!$K$5:$T$36,10)</f>
        <v>-2.345678924830959E+38</v>
      </c>
      <c r="J705" s="62" t="str">
        <f>VLOOKUP($G705,Overall!$K$5:$T$36,6)</f>
        <v>11111111001100000111100000100010</v>
      </c>
      <c r="K705" s="8">
        <f t="shared" ca="1" si="90"/>
        <v>-2.757332653681317</v>
      </c>
      <c r="L705" s="62">
        <f>VLOOKUP($B705,Overall!$B$5:$I$13,8)</f>
        <v>0</v>
      </c>
      <c r="M705" s="58"/>
      <c r="N705" s="3" t="str">
        <f t="shared" si="91"/>
        <v/>
      </c>
      <c r="O705" s="3" t="str">
        <f t="shared" si="92"/>
        <v/>
      </c>
      <c r="P705" s="3" t="str">
        <f t="shared" si="93"/>
        <v/>
      </c>
      <c r="Q705" s="3">
        <f t="shared" si="94"/>
        <v>0</v>
      </c>
      <c r="R705" s="3">
        <f t="shared" si="95"/>
        <v>0</v>
      </c>
      <c r="S705" s="3" t="e" cm="1">
        <f t="array" aca="1" ref="S705" ca="1">SUMPRODUCT(MID($P705,ROW(INDIRECT("1:23")),1)*2^(-ROW(INDIRECT("1:23"))))</f>
        <v>#VALUE!</v>
      </c>
      <c r="T705" s="3" t="e">
        <f t="shared" ca="1" si="96"/>
        <v>#VALUE!</v>
      </c>
      <c r="U705" s="3" t="e">
        <f t="shared" ca="1" si="97"/>
        <v>#VALUE!</v>
      </c>
      <c r="V705" s="73"/>
      <c r="W705" s="9" t="str">
        <f t="shared" si="98"/>
        <v>OK</v>
      </c>
    </row>
    <row r="706" spans="1:23" x14ac:dyDescent="0.3">
      <c r="A706" s="44">
        <v>703</v>
      </c>
      <c r="B706" s="14">
        <v>9</v>
      </c>
      <c r="C706" s="4">
        <v>16</v>
      </c>
      <c r="D706" s="3" t="str">
        <f>VLOOKUP($C706,Overall!$K$5:$T$36,2)</f>
        <v>Normal</v>
      </c>
      <c r="E706" s="3">
        <f ca="1">VLOOKUP($C706,Overall!$K$5:$T$36,10)</f>
        <v>1.1754944909521339E-38</v>
      </c>
      <c r="F706" s="9" t="str">
        <f>VLOOKUP($C706,Overall!$K$5:$T$36,6)</f>
        <v>00000000100000000000000000000001</v>
      </c>
      <c r="G706" s="8">
        <v>31</v>
      </c>
      <c r="H706" s="3" t="str">
        <f>VLOOKUP($G706,Overall!$K$5:$T$36,2)</f>
        <v>Normal</v>
      </c>
      <c r="I706" s="3">
        <f ca="1">VLOOKUP($G706,Overall!$K$5:$T$36,10)</f>
        <v>-3.4028232635611926E+38</v>
      </c>
      <c r="J706" s="62" t="str">
        <f>VLOOKUP($G706,Overall!$K$5:$T$36,6)</f>
        <v>11111111011111111111111111111110</v>
      </c>
      <c r="K706" s="8">
        <f t="shared" ca="1" si="90"/>
        <v>-3.9999999999999432</v>
      </c>
      <c r="L706" s="62">
        <f>VLOOKUP($B706,Overall!$B$5:$I$13,8)</f>
        <v>0</v>
      </c>
      <c r="M706" s="58"/>
      <c r="N706" s="3" t="str">
        <f t="shared" si="91"/>
        <v/>
      </c>
      <c r="O706" s="3" t="str">
        <f t="shared" si="92"/>
        <v/>
      </c>
      <c r="P706" s="3" t="str">
        <f t="shared" si="93"/>
        <v/>
      </c>
      <c r="Q706" s="3">
        <f t="shared" si="94"/>
        <v>0</v>
      </c>
      <c r="R706" s="3">
        <f t="shared" si="95"/>
        <v>0</v>
      </c>
      <c r="S706" s="3" t="e" cm="1">
        <f t="array" aca="1" ref="S706" ca="1">SUMPRODUCT(MID($P706,ROW(INDIRECT("1:23")),1)*2^(-ROW(INDIRECT("1:23"))))</f>
        <v>#VALUE!</v>
      </c>
      <c r="T706" s="3" t="e">
        <f t="shared" ca="1" si="96"/>
        <v>#VALUE!</v>
      </c>
      <c r="U706" s="3" t="e">
        <f t="shared" ca="1" si="97"/>
        <v>#VALUE!</v>
      </c>
      <c r="V706" s="73"/>
      <c r="W706" s="9" t="str">
        <f t="shared" si="98"/>
        <v>OK</v>
      </c>
    </row>
    <row r="707" spans="1:23" x14ac:dyDescent="0.3">
      <c r="A707" s="44">
        <v>704</v>
      </c>
      <c r="B707" s="14">
        <v>9</v>
      </c>
      <c r="C707" s="4">
        <v>16</v>
      </c>
      <c r="D707" s="3" t="str">
        <f>VLOOKUP($C707,Overall!$K$5:$T$36,2)</f>
        <v>Normal</v>
      </c>
      <c r="E707" s="3">
        <f ca="1">VLOOKUP($C707,Overall!$K$5:$T$36,10)</f>
        <v>1.1754944909521339E-38</v>
      </c>
      <c r="F707" s="9" t="str">
        <f>VLOOKUP($C707,Overall!$K$5:$T$36,6)</f>
        <v>00000000100000000000000000000001</v>
      </c>
      <c r="G707" s="8">
        <v>32</v>
      </c>
      <c r="H707" s="3" t="str">
        <f>VLOOKUP($G707,Overall!$K$5:$T$36,2)</f>
        <v>Normal</v>
      </c>
      <c r="I707" s="3">
        <f ca="1">VLOOKUP($G707,Overall!$K$5:$T$36,10)</f>
        <v>-3.4028234663852886E+38</v>
      </c>
      <c r="J707" s="62" t="str">
        <f>VLOOKUP($G707,Overall!$K$5:$T$36,6)</f>
        <v>11111111011111111111111111111111</v>
      </c>
      <c r="K707" s="8">
        <f t="shared" ca="1" si="90"/>
        <v>-4.0000002384185507</v>
      </c>
      <c r="L707" s="62">
        <f>VLOOKUP($B707,Overall!$B$5:$I$13,8)</f>
        <v>0</v>
      </c>
      <c r="M707" s="58"/>
      <c r="N707" s="3" t="str">
        <f t="shared" si="91"/>
        <v/>
      </c>
      <c r="O707" s="3" t="str">
        <f t="shared" si="92"/>
        <v/>
      </c>
      <c r="P707" s="3" t="str">
        <f t="shared" si="93"/>
        <v/>
      </c>
      <c r="Q707" s="3">
        <f t="shared" si="94"/>
        <v>0</v>
      </c>
      <c r="R707" s="3">
        <f t="shared" si="95"/>
        <v>0</v>
      </c>
      <c r="S707" s="3" t="e" cm="1">
        <f t="array" aca="1" ref="S707" ca="1">SUMPRODUCT(MID($P707,ROW(INDIRECT("1:23")),1)*2^(-ROW(INDIRECT("1:23"))))</f>
        <v>#VALUE!</v>
      </c>
      <c r="T707" s="3" t="e">
        <f t="shared" ca="1" si="96"/>
        <v>#VALUE!</v>
      </c>
      <c r="U707" s="3" t="e">
        <f t="shared" ca="1" si="97"/>
        <v>#VALUE!</v>
      </c>
      <c r="V707" s="73"/>
      <c r="W707" s="9" t="str">
        <f t="shared" si="98"/>
        <v>OK</v>
      </c>
    </row>
    <row r="708" spans="1:23" x14ac:dyDescent="0.3">
      <c r="A708" s="44">
        <v>705</v>
      </c>
      <c r="B708" s="14">
        <v>9</v>
      </c>
      <c r="C708" s="4">
        <v>17</v>
      </c>
      <c r="D708" s="3" t="str">
        <f>VLOOKUP($C708,Overall!$K$5:$T$36,2)</f>
        <v>Normal</v>
      </c>
      <c r="E708" s="3">
        <f ca="1">VLOOKUP($C708,Overall!$K$5:$T$36,10)</f>
        <v>0.5</v>
      </c>
      <c r="F708" s="9" t="str">
        <f>VLOOKUP($C708,Overall!$K$5:$T$36,6)</f>
        <v>00111111000000000000000000000000</v>
      </c>
      <c r="G708" s="8">
        <v>13</v>
      </c>
      <c r="H708" s="3" t="str">
        <f>VLOOKUP($G708,Overall!$K$5:$T$36,2)</f>
        <v>Normal</v>
      </c>
      <c r="I708" s="3">
        <f ca="1">VLOOKUP($G708,Overall!$K$5:$T$36,10)</f>
        <v>0</v>
      </c>
      <c r="J708" s="62" t="str">
        <f>VLOOKUP($G708,Overall!$K$5:$T$36,6)</f>
        <v>00000000000000000000000000000000</v>
      </c>
      <c r="K708" s="8">
        <f t="shared" ca="1" si="90"/>
        <v>0</v>
      </c>
      <c r="L708" s="62">
        <f>VLOOKUP($B708,Overall!$B$5:$I$13,8)</f>
        <v>0</v>
      </c>
      <c r="M708" s="58"/>
      <c r="N708" s="3" t="str">
        <f t="shared" si="91"/>
        <v/>
      </c>
      <c r="O708" s="3" t="str">
        <f t="shared" si="92"/>
        <v/>
      </c>
      <c r="P708" s="3" t="str">
        <f t="shared" si="93"/>
        <v/>
      </c>
      <c r="Q708" s="3">
        <f t="shared" si="94"/>
        <v>0</v>
      </c>
      <c r="R708" s="3">
        <f t="shared" si="95"/>
        <v>0</v>
      </c>
      <c r="S708" s="3" t="e" cm="1">
        <f t="array" aca="1" ref="S708" ca="1">SUMPRODUCT(MID($P708,ROW(INDIRECT("1:23")),1)*2^(-ROW(INDIRECT("1:23"))))</f>
        <v>#VALUE!</v>
      </c>
      <c r="T708" s="3" t="e">
        <f t="shared" ca="1" si="96"/>
        <v>#VALUE!</v>
      </c>
      <c r="U708" s="3" t="e">
        <f t="shared" ca="1" si="97"/>
        <v>#VALUE!</v>
      </c>
      <c r="V708" s="73"/>
      <c r="W708" s="9" t="str">
        <f t="shared" si="98"/>
        <v>OK</v>
      </c>
    </row>
    <row r="709" spans="1:23" x14ac:dyDescent="0.3">
      <c r="A709" s="44">
        <v>706</v>
      </c>
      <c r="B709" s="14">
        <v>9</v>
      </c>
      <c r="C709" s="4">
        <v>17</v>
      </c>
      <c r="D709" s="3" t="str">
        <f>VLOOKUP($C709,Overall!$K$5:$T$36,2)</f>
        <v>Normal</v>
      </c>
      <c r="E709" s="3">
        <f ca="1">VLOOKUP($C709,Overall!$K$5:$T$36,10)</f>
        <v>0.5</v>
      </c>
      <c r="F709" s="9" t="str">
        <f>VLOOKUP($C709,Overall!$K$5:$T$36,6)</f>
        <v>00111111000000000000000000000000</v>
      </c>
      <c r="G709" s="8">
        <v>14</v>
      </c>
      <c r="H709" s="3" t="str">
        <f>VLOOKUP($G709,Overall!$K$5:$T$36,2)</f>
        <v>Normal</v>
      </c>
      <c r="I709" s="3">
        <f ca="1">VLOOKUP($G709,Overall!$K$5:$T$36,10)</f>
        <v>0</v>
      </c>
      <c r="J709" s="62" t="str">
        <f>VLOOKUP($G709,Overall!$K$5:$T$36,6)</f>
        <v>10000000000000000000000000000000</v>
      </c>
      <c r="K709" s="8">
        <f t="shared" ref="K709:K772" ca="1" si="99">E709*I709</f>
        <v>0</v>
      </c>
      <c r="L709" s="62">
        <f>VLOOKUP($B709,Overall!$B$5:$I$13,8)</f>
        <v>0</v>
      </c>
      <c r="M709" s="58"/>
      <c r="N709" s="3" t="str">
        <f t="shared" ref="N709:N772" si="100">LEFT($M709,1)</f>
        <v/>
      </c>
      <c r="O709" s="3" t="str">
        <f t="shared" ref="O709:O772" si="101">MID($M709,2,8)</f>
        <v/>
      </c>
      <c r="P709" s="3" t="str">
        <f t="shared" ref="P709:P772" si="102">MID($M709,10,23)</f>
        <v/>
      </c>
      <c r="Q709" s="3">
        <f t="shared" ref="Q709:Q772" si="103">BIN2DEC($N709)</f>
        <v>0</v>
      </c>
      <c r="R709" s="3">
        <f t="shared" ref="R709:R772" si="104">BIN2DEC($O709)</f>
        <v>0</v>
      </c>
      <c r="S709" s="3" t="e" cm="1">
        <f t="array" aca="1" ref="S709" ca="1">SUMPRODUCT(MID($P709,ROW(INDIRECT("1:23")),1)*2^(-ROW(INDIRECT("1:23"))))</f>
        <v>#VALUE!</v>
      </c>
      <c r="T709" s="3" t="e">
        <f t="shared" ref="T709:T772" ca="1" si="105">IF($R709=0,
   (-1)^$Q709 * $S709 * 2^(-126),
   (-1)^$Q709 * (1 + $S709) * 2^($R709 - 127)
)</f>
        <v>#VALUE!</v>
      </c>
      <c r="U709" s="3" t="e">
        <f t="shared" ref="U709:U772" ca="1" si="106">$T709-$K709</f>
        <v>#VALUE!</v>
      </c>
      <c r="V709" s="73"/>
      <c r="W709" s="9" t="str">
        <f t="shared" ref="W709:W772" si="107">IF(L709=V709,"OK","NG")</f>
        <v>OK</v>
      </c>
    </row>
    <row r="710" spans="1:23" x14ac:dyDescent="0.3">
      <c r="A710" s="44">
        <v>707</v>
      </c>
      <c r="B710" s="14">
        <v>9</v>
      </c>
      <c r="C710" s="4">
        <v>17</v>
      </c>
      <c r="D710" s="3" t="str">
        <f>VLOOKUP($C710,Overall!$K$5:$T$36,2)</f>
        <v>Normal</v>
      </c>
      <c r="E710" s="3">
        <f ca="1">VLOOKUP($C710,Overall!$K$5:$T$36,10)</f>
        <v>0.5</v>
      </c>
      <c r="F710" s="9" t="str">
        <f>VLOOKUP($C710,Overall!$K$5:$T$36,6)</f>
        <v>00111111000000000000000000000000</v>
      </c>
      <c r="G710" s="8">
        <v>15</v>
      </c>
      <c r="H710" s="3" t="str">
        <f>VLOOKUP($G710,Overall!$K$5:$T$36,2)</f>
        <v>Normal</v>
      </c>
      <c r="I710" s="3">
        <f ca="1">VLOOKUP($G710,Overall!$K$5:$T$36,10)</f>
        <v>1.1754943508222875E-38</v>
      </c>
      <c r="J710" s="62" t="str">
        <f>VLOOKUP($G710,Overall!$K$5:$T$36,6)</f>
        <v>00000000100000000000000000000000</v>
      </c>
      <c r="K710" s="8">
        <f t="shared" ca="1" si="99"/>
        <v>5.8774717541114375E-39</v>
      </c>
      <c r="L710" s="62">
        <f>VLOOKUP($B710,Overall!$B$5:$I$13,8)</f>
        <v>0</v>
      </c>
      <c r="M710" s="58"/>
      <c r="N710" s="3" t="str">
        <f t="shared" si="100"/>
        <v/>
      </c>
      <c r="O710" s="3" t="str">
        <f t="shared" si="101"/>
        <v/>
      </c>
      <c r="P710" s="3" t="str">
        <f t="shared" si="102"/>
        <v/>
      </c>
      <c r="Q710" s="3">
        <f t="shared" si="103"/>
        <v>0</v>
      </c>
      <c r="R710" s="3">
        <f t="shared" si="104"/>
        <v>0</v>
      </c>
      <c r="S710" s="3" t="e" cm="1">
        <f t="array" aca="1" ref="S710" ca="1">SUMPRODUCT(MID($P710,ROW(INDIRECT("1:23")),1)*2^(-ROW(INDIRECT("1:23"))))</f>
        <v>#VALUE!</v>
      </c>
      <c r="T710" s="3" t="e">
        <f t="shared" ca="1" si="105"/>
        <v>#VALUE!</v>
      </c>
      <c r="U710" s="3" t="e">
        <f t="shared" ca="1" si="106"/>
        <v>#VALUE!</v>
      </c>
      <c r="V710" s="73"/>
      <c r="W710" s="9" t="str">
        <f t="shared" si="107"/>
        <v>OK</v>
      </c>
    </row>
    <row r="711" spans="1:23" x14ac:dyDescent="0.3">
      <c r="A711" s="44">
        <v>708</v>
      </c>
      <c r="B711" s="14">
        <v>9</v>
      </c>
      <c r="C711" s="4">
        <v>17</v>
      </c>
      <c r="D711" s="3" t="str">
        <f>VLOOKUP($C711,Overall!$K$5:$T$36,2)</f>
        <v>Normal</v>
      </c>
      <c r="E711" s="3">
        <f ca="1">VLOOKUP($C711,Overall!$K$5:$T$36,10)</f>
        <v>0.5</v>
      </c>
      <c r="F711" s="9" t="str">
        <f>VLOOKUP($C711,Overall!$K$5:$T$36,6)</f>
        <v>00111111000000000000000000000000</v>
      </c>
      <c r="G711" s="8">
        <v>16</v>
      </c>
      <c r="H711" s="3" t="str">
        <f>VLOOKUP($G711,Overall!$K$5:$T$36,2)</f>
        <v>Normal</v>
      </c>
      <c r="I711" s="3">
        <f ca="1">VLOOKUP($G711,Overall!$K$5:$T$36,10)</f>
        <v>1.1754944909521339E-38</v>
      </c>
      <c r="J711" s="62" t="str">
        <f>VLOOKUP($G711,Overall!$K$5:$T$36,6)</f>
        <v>00000000100000000000000000000001</v>
      </c>
      <c r="K711" s="8">
        <f t="shared" ca="1" si="99"/>
        <v>5.8774724547606697E-39</v>
      </c>
      <c r="L711" s="62">
        <f>VLOOKUP($B711,Overall!$B$5:$I$13,8)</f>
        <v>0</v>
      </c>
      <c r="M711" s="58"/>
      <c r="N711" s="3" t="str">
        <f t="shared" si="100"/>
        <v/>
      </c>
      <c r="O711" s="3" t="str">
        <f t="shared" si="101"/>
        <v/>
      </c>
      <c r="P711" s="3" t="str">
        <f t="shared" si="102"/>
        <v/>
      </c>
      <c r="Q711" s="3">
        <f t="shared" si="103"/>
        <v>0</v>
      </c>
      <c r="R711" s="3">
        <f t="shared" si="104"/>
        <v>0</v>
      </c>
      <c r="S711" s="3" t="e" cm="1">
        <f t="array" aca="1" ref="S711" ca="1">SUMPRODUCT(MID($P711,ROW(INDIRECT("1:23")),1)*2^(-ROW(INDIRECT("1:23"))))</f>
        <v>#VALUE!</v>
      </c>
      <c r="T711" s="3" t="e">
        <f t="shared" ca="1" si="105"/>
        <v>#VALUE!</v>
      </c>
      <c r="U711" s="3" t="e">
        <f t="shared" ca="1" si="106"/>
        <v>#VALUE!</v>
      </c>
      <c r="V711" s="73"/>
      <c r="W711" s="9" t="str">
        <f t="shared" si="107"/>
        <v>OK</v>
      </c>
    </row>
    <row r="712" spans="1:23" x14ac:dyDescent="0.3">
      <c r="A712" s="44">
        <v>709</v>
      </c>
      <c r="B712" s="14">
        <v>9</v>
      </c>
      <c r="C712" s="4">
        <v>17</v>
      </c>
      <c r="D712" s="3" t="str">
        <f>VLOOKUP($C712,Overall!$K$5:$T$36,2)</f>
        <v>Normal</v>
      </c>
      <c r="E712" s="3">
        <f ca="1">VLOOKUP($C712,Overall!$K$5:$T$36,10)</f>
        <v>0.5</v>
      </c>
      <c r="F712" s="9" t="str">
        <f>VLOOKUP($C712,Overall!$K$5:$T$36,6)</f>
        <v>00111111000000000000000000000000</v>
      </c>
      <c r="G712" s="8">
        <v>17</v>
      </c>
      <c r="H712" s="3" t="str">
        <f>VLOOKUP($G712,Overall!$K$5:$T$36,2)</f>
        <v>Normal</v>
      </c>
      <c r="I712" s="3">
        <f ca="1">VLOOKUP($G712,Overall!$K$5:$T$36,10)</f>
        <v>0.5</v>
      </c>
      <c r="J712" s="62" t="str">
        <f>VLOOKUP($G712,Overall!$K$5:$T$36,6)</f>
        <v>00111111000000000000000000000000</v>
      </c>
      <c r="K712" s="8">
        <f t="shared" ca="1" si="99"/>
        <v>0.25</v>
      </c>
      <c r="L712" s="62">
        <f>VLOOKUP($B712,Overall!$B$5:$I$13,8)</f>
        <v>0</v>
      </c>
      <c r="M712" s="58"/>
      <c r="N712" s="3" t="str">
        <f t="shared" si="100"/>
        <v/>
      </c>
      <c r="O712" s="3" t="str">
        <f t="shared" si="101"/>
        <v/>
      </c>
      <c r="P712" s="3" t="str">
        <f t="shared" si="102"/>
        <v/>
      </c>
      <c r="Q712" s="3">
        <f t="shared" si="103"/>
        <v>0</v>
      </c>
      <c r="R712" s="3">
        <f t="shared" si="104"/>
        <v>0</v>
      </c>
      <c r="S712" s="3" t="e" cm="1">
        <f t="array" aca="1" ref="S712" ca="1">SUMPRODUCT(MID($P712,ROW(INDIRECT("1:23")),1)*2^(-ROW(INDIRECT("1:23"))))</f>
        <v>#VALUE!</v>
      </c>
      <c r="T712" s="3" t="e">
        <f t="shared" ca="1" si="105"/>
        <v>#VALUE!</v>
      </c>
      <c r="U712" s="3" t="e">
        <f t="shared" ca="1" si="106"/>
        <v>#VALUE!</v>
      </c>
      <c r="V712" s="73"/>
      <c r="W712" s="9" t="str">
        <f t="shared" si="107"/>
        <v>OK</v>
      </c>
    </row>
    <row r="713" spans="1:23" x14ac:dyDescent="0.3">
      <c r="A713" s="44">
        <v>710</v>
      </c>
      <c r="B713" s="14">
        <v>9</v>
      </c>
      <c r="C713" s="4">
        <v>17</v>
      </c>
      <c r="D713" s="3" t="str">
        <f>VLOOKUP($C713,Overall!$K$5:$T$36,2)</f>
        <v>Normal</v>
      </c>
      <c r="E713" s="3">
        <f ca="1">VLOOKUP($C713,Overall!$K$5:$T$36,10)</f>
        <v>0.5</v>
      </c>
      <c r="F713" s="9" t="str">
        <f>VLOOKUP($C713,Overall!$K$5:$T$36,6)</f>
        <v>00111111000000000000000000000000</v>
      </c>
      <c r="G713" s="8">
        <v>18</v>
      </c>
      <c r="H713" s="3" t="str">
        <f>VLOOKUP($G713,Overall!$K$5:$T$36,2)</f>
        <v>Normal</v>
      </c>
      <c r="I713" s="3">
        <f ca="1">VLOOKUP($G713,Overall!$K$5:$T$36,10)</f>
        <v>1</v>
      </c>
      <c r="J713" s="62" t="str">
        <f>VLOOKUP($G713,Overall!$K$5:$T$36,6)</f>
        <v>00111111100000000000000000000000</v>
      </c>
      <c r="K713" s="8">
        <f t="shared" ca="1" si="99"/>
        <v>0.5</v>
      </c>
      <c r="L713" s="62">
        <f>VLOOKUP($B713,Overall!$B$5:$I$13,8)</f>
        <v>0</v>
      </c>
      <c r="M713" s="58"/>
      <c r="N713" s="3" t="str">
        <f t="shared" si="100"/>
        <v/>
      </c>
      <c r="O713" s="3" t="str">
        <f t="shared" si="101"/>
        <v/>
      </c>
      <c r="P713" s="3" t="str">
        <f t="shared" si="102"/>
        <v/>
      </c>
      <c r="Q713" s="3">
        <f t="shared" si="103"/>
        <v>0</v>
      </c>
      <c r="R713" s="3">
        <f t="shared" si="104"/>
        <v>0</v>
      </c>
      <c r="S713" s="3" t="e" cm="1">
        <f t="array" aca="1" ref="S713" ca="1">SUMPRODUCT(MID($P713,ROW(INDIRECT("1:23")),1)*2^(-ROW(INDIRECT("1:23"))))</f>
        <v>#VALUE!</v>
      </c>
      <c r="T713" s="3" t="e">
        <f t="shared" ca="1" si="105"/>
        <v>#VALUE!</v>
      </c>
      <c r="U713" s="3" t="e">
        <f t="shared" ca="1" si="106"/>
        <v>#VALUE!</v>
      </c>
      <c r="V713" s="73"/>
      <c r="W713" s="9" t="str">
        <f t="shared" si="107"/>
        <v>OK</v>
      </c>
    </row>
    <row r="714" spans="1:23" x14ac:dyDescent="0.3">
      <c r="A714" s="44">
        <v>711</v>
      </c>
      <c r="B714" s="14">
        <v>9</v>
      </c>
      <c r="C714" s="4">
        <v>17</v>
      </c>
      <c r="D714" s="3" t="str">
        <f>VLOOKUP($C714,Overall!$K$5:$T$36,2)</f>
        <v>Normal</v>
      </c>
      <c r="E714" s="3">
        <f ca="1">VLOOKUP($C714,Overall!$K$5:$T$36,10)</f>
        <v>0.5</v>
      </c>
      <c r="F714" s="9" t="str">
        <f>VLOOKUP($C714,Overall!$K$5:$T$36,6)</f>
        <v>00111111000000000000000000000000</v>
      </c>
      <c r="G714" s="8">
        <v>19</v>
      </c>
      <c r="H714" s="3" t="str">
        <f>VLOOKUP($G714,Overall!$K$5:$T$36,2)</f>
        <v>Normal</v>
      </c>
      <c r="I714" s="3">
        <f ca="1">VLOOKUP($G714,Overall!$K$5:$T$36,10)</f>
        <v>1.5</v>
      </c>
      <c r="J714" s="62" t="str">
        <f>VLOOKUP($G714,Overall!$K$5:$T$36,6)</f>
        <v>00111111110000000000000000000000</v>
      </c>
      <c r="K714" s="8">
        <f t="shared" ca="1" si="99"/>
        <v>0.75</v>
      </c>
      <c r="L714" s="62">
        <f>VLOOKUP($B714,Overall!$B$5:$I$13,8)</f>
        <v>0</v>
      </c>
      <c r="M714" s="58"/>
      <c r="N714" s="3" t="str">
        <f t="shared" si="100"/>
        <v/>
      </c>
      <c r="O714" s="3" t="str">
        <f t="shared" si="101"/>
        <v/>
      </c>
      <c r="P714" s="3" t="str">
        <f t="shared" si="102"/>
        <v/>
      </c>
      <c r="Q714" s="3">
        <f t="shared" si="103"/>
        <v>0</v>
      </c>
      <c r="R714" s="3">
        <f t="shared" si="104"/>
        <v>0</v>
      </c>
      <c r="S714" s="3" t="e" cm="1">
        <f t="array" aca="1" ref="S714" ca="1">SUMPRODUCT(MID($P714,ROW(INDIRECT("1:23")),1)*2^(-ROW(INDIRECT("1:23"))))</f>
        <v>#VALUE!</v>
      </c>
      <c r="T714" s="3" t="e">
        <f t="shared" ca="1" si="105"/>
        <v>#VALUE!</v>
      </c>
      <c r="U714" s="3" t="e">
        <f t="shared" ca="1" si="106"/>
        <v>#VALUE!</v>
      </c>
      <c r="V714" s="73"/>
      <c r="W714" s="9" t="str">
        <f t="shared" si="107"/>
        <v>OK</v>
      </c>
    </row>
    <row r="715" spans="1:23" x14ac:dyDescent="0.3">
      <c r="A715" s="44">
        <v>712</v>
      </c>
      <c r="B715" s="14">
        <v>9</v>
      </c>
      <c r="C715" s="4">
        <v>17</v>
      </c>
      <c r="D715" s="3" t="str">
        <f>VLOOKUP($C715,Overall!$K$5:$T$36,2)</f>
        <v>Normal</v>
      </c>
      <c r="E715" s="3">
        <f ca="1">VLOOKUP($C715,Overall!$K$5:$T$36,10)</f>
        <v>0.5</v>
      </c>
      <c r="F715" s="9" t="str">
        <f>VLOOKUP($C715,Overall!$K$5:$T$36,6)</f>
        <v>00111111000000000000000000000000</v>
      </c>
      <c r="G715" s="8">
        <v>20</v>
      </c>
      <c r="H715" s="3" t="str">
        <f>VLOOKUP($G715,Overall!$K$5:$T$36,2)</f>
        <v>Normal</v>
      </c>
      <c r="I715" s="3">
        <f ca="1">VLOOKUP($G715,Overall!$K$5:$T$36,10)</f>
        <v>12345.6787109375</v>
      </c>
      <c r="J715" s="62" t="str">
        <f>VLOOKUP($G715,Overall!$K$5:$T$36,6)</f>
        <v>001000110010000001110011010110111</v>
      </c>
      <c r="K715" s="8">
        <f t="shared" ca="1" si="99"/>
        <v>6172.83935546875</v>
      </c>
      <c r="L715" s="62">
        <f>VLOOKUP($B715,Overall!$B$5:$I$13,8)</f>
        <v>0</v>
      </c>
      <c r="M715" s="58"/>
      <c r="N715" s="3" t="str">
        <f t="shared" si="100"/>
        <v/>
      </c>
      <c r="O715" s="3" t="str">
        <f t="shared" si="101"/>
        <v/>
      </c>
      <c r="P715" s="3" t="str">
        <f t="shared" si="102"/>
        <v/>
      </c>
      <c r="Q715" s="3">
        <f t="shared" si="103"/>
        <v>0</v>
      </c>
      <c r="R715" s="3">
        <f t="shared" si="104"/>
        <v>0</v>
      </c>
      <c r="S715" s="3" t="e" cm="1">
        <f t="array" aca="1" ref="S715" ca="1">SUMPRODUCT(MID($P715,ROW(INDIRECT("1:23")),1)*2^(-ROW(INDIRECT("1:23"))))</f>
        <v>#VALUE!</v>
      </c>
      <c r="T715" s="3" t="e">
        <f t="shared" ca="1" si="105"/>
        <v>#VALUE!</v>
      </c>
      <c r="U715" s="3" t="e">
        <f t="shared" ca="1" si="106"/>
        <v>#VALUE!</v>
      </c>
      <c r="V715" s="73"/>
      <c r="W715" s="9" t="str">
        <f t="shared" si="107"/>
        <v>OK</v>
      </c>
    </row>
    <row r="716" spans="1:23" x14ac:dyDescent="0.3">
      <c r="A716" s="44">
        <v>713</v>
      </c>
      <c r="B716" s="14">
        <v>9</v>
      </c>
      <c r="C716" s="4">
        <v>17</v>
      </c>
      <c r="D716" s="3" t="str">
        <f>VLOOKUP($C716,Overall!$K$5:$T$36,2)</f>
        <v>Normal</v>
      </c>
      <c r="E716" s="3">
        <f ca="1">VLOOKUP($C716,Overall!$K$5:$T$36,10)</f>
        <v>0.5</v>
      </c>
      <c r="F716" s="9" t="str">
        <f>VLOOKUP($C716,Overall!$K$5:$T$36,6)</f>
        <v>00111111000000000000000000000000</v>
      </c>
      <c r="G716" s="8">
        <v>21</v>
      </c>
      <c r="H716" s="3" t="str">
        <f>VLOOKUP($G716,Overall!$K$5:$T$36,2)</f>
        <v>Normal</v>
      </c>
      <c r="I716" s="3">
        <f ca="1">VLOOKUP($G716,Overall!$K$5:$T$36,10)</f>
        <v>2.345678924830959E+38</v>
      </c>
      <c r="J716" s="62" t="str">
        <f>VLOOKUP($G716,Overall!$K$5:$T$36,6)</f>
        <v>01111111001100000111100000100010</v>
      </c>
      <c r="K716" s="8">
        <f t="shared" ca="1" si="99"/>
        <v>1.1728394624154795E+38</v>
      </c>
      <c r="L716" s="62">
        <f>VLOOKUP($B716,Overall!$B$5:$I$13,8)</f>
        <v>0</v>
      </c>
      <c r="M716" s="58"/>
      <c r="N716" s="3" t="str">
        <f t="shared" si="100"/>
        <v/>
      </c>
      <c r="O716" s="3" t="str">
        <f t="shared" si="101"/>
        <v/>
      </c>
      <c r="P716" s="3" t="str">
        <f t="shared" si="102"/>
        <v/>
      </c>
      <c r="Q716" s="3">
        <f t="shared" si="103"/>
        <v>0</v>
      </c>
      <c r="R716" s="3">
        <f t="shared" si="104"/>
        <v>0</v>
      </c>
      <c r="S716" s="3" t="e" cm="1">
        <f t="array" aca="1" ref="S716" ca="1">SUMPRODUCT(MID($P716,ROW(INDIRECT("1:23")),1)*2^(-ROW(INDIRECT("1:23"))))</f>
        <v>#VALUE!</v>
      </c>
      <c r="T716" s="3" t="e">
        <f t="shared" ca="1" si="105"/>
        <v>#VALUE!</v>
      </c>
      <c r="U716" s="3" t="e">
        <f t="shared" ca="1" si="106"/>
        <v>#VALUE!</v>
      </c>
      <c r="V716" s="73"/>
      <c r="W716" s="9" t="str">
        <f t="shared" si="107"/>
        <v>OK</v>
      </c>
    </row>
    <row r="717" spans="1:23" x14ac:dyDescent="0.3">
      <c r="A717" s="44">
        <v>714</v>
      </c>
      <c r="B717" s="14">
        <v>9</v>
      </c>
      <c r="C717" s="4">
        <v>17</v>
      </c>
      <c r="D717" s="3" t="str">
        <f>VLOOKUP($C717,Overall!$K$5:$T$36,2)</f>
        <v>Normal</v>
      </c>
      <c r="E717" s="3">
        <f ca="1">VLOOKUP($C717,Overall!$K$5:$T$36,10)</f>
        <v>0.5</v>
      </c>
      <c r="F717" s="9" t="str">
        <f>VLOOKUP($C717,Overall!$K$5:$T$36,6)</f>
        <v>00111111000000000000000000000000</v>
      </c>
      <c r="G717" s="8">
        <v>22</v>
      </c>
      <c r="H717" s="3" t="str">
        <f>VLOOKUP($G717,Overall!$K$5:$T$36,2)</f>
        <v>Normal</v>
      </c>
      <c r="I717" s="3">
        <f ca="1">VLOOKUP($G717,Overall!$K$5:$T$36,10)</f>
        <v>3.4028232635611926E+38</v>
      </c>
      <c r="J717" s="62" t="str">
        <f>VLOOKUP($G717,Overall!$K$5:$T$36,6)</f>
        <v>01111111011111111111111111111110</v>
      </c>
      <c r="K717" s="8">
        <f t="shared" ca="1" si="99"/>
        <v>1.7014116317805963E+38</v>
      </c>
      <c r="L717" s="62">
        <f>VLOOKUP($B717,Overall!$B$5:$I$13,8)</f>
        <v>0</v>
      </c>
      <c r="M717" s="58"/>
      <c r="N717" s="3" t="str">
        <f t="shared" si="100"/>
        <v/>
      </c>
      <c r="O717" s="3" t="str">
        <f t="shared" si="101"/>
        <v/>
      </c>
      <c r="P717" s="3" t="str">
        <f t="shared" si="102"/>
        <v/>
      </c>
      <c r="Q717" s="3">
        <f t="shared" si="103"/>
        <v>0</v>
      </c>
      <c r="R717" s="3">
        <f t="shared" si="104"/>
        <v>0</v>
      </c>
      <c r="S717" s="3" t="e" cm="1">
        <f t="array" aca="1" ref="S717" ca="1">SUMPRODUCT(MID($P717,ROW(INDIRECT("1:23")),1)*2^(-ROW(INDIRECT("1:23"))))</f>
        <v>#VALUE!</v>
      </c>
      <c r="T717" s="3" t="e">
        <f t="shared" ca="1" si="105"/>
        <v>#VALUE!</v>
      </c>
      <c r="U717" s="3" t="e">
        <f t="shared" ca="1" si="106"/>
        <v>#VALUE!</v>
      </c>
      <c r="V717" s="73"/>
      <c r="W717" s="9" t="str">
        <f t="shared" si="107"/>
        <v>OK</v>
      </c>
    </row>
    <row r="718" spans="1:23" x14ac:dyDescent="0.3">
      <c r="A718" s="44">
        <v>715</v>
      </c>
      <c r="B718" s="14">
        <v>9</v>
      </c>
      <c r="C718" s="4">
        <v>17</v>
      </c>
      <c r="D718" s="3" t="str">
        <f>VLOOKUP($C718,Overall!$K$5:$T$36,2)</f>
        <v>Normal</v>
      </c>
      <c r="E718" s="3">
        <f ca="1">VLOOKUP($C718,Overall!$K$5:$T$36,10)</f>
        <v>0.5</v>
      </c>
      <c r="F718" s="9" t="str">
        <f>VLOOKUP($C718,Overall!$K$5:$T$36,6)</f>
        <v>00111111000000000000000000000000</v>
      </c>
      <c r="G718" s="8">
        <v>23</v>
      </c>
      <c r="H718" s="3" t="str">
        <f>VLOOKUP($G718,Overall!$K$5:$T$36,2)</f>
        <v>Normal</v>
      </c>
      <c r="I718" s="3">
        <f ca="1">VLOOKUP($G718,Overall!$K$5:$T$36,10)</f>
        <v>3.4028234663852886E+38</v>
      </c>
      <c r="J718" s="62" t="str">
        <f>VLOOKUP($G718,Overall!$K$5:$T$36,6)</f>
        <v>01111111011111111111111111111111</v>
      </c>
      <c r="K718" s="8">
        <f t="shared" ca="1" si="99"/>
        <v>1.7014117331926443E+38</v>
      </c>
      <c r="L718" s="62">
        <f>VLOOKUP($B718,Overall!$B$5:$I$13,8)</f>
        <v>0</v>
      </c>
      <c r="M718" s="58"/>
      <c r="N718" s="3" t="str">
        <f t="shared" si="100"/>
        <v/>
      </c>
      <c r="O718" s="3" t="str">
        <f t="shared" si="101"/>
        <v/>
      </c>
      <c r="P718" s="3" t="str">
        <f t="shared" si="102"/>
        <v/>
      </c>
      <c r="Q718" s="3">
        <f t="shared" si="103"/>
        <v>0</v>
      </c>
      <c r="R718" s="3">
        <f t="shared" si="104"/>
        <v>0</v>
      </c>
      <c r="S718" s="3" t="e" cm="1">
        <f t="array" aca="1" ref="S718" ca="1">SUMPRODUCT(MID($P718,ROW(INDIRECT("1:23")),1)*2^(-ROW(INDIRECT("1:23"))))</f>
        <v>#VALUE!</v>
      </c>
      <c r="T718" s="3" t="e">
        <f t="shared" ca="1" si="105"/>
        <v>#VALUE!</v>
      </c>
      <c r="U718" s="3" t="e">
        <f t="shared" ca="1" si="106"/>
        <v>#VALUE!</v>
      </c>
      <c r="V718" s="73"/>
      <c r="W718" s="9" t="str">
        <f t="shared" si="107"/>
        <v>OK</v>
      </c>
    </row>
    <row r="719" spans="1:23" x14ac:dyDescent="0.3">
      <c r="A719" s="44">
        <v>716</v>
      </c>
      <c r="B719" s="14">
        <v>9</v>
      </c>
      <c r="C719" s="4">
        <v>17</v>
      </c>
      <c r="D719" s="3" t="str">
        <f>VLOOKUP($C719,Overall!$K$5:$T$36,2)</f>
        <v>Normal</v>
      </c>
      <c r="E719" s="3">
        <f ca="1">VLOOKUP($C719,Overall!$K$5:$T$36,10)</f>
        <v>0.5</v>
      </c>
      <c r="F719" s="9" t="str">
        <f>VLOOKUP($C719,Overall!$K$5:$T$36,6)</f>
        <v>00111111000000000000000000000000</v>
      </c>
      <c r="G719" s="8">
        <v>24</v>
      </c>
      <c r="H719" s="3" t="str">
        <f>VLOOKUP($G719,Overall!$K$5:$T$36,2)</f>
        <v>Normal</v>
      </c>
      <c r="I719" s="3">
        <f ca="1">VLOOKUP($G719,Overall!$K$5:$T$36,10)</f>
        <v>-1.1754943508222875E-38</v>
      </c>
      <c r="J719" s="62" t="str">
        <f>VLOOKUP($G719,Overall!$K$5:$T$36,6)</f>
        <v>10000000100000000000000000000000</v>
      </c>
      <c r="K719" s="8">
        <f t="shared" ca="1" si="99"/>
        <v>-5.8774717541114375E-39</v>
      </c>
      <c r="L719" s="62">
        <f>VLOOKUP($B719,Overall!$B$5:$I$13,8)</f>
        <v>0</v>
      </c>
      <c r="M719" s="58"/>
      <c r="N719" s="3" t="str">
        <f t="shared" si="100"/>
        <v/>
      </c>
      <c r="O719" s="3" t="str">
        <f t="shared" si="101"/>
        <v/>
      </c>
      <c r="P719" s="3" t="str">
        <f t="shared" si="102"/>
        <v/>
      </c>
      <c r="Q719" s="3">
        <f t="shared" si="103"/>
        <v>0</v>
      </c>
      <c r="R719" s="3">
        <f t="shared" si="104"/>
        <v>0</v>
      </c>
      <c r="S719" s="3" t="e" cm="1">
        <f t="array" aca="1" ref="S719" ca="1">SUMPRODUCT(MID($P719,ROW(INDIRECT("1:23")),1)*2^(-ROW(INDIRECT("1:23"))))</f>
        <v>#VALUE!</v>
      </c>
      <c r="T719" s="3" t="e">
        <f t="shared" ca="1" si="105"/>
        <v>#VALUE!</v>
      </c>
      <c r="U719" s="3" t="e">
        <f t="shared" ca="1" si="106"/>
        <v>#VALUE!</v>
      </c>
      <c r="V719" s="73"/>
      <c r="W719" s="9" t="str">
        <f t="shared" si="107"/>
        <v>OK</v>
      </c>
    </row>
    <row r="720" spans="1:23" x14ac:dyDescent="0.3">
      <c r="A720" s="44">
        <v>717</v>
      </c>
      <c r="B720" s="14">
        <v>9</v>
      </c>
      <c r="C720" s="4">
        <v>17</v>
      </c>
      <c r="D720" s="3" t="str">
        <f>VLOOKUP($C720,Overall!$K$5:$T$36,2)</f>
        <v>Normal</v>
      </c>
      <c r="E720" s="3">
        <f ca="1">VLOOKUP($C720,Overall!$K$5:$T$36,10)</f>
        <v>0.5</v>
      </c>
      <c r="F720" s="9" t="str">
        <f>VLOOKUP($C720,Overall!$K$5:$T$36,6)</f>
        <v>00111111000000000000000000000000</v>
      </c>
      <c r="G720" s="8">
        <v>25</v>
      </c>
      <c r="H720" s="3" t="str">
        <f>VLOOKUP($G720,Overall!$K$5:$T$36,2)</f>
        <v>Normal</v>
      </c>
      <c r="I720" s="3">
        <f ca="1">VLOOKUP($G720,Overall!$K$5:$T$36,10)</f>
        <v>-1.1754944909521339E-38</v>
      </c>
      <c r="J720" s="62" t="str">
        <f>VLOOKUP($G720,Overall!$K$5:$T$36,6)</f>
        <v>10000000100000000000000000000001</v>
      </c>
      <c r="K720" s="8">
        <f t="shared" ca="1" si="99"/>
        <v>-5.8774724547606697E-39</v>
      </c>
      <c r="L720" s="62">
        <f>VLOOKUP($B720,Overall!$B$5:$I$13,8)</f>
        <v>0</v>
      </c>
      <c r="M720" s="58"/>
      <c r="N720" s="3" t="str">
        <f t="shared" si="100"/>
        <v/>
      </c>
      <c r="O720" s="3" t="str">
        <f t="shared" si="101"/>
        <v/>
      </c>
      <c r="P720" s="3" t="str">
        <f t="shared" si="102"/>
        <v/>
      </c>
      <c r="Q720" s="3">
        <f t="shared" si="103"/>
        <v>0</v>
      </c>
      <c r="R720" s="3">
        <f t="shared" si="104"/>
        <v>0</v>
      </c>
      <c r="S720" s="3" t="e" cm="1">
        <f t="array" aca="1" ref="S720" ca="1">SUMPRODUCT(MID($P720,ROW(INDIRECT("1:23")),1)*2^(-ROW(INDIRECT("1:23"))))</f>
        <v>#VALUE!</v>
      </c>
      <c r="T720" s="3" t="e">
        <f t="shared" ca="1" si="105"/>
        <v>#VALUE!</v>
      </c>
      <c r="U720" s="3" t="e">
        <f t="shared" ca="1" si="106"/>
        <v>#VALUE!</v>
      </c>
      <c r="V720" s="73"/>
      <c r="W720" s="9" t="str">
        <f t="shared" si="107"/>
        <v>OK</v>
      </c>
    </row>
    <row r="721" spans="1:23" x14ac:dyDescent="0.3">
      <c r="A721" s="44">
        <v>718</v>
      </c>
      <c r="B721" s="14">
        <v>9</v>
      </c>
      <c r="C721" s="4">
        <v>17</v>
      </c>
      <c r="D721" s="3" t="str">
        <f>VLOOKUP($C721,Overall!$K$5:$T$36,2)</f>
        <v>Normal</v>
      </c>
      <c r="E721" s="3">
        <f ca="1">VLOOKUP($C721,Overall!$K$5:$T$36,10)</f>
        <v>0.5</v>
      </c>
      <c r="F721" s="9" t="str">
        <f>VLOOKUP($C721,Overall!$K$5:$T$36,6)</f>
        <v>00111111000000000000000000000000</v>
      </c>
      <c r="G721" s="8">
        <v>26</v>
      </c>
      <c r="H721" s="3" t="str">
        <f>VLOOKUP($G721,Overall!$K$5:$T$36,2)</f>
        <v>Normal</v>
      </c>
      <c r="I721" s="3">
        <f ca="1">VLOOKUP($G721,Overall!$K$5:$T$36,10)</f>
        <v>-0.5</v>
      </c>
      <c r="J721" s="62" t="str">
        <f>VLOOKUP($G721,Overall!$K$5:$T$36,6)</f>
        <v>10111111000000000000000000000000</v>
      </c>
      <c r="K721" s="8">
        <f t="shared" ca="1" si="99"/>
        <v>-0.25</v>
      </c>
      <c r="L721" s="62">
        <f>VLOOKUP($B721,Overall!$B$5:$I$13,8)</f>
        <v>0</v>
      </c>
      <c r="M721" s="58"/>
      <c r="N721" s="3" t="str">
        <f t="shared" si="100"/>
        <v/>
      </c>
      <c r="O721" s="3" t="str">
        <f t="shared" si="101"/>
        <v/>
      </c>
      <c r="P721" s="3" t="str">
        <f t="shared" si="102"/>
        <v/>
      </c>
      <c r="Q721" s="3">
        <f t="shared" si="103"/>
        <v>0</v>
      </c>
      <c r="R721" s="3">
        <f t="shared" si="104"/>
        <v>0</v>
      </c>
      <c r="S721" s="3" t="e" cm="1">
        <f t="array" aca="1" ref="S721" ca="1">SUMPRODUCT(MID($P721,ROW(INDIRECT("1:23")),1)*2^(-ROW(INDIRECT("1:23"))))</f>
        <v>#VALUE!</v>
      </c>
      <c r="T721" s="3" t="e">
        <f t="shared" ca="1" si="105"/>
        <v>#VALUE!</v>
      </c>
      <c r="U721" s="3" t="e">
        <f t="shared" ca="1" si="106"/>
        <v>#VALUE!</v>
      </c>
      <c r="V721" s="73"/>
      <c r="W721" s="9" t="str">
        <f t="shared" si="107"/>
        <v>OK</v>
      </c>
    </row>
    <row r="722" spans="1:23" x14ac:dyDescent="0.3">
      <c r="A722" s="44">
        <v>719</v>
      </c>
      <c r="B722" s="14">
        <v>9</v>
      </c>
      <c r="C722" s="4">
        <v>17</v>
      </c>
      <c r="D722" s="3" t="str">
        <f>VLOOKUP($C722,Overall!$K$5:$T$36,2)</f>
        <v>Normal</v>
      </c>
      <c r="E722" s="3">
        <f ca="1">VLOOKUP($C722,Overall!$K$5:$T$36,10)</f>
        <v>0.5</v>
      </c>
      <c r="F722" s="9" t="str">
        <f>VLOOKUP($C722,Overall!$K$5:$T$36,6)</f>
        <v>00111111000000000000000000000000</v>
      </c>
      <c r="G722" s="8">
        <v>27</v>
      </c>
      <c r="H722" s="3" t="str">
        <f>VLOOKUP($G722,Overall!$K$5:$T$36,2)</f>
        <v>Normal</v>
      </c>
      <c r="I722" s="3">
        <f ca="1">VLOOKUP($G722,Overall!$K$5:$T$36,10)</f>
        <v>-1</v>
      </c>
      <c r="J722" s="62" t="str">
        <f>VLOOKUP($G722,Overall!$K$5:$T$36,6)</f>
        <v>10111111100000000000000000000000</v>
      </c>
      <c r="K722" s="8">
        <f t="shared" ca="1" si="99"/>
        <v>-0.5</v>
      </c>
      <c r="L722" s="62">
        <f>VLOOKUP($B722,Overall!$B$5:$I$13,8)</f>
        <v>0</v>
      </c>
      <c r="M722" s="58"/>
      <c r="N722" s="3" t="str">
        <f t="shared" si="100"/>
        <v/>
      </c>
      <c r="O722" s="3" t="str">
        <f t="shared" si="101"/>
        <v/>
      </c>
      <c r="P722" s="3" t="str">
        <f t="shared" si="102"/>
        <v/>
      </c>
      <c r="Q722" s="3">
        <f t="shared" si="103"/>
        <v>0</v>
      </c>
      <c r="R722" s="3">
        <f t="shared" si="104"/>
        <v>0</v>
      </c>
      <c r="S722" s="3" t="e" cm="1">
        <f t="array" aca="1" ref="S722" ca="1">SUMPRODUCT(MID($P722,ROW(INDIRECT("1:23")),1)*2^(-ROW(INDIRECT("1:23"))))</f>
        <v>#VALUE!</v>
      </c>
      <c r="T722" s="3" t="e">
        <f t="shared" ca="1" si="105"/>
        <v>#VALUE!</v>
      </c>
      <c r="U722" s="3" t="e">
        <f t="shared" ca="1" si="106"/>
        <v>#VALUE!</v>
      </c>
      <c r="V722" s="73"/>
      <c r="W722" s="9" t="str">
        <f t="shared" si="107"/>
        <v>OK</v>
      </c>
    </row>
    <row r="723" spans="1:23" x14ac:dyDescent="0.3">
      <c r="A723" s="44">
        <v>720</v>
      </c>
      <c r="B723" s="14">
        <v>9</v>
      </c>
      <c r="C723" s="4">
        <v>17</v>
      </c>
      <c r="D723" s="3" t="str">
        <f>VLOOKUP($C723,Overall!$K$5:$T$36,2)</f>
        <v>Normal</v>
      </c>
      <c r="E723" s="3">
        <f ca="1">VLOOKUP($C723,Overall!$K$5:$T$36,10)</f>
        <v>0.5</v>
      </c>
      <c r="F723" s="9" t="str">
        <f>VLOOKUP($C723,Overall!$K$5:$T$36,6)</f>
        <v>00111111000000000000000000000000</v>
      </c>
      <c r="G723" s="8">
        <v>28</v>
      </c>
      <c r="H723" s="3" t="str">
        <f>VLOOKUP($G723,Overall!$K$5:$T$36,2)</f>
        <v>Normal</v>
      </c>
      <c r="I723" s="3">
        <f ca="1">VLOOKUP($G723,Overall!$K$5:$T$36,10)</f>
        <v>-1.5</v>
      </c>
      <c r="J723" s="62" t="str">
        <f>VLOOKUP($G723,Overall!$K$5:$T$36,6)</f>
        <v>10111111110000000000000000000000</v>
      </c>
      <c r="K723" s="8">
        <f t="shared" ca="1" si="99"/>
        <v>-0.75</v>
      </c>
      <c r="L723" s="62">
        <f>VLOOKUP($B723,Overall!$B$5:$I$13,8)</f>
        <v>0</v>
      </c>
      <c r="M723" s="58"/>
      <c r="N723" s="3" t="str">
        <f t="shared" si="100"/>
        <v/>
      </c>
      <c r="O723" s="3" t="str">
        <f t="shared" si="101"/>
        <v/>
      </c>
      <c r="P723" s="3" t="str">
        <f t="shared" si="102"/>
        <v/>
      </c>
      <c r="Q723" s="3">
        <f t="shared" si="103"/>
        <v>0</v>
      </c>
      <c r="R723" s="3">
        <f t="shared" si="104"/>
        <v>0</v>
      </c>
      <c r="S723" s="3" t="e" cm="1">
        <f t="array" aca="1" ref="S723" ca="1">SUMPRODUCT(MID($P723,ROW(INDIRECT("1:23")),1)*2^(-ROW(INDIRECT("1:23"))))</f>
        <v>#VALUE!</v>
      </c>
      <c r="T723" s="3" t="e">
        <f t="shared" ca="1" si="105"/>
        <v>#VALUE!</v>
      </c>
      <c r="U723" s="3" t="e">
        <f t="shared" ca="1" si="106"/>
        <v>#VALUE!</v>
      </c>
      <c r="V723" s="73"/>
      <c r="W723" s="9" t="str">
        <f t="shared" si="107"/>
        <v>OK</v>
      </c>
    </row>
    <row r="724" spans="1:23" x14ac:dyDescent="0.3">
      <c r="A724" s="44">
        <v>721</v>
      </c>
      <c r="B724" s="14">
        <v>9</v>
      </c>
      <c r="C724" s="4">
        <v>17</v>
      </c>
      <c r="D724" s="3" t="str">
        <f>VLOOKUP($C724,Overall!$K$5:$T$36,2)</f>
        <v>Normal</v>
      </c>
      <c r="E724" s="3">
        <f ca="1">VLOOKUP($C724,Overall!$K$5:$T$36,10)</f>
        <v>0.5</v>
      </c>
      <c r="F724" s="9" t="str">
        <f>VLOOKUP($C724,Overall!$K$5:$T$36,6)</f>
        <v>00111111000000000000000000000000</v>
      </c>
      <c r="G724" s="8">
        <v>29</v>
      </c>
      <c r="H724" s="3" t="str">
        <f>VLOOKUP($G724,Overall!$K$5:$T$36,2)</f>
        <v>Normal</v>
      </c>
      <c r="I724" s="3">
        <f ca="1">VLOOKUP($G724,Overall!$K$5:$T$36,10)</f>
        <v>-12345.6787109375</v>
      </c>
      <c r="J724" s="62" t="str">
        <f>VLOOKUP($G724,Overall!$K$5:$T$36,6)</f>
        <v>101000110010000001110011010110111</v>
      </c>
      <c r="K724" s="8">
        <f t="shared" ca="1" si="99"/>
        <v>-6172.83935546875</v>
      </c>
      <c r="L724" s="62">
        <f>VLOOKUP($B724,Overall!$B$5:$I$13,8)</f>
        <v>0</v>
      </c>
      <c r="M724" s="58"/>
      <c r="N724" s="3" t="str">
        <f t="shared" si="100"/>
        <v/>
      </c>
      <c r="O724" s="3" t="str">
        <f t="shared" si="101"/>
        <v/>
      </c>
      <c r="P724" s="3" t="str">
        <f t="shared" si="102"/>
        <v/>
      </c>
      <c r="Q724" s="3">
        <f t="shared" si="103"/>
        <v>0</v>
      </c>
      <c r="R724" s="3">
        <f t="shared" si="104"/>
        <v>0</v>
      </c>
      <c r="S724" s="3" t="e" cm="1">
        <f t="array" aca="1" ref="S724" ca="1">SUMPRODUCT(MID($P724,ROW(INDIRECT("1:23")),1)*2^(-ROW(INDIRECT("1:23"))))</f>
        <v>#VALUE!</v>
      </c>
      <c r="T724" s="3" t="e">
        <f t="shared" ca="1" si="105"/>
        <v>#VALUE!</v>
      </c>
      <c r="U724" s="3" t="e">
        <f t="shared" ca="1" si="106"/>
        <v>#VALUE!</v>
      </c>
      <c r="V724" s="73"/>
      <c r="W724" s="9" t="str">
        <f t="shared" si="107"/>
        <v>OK</v>
      </c>
    </row>
    <row r="725" spans="1:23" x14ac:dyDescent="0.3">
      <c r="A725" s="44">
        <v>722</v>
      </c>
      <c r="B725" s="14">
        <v>9</v>
      </c>
      <c r="C725" s="4">
        <v>17</v>
      </c>
      <c r="D725" s="3" t="str">
        <f>VLOOKUP($C725,Overall!$K$5:$T$36,2)</f>
        <v>Normal</v>
      </c>
      <c r="E725" s="3">
        <f ca="1">VLOOKUP($C725,Overall!$K$5:$T$36,10)</f>
        <v>0.5</v>
      </c>
      <c r="F725" s="9" t="str">
        <f>VLOOKUP($C725,Overall!$K$5:$T$36,6)</f>
        <v>00111111000000000000000000000000</v>
      </c>
      <c r="G725" s="8">
        <v>30</v>
      </c>
      <c r="H725" s="3" t="str">
        <f>VLOOKUP($G725,Overall!$K$5:$T$36,2)</f>
        <v>Normal</v>
      </c>
      <c r="I725" s="3">
        <f ca="1">VLOOKUP($G725,Overall!$K$5:$T$36,10)</f>
        <v>-2.345678924830959E+38</v>
      </c>
      <c r="J725" s="62" t="str">
        <f>VLOOKUP($G725,Overall!$K$5:$T$36,6)</f>
        <v>11111111001100000111100000100010</v>
      </c>
      <c r="K725" s="8">
        <f t="shared" ca="1" si="99"/>
        <v>-1.1728394624154795E+38</v>
      </c>
      <c r="L725" s="62">
        <f>VLOOKUP($B725,Overall!$B$5:$I$13,8)</f>
        <v>0</v>
      </c>
      <c r="M725" s="58"/>
      <c r="N725" s="3" t="str">
        <f t="shared" si="100"/>
        <v/>
      </c>
      <c r="O725" s="3" t="str">
        <f t="shared" si="101"/>
        <v/>
      </c>
      <c r="P725" s="3" t="str">
        <f t="shared" si="102"/>
        <v/>
      </c>
      <c r="Q725" s="3">
        <f t="shared" si="103"/>
        <v>0</v>
      </c>
      <c r="R725" s="3">
        <f t="shared" si="104"/>
        <v>0</v>
      </c>
      <c r="S725" s="3" t="e" cm="1">
        <f t="array" aca="1" ref="S725" ca="1">SUMPRODUCT(MID($P725,ROW(INDIRECT("1:23")),1)*2^(-ROW(INDIRECT("1:23"))))</f>
        <v>#VALUE!</v>
      </c>
      <c r="T725" s="3" t="e">
        <f t="shared" ca="1" si="105"/>
        <v>#VALUE!</v>
      </c>
      <c r="U725" s="3" t="e">
        <f t="shared" ca="1" si="106"/>
        <v>#VALUE!</v>
      </c>
      <c r="V725" s="73"/>
      <c r="W725" s="9" t="str">
        <f t="shared" si="107"/>
        <v>OK</v>
      </c>
    </row>
    <row r="726" spans="1:23" x14ac:dyDescent="0.3">
      <c r="A726" s="44">
        <v>723</v>
      </c>
      <c r="B726" s="14">
        <v>9</v>
      </c>
      <c r="C726" s="4">
        <v>17</v>
      </c>
      <c r="D726" s="3" t="str">
        <f>VLOOKUP($C726,Overall!$K$5:$T$36,2)</f>
        <v>Normal</v>
      </c>
      <c r="E726" s="3">
        <f ca="1">VLOOKUP($C726,Overall!$K$5:$T$36,10)</f>
        <v>0.5</v>
      </c>
      <c r="F726" s="9" t="str">
        <f>VLOOKUP($C726,Overall!$K$5:$T$36,6)</f>
        <v>00111111000000000000000000000000</v>
      </c>
      <c r="G726" s="8">
        <v>31</v>
      </c>
      <c r="H726" s="3" t="str">
        <f>VLOOKUP($G726,Overall!$K$5:$T$36,2)</f>
        <v>Normal</v>
      </c>
      <c r="I726" s="3">
        <f ca="1">VLOOKUP($G726,Overall!$K$5:$T$36,10)</f>
        <v>-3.4028232635611926E+38</v>
      </c>
      <c r="J726" s="62" t="str">
        <f>VLOOKUP($G726,Overall!$K$5:$T$36,6)</f>
        <v>11111111011111111111111111111110</v>
      </c>
      <c r="K726" s="8">
        <f t="shared" ca="1" si="99"/>
        <v>-1.7014116317805963E+38</v>
      </c>
      <c r="L726" s="62">
        <f>VLOOKUP($B726,Overall!$B$5:$I$13,8)</f>
        <v>0</v>
      </c>
      <c r="M726" s="58"/>
      <c r="N726" s="3" t="str">
        <f t="shared" si="100"/>
        <v/>
      </c>
      <c r="O726" s="3" t="str">
        <f t="shared" si="101"/>
        <v/>
      </c>
      <c r="P726" s="3" t="str">
        <f t="shared" si="102"/>
        <v/>
      </c>
      <c r="Q726" s="3">
        <f t="shared" si="103"/>
        <v>0</v>
      </c>
      <c r="R726" s="3">
        <f t="shared" si="104"/>
        <v>0</v>
      </c>
      <c r="S726" s="3" t="e" cm="1">
        <f t="array" aca="1" ref="S726" ca="1">SUMPRODUCT(MID($P726,ROW(INDIRECT("1:23")),1)*2^(-ROW(INDIRECT("1:23"))))</f>
        <v>#VALUE!</v>
      </c>
      <c r="T726" s="3" t="e">
        <f t="shared" ca="1" si="105"/>
        <v>#VALUE!</v>
      </c>
      <c r="U726" s="3" t="e">
        <f t="shared" ca="1" si="106"/>
        <v>#VALUE!</v>
      </c>
      <c r="V726" s="73"/>
      <c r="W726" s="9" t="str">
        <f t="shared" si="107"/>
        <v>OK</v>
      </c>
    </row>
    <row r="727" spans="1:23" x14ac:dyDescent="0.3">
      <c r="A727" s="44">
        <v>724</v>
      </c>
      <c r="B727" s="14">
        <v>9</v>
      </c>
      <c r="C727" s="4">
        <v>17</v>
      </c>
      <c r="D727" s="3" t="str">
        <f>VLOOKUP($C727,Overall!$K$5:$T$36,2)</f>
        <v>Normal</v>
      </c>
      <c r="E727" s="3">
        <f ca="1">VLOOKUP($C727,Overall!$K$5:$T$36,10)</f>
        <v>0.5</v>
      </c>
      <c r="F727" s="9" t="str">
        <f>VLOOKUP($C727,Overall!$K$5:$T$36,6)</f>
        <v>00111111000000000000000000000000</v>
      </c>
      <c r="G727" s="8">
        <v>32</v>
      </c>
      <c r="H727" s="3" t="str">
        <f>VLOOKUP($G727,Overall!$K$5:$T$36,2)</f>
        <v>Normal</v>
      </c>
      <c r="I727" s="3">
        <f ca="1">VLOOKUP($G727,Overall!$K$5:$T$36,10)</f>
        <v>-3.4028234663852886E+38</v>
      </c>
      <c r="J727" s="62" t="str">
        <f>VLOOKUP($G727,Overall!$K$5:$T$36,6)</f>
        <v>11111111011111111111111111111111</v>
      </c>
      <c r="K727" s="8">
        <f t="shared" ca="1" si="99"/>
        <v>-1.7014117331926443E+38</v>
      </c>
      <c r="L727" s="62">
        <f>VLOOKUP($B727,Overall!$B$5:$I$13,8)</f>
        <v>0</v>
      </c>
      <c r="M727" s="58"/>
      <c r="N727" s="3" t="str">
        <f t="shared" si="100"/>
        <v/>
      </c>
      <c r="O727" s="3" t="str">
        <f t="shared" si="101"/>
        <v/>
      </c>
      <c r="P727" s="3" t="str">
        <f t="shared" si="102"/>
        <v/>
      </c>
      <c r="Q727" s="3">
        <f t="shared" si="103"/>
        <v>0</v>
      </c>
      <c r="R727" s="3">
        <f t="shared" si="104"/>
        <v>0</v>
      </c>
      <c r="S727" s="3" t="e" cm="1">
        <f t="array" aca="1" ref="S727" ca="1">SUMPRODUCT(MID($P727,ROW(INDIRECT("1:23")),1)*2^(-ROW(INDIRECT("1:23"))))</f>
        <v>#VALUE!</v>
      </c>
      <c r="T727" s="3" t="e">
        <f t="shared" ca="1" si="105"/>
        <v>#VALUE!</v>
      </c>
      <c r="U727" s="3" t="e">
        <f t="shared" ca="1" si="106"/>
        <v>#VALUE!</v>
      </c>
      <c r="V727" s="73"/>
      <c r="W727" s="9" t="str">
        <f t="shared" si="107"/>
        <v>OK</v>
      </c>
    </row>
    <row r="728" spans="1:23" x14ac:dyDescent="0.3">
      <c r="A728" s="44">
        <v>725</v>
      </c>
      <c r="B728" s="14">
        <v>9</v>
      </c>
      <c r="C728" s="4">
        <v>18</v>
      </c>
      <c r="D728" s="3" t="str">
        <f>VLOOKUP($C728,Overall!$K$5:$T$36,2)</f>
        <v>Normal</v>
      </c>
      <c r="E728" s="3">
        <f ca="1">VLOOKUP($C728,Overall!$K$5:$T$36,10)</f>
        <v>1</v>
      </c>
      <c r="F728" s="9" t="str">
        <f>VLOOKUP($C728,Overall!$K$5:$T$36,6)</f>
        <v>00111111100000000000000000000000</v>
      </c>
      <c r="G728" s="8">
        <v>13</v>
      </c>
      <c r="H728" s="3" t="str">
        <f>VLOOKUP($G728,Overall!$K$5:$T$36,2)</f>
        <v>Normal</v>
      </c>
      <c r="I728" s="3">
        <f ca="1">VLOOKUP($G728,Overall!$K$5:$T$36,10)</f>
        <v>0</v>
      </c>
      <c r="J728" s="62" t="str">
        <f>VLOOKUP($G728,Overall!$K$5:$T$36,6)</f>
        <v>00000000000000000000000000000000</v>
      </c>
      <c r="K728" s="8">
        <f t="shared" ca="1" si="99"/>
        <v>0</v>
      </c>
      <c r="L728" s="62">
        <f>VLOOKUP($B728,Overall!$B$5:$I$13,8)</f>
        <v>0</v>
      </c>
      <c r="M728" s="58"/>
      <c r="N728" s="3" t="str">
        <f t="shared" si="100"/>
        <v/>
      </c>
      <c r="O728" s="3" t="str">
        <f t="shared" si="101"/>
        <v/>
      </c>
      <c r="P728" s="3" t="str">
        <f t="shared" si="102"/>
        <v/>
      </c>
      <c r="Q728" s="3">
        <f t="shared" si="103"/>
        <v>0</v>
      </c>
      <c r="R728" s="3">
        <f t="shared" si="104"/>
        <v>0</v>
      </c>
      <c r="S728" s="3" t="e" cm="1">
        <f t="array" aca="1" ref="S728" ca="1">SUMPRODUCT(MID($P728,ROW(INDIRECT("1:23")),1)*2^(-ROW(INDIRECT("1:23"))))</f>
        <v>#VALUE!</v>
      </c>
      <c r="T728" s="3" t="e">
        <f t="shared" ca="1" si="105"/>
        <v>#VALUE!</v>
      </c>
      <c r="U728" s="3" t="e">
        <f t="shared" ca="1" si="106"/>
        <v>#VALUE!</v>
      </c>
      <c r="V728" s="73"/>
      <c r="W728" s="9" t="str">
        <f t="shared" si="107"/>
        <v>OK</v>
      </c>
    </row>
    <row r="729" spans="1:23" x14ac:dyDescent="0.3">
      <c r="A729" s="44">
        <v>726</v>
      </c>
      <c r="B729" s="14">
        <v>9</v>
      </c>
      <c r="C729" s="4">
        <v>18</v>
      </c>
      <c r="D729" s="3" t="str">
        <f>VLOOKUP($C729,Overall!$K$5:$T$36,2)</f>
        <v>Normal</v>
      </c>
      <c r="E729" s="3">
        <f ca="1">VLOOKUP($C729,Overall!$K$5:$T$36,10)</f>
        <v>1</v>
      </c>
      <c r="F729" s="9" t="str">
        <f>VLOOKUP($C729,Overall!$K$5:$T$36,6)</f>
        <v>00111111100000000000000000000000</v>
      </c>
      <c r="G729" s="8">
        <v>14</v>
      </c>
      <c r="H729" s="3" t="str">
        <f>VLOOKUP($G729,Overall!$K$5:$T$36,2)</f>
        <v>Normal</v>
      </c>
      <c r="I729" s="3">
        <f ca="1">VLOOKUP($G729,Overall!$K$5:$T$36,10)</f>
        <v>0</v>
      </c>
      <c r="J729" s="62" t="str">
        <f>VLOOKUP($G729,Overall!$K$5:$T$36,6)</f>
        <v>10000000000000000000000000000000</v>
      </c>
      <c r="K729" s="8">
        <f t="shared" ca="1" si="99"/>
        <v>0</v>
      </c>
      <c r="L729" s="62">
        <f>VLOOKUP($B729,Overall!$B$5:$I$13,8)</f>
        <v>0</v>
      </c>
      <c r="M729" s="58"/>
      <c r="N729" s="3" t="str">
        <f t="shared" si="100"/>
        <v/>
      </c>
      <c r="O729" s="3" t="str">
        <f t="shared" si="101"/>
        <v/>
      </c>
      <c r="P729" s="3" t="str">
        <f t="shared" si="102"/>
        <v/>
      </c>
      <c r="Q729" s="3">
        <f t="shared" si="103"/>
        <v>0</v>
      </c>
      <c r="R729" s="3">
        <f t="shared" si="104"/>
        <v>0</v>
      </c>
      <c r="S729" s="3" t="e" cm="1">
        <f t="array" aca="1" ref="S729" ca="1">SUMPRODUCT(MID($P729,ROW(INDIRECT("1:23")),1)*2^(-ROW(INDIRECT("1:23"))))</f>
        <v>#VALUE!</v>
      </c>
      <c r="T729" s="3" t="e">
        <f t="shared" ca="1" si="105"/>
        <v>#VALUE!</v>
      </c>
      <c r="U729" s="3" t="e">
        <f t="shared" ca="1" si="106"/>
        <v>#VALUE!</v>
      </c>
      <c r="V729" s="73"/>
      <c r="W729" s="9" t="str">
        <f t="shared" si="107"/>
        <v>OK</v>
      </c>
    </row>
    <row r="730" spans="1:23" x14ac:dyDescent="0.3">
      <c r="A730" s="44">
        <v>727</v>
      </c>
      <c r="B730" s="14">
        <v>9</v>
      </c>
      <c r="C730" s="4">
        <v>18</v>
      </c>
      <c r="D730" s="3" t="str">
        <f>VLOOKUP($C730,Overall!$K$5:$T$36,2)</f>
        <v>Normal</v>
      </c>
      <c r="E730" s="3">
        <f ca="1">VLOOKUP($C730,Overall!$K$5:$T$36,10)</f>
        <v>1</v>
      </c>
      <c r="F730" s="9" t="str">
        <f>VLOOKUP($C730,Overall!$K$5:$T$36,6)</f>
        <v>00111111100000000000000000000000</v>
      </c>
      <c r="G730" s="8">
        <v>15</v>
      </c>
      <c r="H730" s="3" t="str">
        <f>VLOOKUP($G730,Overall!$K$5:$T$36,2)</f>
        <v>Normal</v>
      </c>
      <c r="I730" s="3">
        <f ca="1">VLOOKUP($G730,Overall!$K$5:$T$36,10)</f>
        <v>1.1754943508222875E-38</v>
      </c>
      <c r="J730" s="62" t="str">
        <f>VLOOKUP($G730,Overall!$K$5:$T$36,6)</f>
        <v>00000000100000000000000000000000</v>
      </c>
      <c r="K730" s="8">
        <f t="shared" ca="1" si="99"/>
        <v>1.1754943508222875E-38</v>
      </c>
      <c r="L730" s="62">
        <f>VLOOKUP($B730,Overall!$B$5:$I$13,8)</f>
        <v>0</v>
      </c>
      <c r="M730" s="58"/>
      <c r="N730" s="3" t="str">
        <f t="shared" si="100"/>
        <v/>
      </c>
      <c r="O730" s="3" t="str">
        <f t="shared" si="101"/>
        <v/>
      </c>
      <c r="P730" s="3" t="str">
        <f t="shared" si="102"/>
        <v/>
      </c>
      <c r="Q730" s="3">
        <f t="shared" si="103"/>
        <v>0</v>
      </c>
      <c r="R730" s="3">
        <f t="shared" si="104"/>
        <v>0</v>
      </c>
      <c r="S730" s="3" t="e" cm="1">
        <f t="array" aca="1" ref="S730" ca="1">SUMPRODUCT(MID($P730,ROW(INDIRECT("1:23")),1)*2^(-ROW(INDIRECT("1:23"))))</f>
        <v>#VALUE!</v>
      </c>
      <c r="T730" s="3" t="e">
        <f t="shared" ca="1" si="105"/>
        <v>#VALUE!</v>
      </c>
      <c r="U730" s="3" t="e">
        <f t="shared" ca="1" si="106"/>
        <v>#VALUE!</v>
      </c>
      <c r="V730" s="73"/>
      <c r="W730" s="9" t="str">
        <f t="shared" si="107"/>
        <v>OK</v>
      </c>
    </row>
    <row r="731" spans="1:23" x14ac:dyDescent="0.3">
      <c r="A731" s="44">
        <v>728</v>
      </c>
      <c r="B731" s="14">
        <v>9</v>
      </c>
      <c r="C731" s="4">
        <v>18</v>
      </c>
      <c r="D731" s="3" t="str">
        <f>VLOOKUP($C731,Overall!$K$5:$T$36,2)</f>
        <v>Normal</v>
      </c>
      <c r="E731" s="3">
        <f ca="1">VLOOKUP($C731,Overall!$K$5:$T$36,10)</f>
        <v>1</v>
      </c>
      <c r="F731" s="9" t="str">
        <f>VLOOKUP($C731,Overall!$K$5:$T$36,6)</f>
        <v>00111111100000000000000000000000</v>
      </c>
      <c r="G731" s="8">
        <v>16</v>
      </c>
      <c r="H731" s="3" t="str">
        <f>VLOOKUP($G731,Overall!$K$5:$T$36,2)</f>
        <v>Normal</v>
      </c>
      <c r="I731" s="3">
        <f ca="1">VLOOKUP($G731,Overall!$K$5:$T$36,10)</f>
        <v>1.1754944909521339E-38</v>
      </c>
      <c r="J731" s="62" t="str">
        <f>VLOOKUP($G731,Overall!$K$5:$T$36,6)</f>
        <v>00000000100000000000000000000001</v>
      </c>
      <c r="K731" s="8">
        <f t="shared" ca="1" si="99"/>
        <v>1.1754944909521339E-38</v>
      </c>
      <c r="L731" s="62">
        <f>VLOOKUP($B731,Overall!$B$5:$I$13,8)</f>
        <v>0</v>
      </c>
      <c r="M731" s="58"/>
      <c r="N731" s="3" t="str">
        <f t="shared" si="100"/>
        <v/>
      </c>
      <c r="O731" s="3" t="str">
        <f t="shared" si="101"/>
        <v/>
      </c>
      <c r="P731" s="3" t="str">
        <f t="shared" si="102"/>
        <v/>
      </c>
      <c r="Q731" s="3">
        <f t="shared" si="103"/>
        <v>0</v>
      </c>
      <c r="R731" s="3">
        <f t="shared" si="104"/>
        <v>0</v>
      </c>
      <c r="S731" s="3" t="e" cm="1">
        <f t="array" aca="1" ref="S731" ca="1">SUMPRODUCT(MID($P731,ROW(INDIRECT("1:23")),1)*2^(-ROW(INDIRECT("1:23"))))</f>
        <v>#VALUE!</v>
      </c>
      <c r="T731" s="3" t="e">
        <f t="shared" ca="1" si="105"/>
        <v>#VALUE!</v>
      </c>
      <c r="U731" s="3" t="e">
        <f t="shared" ca="1" si="106"/>
        <v>#VALUE!</v>
      </c>
      <c r="V731" s="73"/>
      <c r="W731" s="9" t="str">
        <f t="shared" si="107"/>
        <v>OK</v>
      </c>
    </row>
    <row r="732" spans="1:23" x14ac:dyDescent="0.3">
      <c r="A732" s="44">
        <v>729</v>
      </c>
      <c r="B732" s="14">
        <v>9</v>
      </c>
      <c r="C732" s="4">
        <v>18</v>
      </c>
      <c r="D732" s="3" t="str">
        <f>VLOOKUP($C732,Overall!$K$5:$T$36,2)</f>
        <v>Normal</v>
      </c>
      <c r="E732" s="3">
        <f ca="1">VLOOKUP($C732,Overall!$K$5:$T$36,10)</f>
        <v>1</v>
      </c>
      <c r="F732" s="9" t="str">
        <f>VLOOKUP($C732,Overall!$K$5:$T$36,6)</f>
        <v>00111111100000000000000000000000</v>
      </c>
      <c r="G732" s="8">
        <v>17</v>
      </c>
      <c r="H732" s="3" t="str">
        <f>VLOOKUP($G732,Overall!$K$5:$T$36,2)</f>
        <v>Normal</v>
      </c>
      <c r="I732" s="3">
        <f ca="1">VLOOKUP($G732,Overall!$K$5:$T$36,10)</f>
        <v>0.5</v>
      </c>
      <c r="J732" s="62" t="str">
        <f>VLOOKUP($G732,Overall!$K$5:$T$36,6)</f>
        <v>00111111000000000000000000000000</v>
      </c>
      <c r="K732" s="8">
        <f t="shared" ca="1" si="99"/>
        <v>0.5</v>
      </c>
      <c r="L732" s="62">
        <f>VLOOKUP($B732,Overall!$B$5:$I$13,8)</f>
        <v>0</v>
      </c>
      <c r="M732" s="58"/>
      <c r="N732" s="3" t="str">
        <f t="shared" si="100"/>
        <v/>
      </c>
      <c r="O732" s="3" t="str">
        <f t="shared" si="101"/>
        <v/>
      </c>
      <c r="P732" s="3" t="str">
        <f t="shared" si="102"/>
        <v/>
      </c>
      <c r="Q732" s="3">
        <f t="shared" si="103"/>
        <v>0</v>
      </c>
      <c r="R732" s="3">
        <f t="shared" si="104"/>
        <v>0</v>
      </c>
      <c r="S732" s="3" t="e" cm="1">
        <f t="array" aca="1" ref="S732" ca="1">SUMPRODUCT(MID($P732,ROW(INDIRECT("1:23")),1)*2^(-ROW(INDIRECT("1:23"))))</f>
        <v>#VALUE!</v>
      </c>
      <c r="T732" s="3" t="e">
        <f t="shared" ca="1" si="105"/>
        <v>#VALUE!</v>
      </c>
      <c r="U732" s="3" t="e">
        <f t="shared" ca="1" si="106"/>
        <v>#VALUE!</v>
      </c>
      <c r="V732" s="73"/>
      <c r="W732" s="9" t="str">
        <f t="shared" si="107"/>
        <v>OK</v>
      </c>
    </row>
    <row r="733" spans="1:23" x14ac:dyDescent="0.3">
      <c r="A733" s="44">
        <v>730</v>
      </c>
      <c r="B733" s="14">
        <v>9</v>
      </c>
      <c r="C733" s="4">
        <v>18</v>
      </c>
      <c r="D733" s="3" t="str">
        <f>VLOOKUP($C733,Overall!$K$5:$T$36,2)</f>
        <v>Normal</v>
      </c>
      <c r="E733" s="3">
        <f ca="1">VLOOKUP($C733,Overall!$K$5:$T$36,10)</f>
        <v>1</v>
      </c>
      <c r="F733" s="9" t="str">
        <f>VLOOKUP($C733,Overall!$K$5:$T$36,6)</f>
        <v>00111111100000000000000000000000</v>
      </c>
      <c r="G733" s="8">
        <v>18</v>
      </c>
      <c r="H733" s="3" t="str">
        <f>VLOOKUP($G733,Overall!$K$5:$T$36,2)</f>
        <v>Normal</v>
      </c>
      <c r="I733" s="3">
        <f ca="1">VLOOKUP($G733,Overall!$K$5:$T$36,10)</f>
        <v>1</v>
      </c>
      <c r="J733" s="62" t="str">
        <f>VLOOKUP($G733,Overall!$K$5:$T$36,6)</f>
        <v>00111111100000000000000000000000</v>
      </c>
      <c r="K733" s="8">
        <f t="shared" ca="1" si="99"/>
        <v>1</v>
      </c>
      <c r="L733" s="62">
        <f>VLOOKUP($B733,Overall!$B$5:$I$13,8)</f>
        <v>0</v>
      </c>
      <c r="M733" s="58"/>
      <c r="N733" s="3" t="str">
        <f t="shared" si="100"/>
        <v/>
      </c>
      <c r="O733" s="3" t="str">
        <f t="shared" si="101"/>
        <v/>
      </c>
      <c r="P733" s="3" t="str">
        <f t="shared" si="102"/>
        <v/>
      </c>
      <c r="Q733" s="3">
        <f t="shared" si="103"/>
        <v>0</v>
      </c>
      <c r="R733" s="3">
        <f t="shared" si="104"/>
        <v>0</v>
      </c>
      <c r="S733" s="3" t="e" cm="1">
        <f t="array" aca="1" ref="S733" ca="1">SUMPRODUCT(MID($P733,ROW(INDIRECT("1:23")),1)*2^(-ROW(INDIRECT("1:23"))))</f>
        <v>#VALUE!</v>
      </c>
      <c r="T733" s="3" t="e">
        <f t="shared" ca="1" si="105"/>
        <v>#VALUE!</v>
      </c>
      <c r="U733" s="3" t="e">
        <f t="shared" ca="1" si="106"/>
        <v>#VALUE!</v>
      </c>
      <c r="V733" s="73"/>
      <c r="W733" s="9" t="str">
        <f t="shared" si="107"/>
        <v>OK</v>
      </c>
    </row>
    <row r="734" spans="1:23" x14ac:dyDescent="0.3">
      <c r="A734" s="44">
        <v>731</v>
      </c>
      <c r="B734" s="14">
        <v>9</v>
      </c>
      <c r="C734" s="4">
        <v>18</v>
      </c>
      <c r="D734" s="3" t="str">
        <f>VLOOKUP($C734,Overall!$K$5:$T$36,2)</f>
        <v>Normal</v>
      </c>
      <c r="E734" s="3">
        <f ca="1">VLOOKUP($C734,Overall!$K$5:$T$36,10)</f>
        <v>1</v>
      </c>
      <c r="F734" s="9" t="str">
        <f>VLOOKUP($C734,Overall!$K$5:$T$36,6)</f>
        <v>00111111100000000000000000000000</v>
      </c>
      <c r="G734" s="8">
        <v>19</v>
      </c>
      <c r="H734" s="3" t="str">
        <f>VLOOKUP($G734,Overall!$K$5:$T$36,2)</f>
        <v>Normal</v>
      </c>
      <c r="I734" s="3">
        <f ca="1">VLOOKUP($G734,Overall!$K$5:$T$36,10)</f>
        <v>1.5</v>
      </c>
      <c r="J734" s="62" t="str">
        <f>VLOOKUP($G734,Overall!$K$5:$T$36,6)</f>
        <v>00111111110000000000000000000000</v>
      </c>
      <c r="K734" s="8">
        <f t="shared" ca="1" si="99"/>
        <v>1.5</v>
      </c>
      <c r="L734" s="62">
        <f>VLOOKUP($B734,Overall!$B$5:$I$13,8)</f>
        <v>0</v>
      </c>
      <c r="M734" s="58"/>
      <c r="N734" s="3" t="str">
        <f t="shared" si="100"/>
        <v/>
      </c>
      <c r="O734" s="3" t="str">
        <f t="shared" si="101"/>
        <v/>
      </c>
      <c r="P734" s="3" t="str">
        <f t="shared" si="102"/>
        <v/>
      </c>
      <c r="Q734" s="3">
        <f t="shared" si="103"/>
        <v>0</v>
      </c>
      <c r="R734" s="3">
        <f t="shared" si="104"/>
        <v>0</v>
      </c>
      <c r="S734" s="3" t="e" cm="1">
        <f t="array" aca="1" ref="S734" ca="1">SUMPRODUCT(MID($P734,ROW(INDIRECT("1:23")),1)*2^(-ROW(INDIRECT("1:23"))))</f>
        <v>#VALUE!</v>
      </c>
      <c r="T734" s="3" t="e">
        <f t="shared" ca="1" si="105"/>
        <v>#VALUE!</v>
      </c>
      <c r="U734" s="3" t="e">
        <f t="shared" ca="1" si="106"/>
        <v>#VALUE!</v>
      </c>
      <c r="V734" s="73"/>
      <c r="W734" s="9" t="str">
        <f t="shared" si="107"/>
        <v>OK</v>
      </c>
    </row>
    <row r="735" spans="1:23" x14ac:dyDescent="0.3">
      <c r="A735" s="44">
        <v>732</v>
      </c>
      <c r="B735" s="14">
        <v>9</v>
      </c>
      <c r="C735" s="4">
        <v>18</v>
      </c>
      <c r="D735" s="3" t="str">
        <f>VLOOKUP($C735,Overall!$K$5:$T$36,2)</f>
        <v>Normal</v>
      </c>
      <c r="E735" s="3">
        <f ca="1">VLOOKUP($C735,Overall!$K$5:$T$36,10)</f>
        <v>1</v>
      </c>
      <c r="F735" s="9" t="str">
        <f>VLOOKUP($C735,Overall!$K$5:$T$36,6)</f>
        <v>00111111100000000000000000000000</v>
      </c>
      <c r="G735" s="8">
        <v>20</v>
      </c>
      <c r="H735" s="3" t="str">
        <f>VLOOKUP($G735,Overall!$K$5:$T$36,2)</f>
        <v>Normal</v>
      </c>
      <c r="I735" s="3">
        <f ca="1">VLOOKUP($G735,Overall!$K$5:$T$36,10)</f>
        <v>12345.6787109375</v>
      </c>
      <c r="J735" s="62" t="str">
        <f>VLOOKUP($G735,Overall!$K$5:$T$36,6)</f>
        <v>001000110010000001110011010110111</v>
      </c>
      <c r="K735" s="8">
        <f t="shared" ca="1" si="99"/>
        <v>12345.6787109375</v>
      </c>
      <c r="L735" s="62">
        <f>VLOOKUP($B735,Overall!$B$5:$I$13,8)</f>
        <v>0</v>
      </c>
      <c r="M735" s="58"/>
      <c r="N735" s="3" t="str">
        <f t="shared" si="100"/>
        <v/>
      </c>
      <c r="O735" s="3" t="str">
        <f t="shared" si="101"/>
        <v/>
      </c>
      <c r="P735" s="3" t="str">
        <f t="shared" si="102"/>
        <v/>
      </c>
      <c r="Q735" s="3">
        <f t="shared" si="103"/>
        <v>0</v>
      </c>
      <c r="R735" s="3">
        <f t="shared" si="104"/>
        <v>0</v>
      </c>
      <c r="S735" s="3" t="e" cm="1">
        <f t="array" aca="1" ref="S735" ca="1">SUMPRODUCT(MID($P735,ROW(INDIRECT("1:23")),1)*2^(-ROW(INDIRECT("1:23"))))</f>
        <v>#VALUE!</v>
      </c>
      <c r="T735" s="3" t="e">
        <f t="shared" ca="1" si="105"/>
        <v>#VALUE!</v>
      </c>
      <c r="U735" s="3" t="e">
        <f t="shared" ca="1" si="106"/>
        <v>#VALUE!</v>
      </c>
      <c r="V735" s="73"/>
      <c r="W735" s="9" t="str">
        <f t="shared" si="107"/>
        <v>OK</v>
      </c>
    </row>
    <row r="736" spans="1:23" x14ac:dyDescent="0.3">
      <c r="A736" s="44">
        <v>733</v>
      </c>
      <c r="B736" s="14">
        <v>9</v>
      </c>
      <c r="C736" s="4">
        <v>18</v>
      </c>
      <c r="D736" s="3" t="str">
        <f>VLOOKUP($C736,Overall!$K$5:$T$36,2)</f>
        <v>Normal</v>
      </c>
      <c r="E736" s="3">
        <f ca="1">VLOOKUP($C736,Overall!$K$5:$T$36,10)</f>
        <v>1</v>
      </c>
      <c r="F736" s="9" t="str">
        <f>VLOOKUP($C736,Overall!$K$5:$T$36,6)</f>
        <v>00111111100000000000000000000000</v>
      </c>
      <c r="G736" s="8">
        <v>21</v>
      </c>
      <c r="H736" s="3" t="str">
        <f>VLOOKUP($G736,Overall!$K$5:$T$36,2)</f>
        <v>Normal</v>
      </c>
      <c r="I736" s="3">
        <f ca="1">VLOOKUP($G736,Overall!$K$5:$T$36,10)</f>
        <v>2.345678924830959E+38</v>
      </c>
      <c r="J736" s="62" t="str">
        <f>VLOOKUP($G736,Overall!$K$5:$T$36,6)</f>
        <v>01111111001100000111100000100010</v>
      </c>
      <c r="K736" s="8">
        <f t="shared" ca="1" si="99"/>
        <v>2.345678924830959E+38</v>
      </c>
      <c r="L736" s="62">
        <f>VLOOKUP($B736,Overall!$B$5:$I$13,8)</f>
        <v>0</v>
      </c>
      <c r="M736" s="58"/>
      <c r="N736" s="3" t="str">
        <f t="shared" si="100"/>
        <v/>
      </c>
      <c r="O736" s="3" t="str">
        <f t="shared" si="101"/>
        <v/>
      </c>
      <c r="P736" s="3" t="str">
        <f t="shared" si="102"/>
        <v/>
      </c>
      <c r="Q736" s="3">
        <f t="shared" si="103"/>
        <v>0</v>
      </c>
      <c r="R736" s="3">
        <f t="shared" si="104"/>
        <v>0</v>
      </c>
      <c r="S736" s="3" t="e" cm="1">
        <f t="array" aca="1" ref="S736" ca="1">SUMPRODUCT(MID($P736,ROW(INDIRECT("1:23")),1)*2^(-ROW(INDIRECT("1:23"))))</f>
        <v>#VALUE!</v>
      </c>
      <c r="T736" s="3" t="e">
        <f t="shared" ca="1" si="105"/>
        <v>#VALUE!</v>
      </c>
      <c r="U736" s="3" t="e">
        <f t="shared" ca="1" si="106"/>
        <v>#VALUE!</v>
      </c>
      <c r="V736" s="73"/>
      <c r="W736" s="9" t="str">
        <f t="shared" si="107"/>
        <v>OK</v>
      </c>
    </row>
    <row r="737" spans="1:23" x14ac:dyDescent="0.3">
      <c r="A737" s="44">
        <v>734</v>
      </c>
      <c r="B737" s="14">
        <v>9</v>
      </c>
      <c r="C737" s="4">
        <v>18</v>
      </c>
      <c r="D737" s="3" t="str">
        <f>VLOOKUP($C737,Overall!$K$5:$T$36,2)</f>
        <v>Normal</v>
      </c>
      <c r="E737" s="3">
        <f ca="1">VLOOKUP($C737,Overall!$K$5:$T$36,10)</f>
        <v>1</v>
      </c>
      <c r="F737" s="9" t="str">
        <f>VLOOKUP($C737,Overall!$K$5:$T$36,6)</f>
        <v>00111111100000000000000000000000</v>
      </c>
      <c r="G737" s="8">
        <v>22</v>
      </c>
      <c r="H737" s="3" t="str">
        <f>VLOOKUP($G737,Overall!$K$5:$T$36,2)</f>
        <v>Normal</v>
      </c>
      <c r="I737" s="3">
        <f ca="1">VLOOKUP($G737,Overall!$K$5:$T$36,10)</f>
        <v>3.4028232635611926E+38</v>
      </c>
      <c r="J737" s="62" t="str">
        <f>VLOOKUP($G737,Overall!$K$5:$T$36,6)</f>
        <v>01111111011111111111111111111110</v>
      </c>
      <c r="K737" s="8">
        <f t="shared" ca="1" si="99"/>
        <v>3.4028232635611926E+38</v>
      </c>
      <c r="L737" s="62">
        <f>VLOOKUP($B737,Overall!$B$5:$I$13,8)</f>
        <v>0</v>
      </c>
      <c r="M737" s="58"/>
      <c r="N737" s="3" t="str">
        <f t="shared" si="100"/>
        <v/>
      </c>
      <c r="O737" s="3" t="str">
        <f t="shared" si="101"/>
        <v/>
      </c>
      <c r="P737" s="3" t="str">
        <f t="shared" si="102"/>
        <v/>
      </c>
      <c r="Q737" s="3">
        <f t="shared" si="103"/>
        <v>0</v>
      </c>
      <c r="R737" s="3">
        <f t="shared" si="104"/>
        <v>0</v>
      </c>
      <c r="S737" s="3" t="e" cm="1">
        <f t="array" aca="1" ref="S737" ca="1">SUMPRODUCT(MID($P737,ROW(INDIRECT("1:23")),1)*2^(-ROW(INDIRECT("1:23"))))</f>
        <v>#VALUE!</v>
      </c>
      <c r="T737" s="3" t="e">
        <f t="shared" ca="1" si="105"/>
        <v>#VALUE!</v>
      </c>
      <c r="U737" s="3" t="e">
        <f t="shared" ca="1" si="106"/>
        <v>#VALUE!</v>
      </c>
      <c r="V737" s="73"/>
      <c r="W737" s="9" t="str">
        <f t="shared" si="107"/>
        <v>OK</v>
      </c>
    </row>
    <row r="738" spans="1:23" x14ac:dyDescent="0.3">
      <c r="A738" s="44">
        <v>735</v>
      </c>
      <c r="B738" s="14">
        <v>9</v>
      </c>
      <c r="C738" s="4">
        <v>18</v>
      </c>
      <c r="D738" s="3" t="str">
        <f>VLOOKUP($C738,Overall!$K$5:$T$36,2)</f>
        <v>Normal</v>
      </c>
      <c r="E738" s="3">
        <f ca="1">VLOOKUP($C738,Overall!$K$5:$T$36,10)</f>
        <v>1</v>
      </c>
      <c r="F738" s="9" t="str">
        <f>VLOOKUP($C738,Overall!$K$5:$T$36,6)</f>
        <v>00111111100000000000000000000000</v>
      </c>
      <c r="G738" s="8">
        <v>23</v>
      </c>
      <c r="H738" s="3" t="str">
        <f>VLOOKUP($G738,Overall!$K$5:$T$36,2)</f>
        <v>Normal</v>
      </c>
      <c r="I738" s="3">
        <f ca="1">VLOOKUP($G738,Overall!$K$5:$T$36,10)</f>
        <v>3.4028234663852886E+38</v>
      </c>
      <c r="J738" s="62" t="str">
        <f>VLOOKUP($G738,Overall!$K$5:$T$36,6)</f>
        <v>01111111011111111111111111111111</v>
      </c>
      <c r="K738" s="8">
        <f t="shared" ca="1" si="99"/>
        <v>3.4028234663852886E+38</v>
      </c>
      <c r="L738" s="62">
        <f>VLOOKUP($B738,Overall!$B$5:$I$13,8)</f>
        <v>0</v>
      </c>
      <c r="M738" s="58"/>
      <c r="N738" s="3" t="str">
        <f t="shared" si="100"/>
        <v/>
      </c>
      <c r="O738" s="3" t="str">
        <f t="shared" si="101"/>
        <v/>
      </c>
      <c r="P738" s="3" t="str">
        <f t="shared" si="102"/>
        <v/>
      </c>
      <c r="Q738" s="3">
        <f t="shared" si="103"/>
        <v>0</v>
      </c>
      <c r="R738" s="3">
        <f t="shared" si="104"/>
        <v>0</v>
      </c>
      <c r="S738" s="3" t="e" cm="1">
        <f t="array" aca="1" ref="S738" ca="1">SUMPRODUCT(MID($P738,ROW(INDIRECT("1:23")),1)*2^(-ROW(INDIRECT("1:23"))))</f>
        <v>#VALUE!</v>
      </c>
      <c r="T738" s="3" t="e">
        <f t="shared" ca="1" si="105"/>
        <v>#VALUE!</v>
      </c>
      <c r="U738" s="3" t="e">
        <f t="shared" ca="1" si="106"/>
        <v>#VALUE!</v>
      </c>
      <c r="V738" s="73"/>
      <c r="W738" s="9" t="str">
        <f t="shared" si="107"/>
        <v>OK</v>
      </c>
    </row>
    <row r="739" spans="1:23" x14ac:dyDescent="0.3">
      <c r="A739" s="44">
        <v>736</v>
      </c>
      <c r="B739" s="14">
        <v>9</v>
      </c>
      <c r="C739" s="4">
        <v>18</v>
      </c>
      <c r="D739" s="3" t="str">
        <f>VLOOKUP($C739,Overall!$K$5:$T$36,2)</f>
        <v>Normal</v>
      </c>
      <c r="E739" s="3">
        <f ca="1">VLOOKUP($C739,Overall!$K$5:$T$36,10)</f>
        <v>1</v>
      </c>
      <c r="F739" s="9" t="str">
        <f>VLOOKUP($C739,Overall!$K$5:$T$36,6)</f>
        <v>00111111100000000000000000000000</v>
      </c>
      <c r="G739" s="8">
        <v>24</v>
      </c>
      <c r="H739" s="3" t="str">
        <f>VLOOKUP($G739,Overall!$K$5:$T$36,2)</f>
        <v>Normal</v>
      </c>
      <c r="I739" s="3">
        <f ca="1">VLOOKUP($G739,Overall!$K$5:$T$36,10)</f>
        <v>-1.1754943508222875E-38</v>
      </c>
      <c r="J739" s="62" t="str">
        <f>VLOOKUP($G739,Overall!$K$5:$T$36,6)</f>
        <v>10000000100000000000000000000000</v>
      </c>
      <c r="K739" s="8">
        <f t="shared" ca="1" si="99"/>
        <v>-1.1754943508222875E-38</v>
      </c>
      <c r="L739" s="62">
        <f>VLOOKUP($B739,Overall!$B$5:$I$13,8)</f>
        <v>0</v>
      </c>
      <c r="M739" s="58"/>
      <c r="N739" s="3" t="str">
        <f t="shared" si="100"/>
        <v/>
      </c>
      <c r="O739" s="3" t="str">
        <f t="shared" si="101"/>
        <v/>
      </c>
      <c r="P739" s="3" t="str">
        <f t="shared" si="102"/>
        <v/>
      </c>
      <c r="Q739" s="3">
        <f t="shared" si="103"/>
        <v>0</v>
      </c>
      <c r="R739" s="3">
        <f t="shared" si="104"/>
        <v>0</v>
      </c>
      <c r="S739" s="3" t="e" cm="1">
        <f t="array" aca="1" ref="S739" ca="1">SUMPRODUCT(MID($P739,ROW(INDIRECT("1:23")),1)*2^(-ROW(INDIRECT("1:23"))))</f>
        <v>#VALUE!</v>
      </c>
      <c r="T739" s="3" t="e">
        <f t="shared" ca="1" si="105"/>
        <v>#VALUE!</v>
      </c>
      <c r="U739" s="3" t="e">
        <f t="shared" ca="1" si="106"/>
        <v>#VALUE!</v>
      </c>
      <c r="V739" s="73"/>
      <c r="W739" s="9" t="str">
        <f t="shared" si="107"/>
        <v>OK</v>
      </c>
    </row>
    <row r="740" spans="1:23" x14ac:dyDescent="0.3">
      <c r="A740" s="44">
        <v>737</v>
      </c>
      <c r="B740" s="14">
        <v>9</v>
      </c>
      <c r="C740" s="4">
        <v>18</v>
      </c>
      <c r="D740" s="3" t="str">
        <f>VLOOKUP($C740,Overall!$K$5:$T$36,2)</f>
        <v>Normal</v>
      </c>
      <c r="E740" s="3">
        <f ca="1">VLOOKUP($C740,Overall!$K$5:$T$36,10)</f>
        <v>1</v>
      </c>
      <c r="F740" s="9" t="str">
        <f>VLOOKUP($C740,Overall!$K$5:$T$36,6)</f>
        <v>00111111100000000000000000000000</v>
      </c>
      <c r="G740" s="8">
        <v>25</v>
      </c>
      <c r="H740" s="3" t="str">
        <f>VLOOKUP($G740,Overall!$K$5:$T$36,2)</f>
        <v>Normal</v>
      </c>
      <c r="I740" s="3">
        <f ca="1">VLOOKUP($G740,Overall!$K$5:$T$36,10)</f>
        <v>-1.1754944909521339E-38</v>
      </c>
      <c r="J740" s="62" t="str">
        <f>VLOOKUP($G740,Overall!$K$5:$T$36,6)</f>
        <v>10000000100000000000000000000001</v>
      </c>
      <c r="K740" s="8">
        <f t="shared" ca="1" si="99"/>
        <v>-1.1754944909521339E-38</v>
      </c>
      <c r="L740" s="62">
        <f>VLOOKUP($B740,Overall!$B$5:$I$13,8)</f>
        <v>0</v>
      </c>
      <c r="M740" s="58"/>
      <c r="N740" s="3" t="str">
        <f t="shared" si="100"/>
        <v/>
      </c>
      <c r="O740" s="3" t="str">
        <f t="shared" si="101"/>
        <v/>
      </c>
      <c r="P740" s="3" t="str">
        <f t="shared" si="102"/>
        <v/>
      </c>
      <c r="Q740" s="3">
        <f t="shared" si="103"/>
        <v>0</v>
      </c>
      <c r="R740" s="3">
        <f t="shared" si="104"/>
        <v>0</v>
      </c>
      <c r="S740" s="3" t="e" cm="1">
        <f t="array" aca="1" ref="S740" ca="1">SUMPRODUCT(MID($P740,ROW(INDIRECT("1:23")),1)*2^(-ROW(INDIRECT("1:23"))))</f>
        <v>#VALUE!</v>
      </c>
      <c r="T740" s="3" t="e">
        <f t="shared" ca="1" si="105"/>
        <v>#VALUE!</v>
      </c>
      <c r="U740" s="3" t="e">
        <f t="shared" ca="1" si="106"/>
        <v>#VALUE!</v>
      </c>
      <c r="V740" s="73"/>
      <c r="W740" s="9" t="str">
        <f t="shared" si="107"/>
        <v>OK</v>
      </c>
    </row>
    <row r="741" spans="1:23" x14ac:dyDescent="0.3">
      <c r="A741" s="44">
        <v>738</v>
      </c>
      <c r="B741" s="14">
        <v>9</v>
      </c>
      <c r="C741" s="4">
        <v>18</v>
      </c>
      <c r="D741" s="3" t="str">
        <f>VLOOKUP($C741,Overall!$K$5:$T$36,2)</f>
        <v>Normal</v>
      </c>
      <c r="E741" s="3">
        <f ca="1">VLOOKUP($C741,Overall!$K$5:$T$36,10)</f>
        <v>1</v>
      </c>
      <c r="F741" s="9" t="str">
        <f>VLOOKUP($C741,Overall!$K$5:$T$36,6)</f>
        <v>00111111100000000000000000000000</v>
      </c>
      <c r="G741" s="8">
        <v>26</v>
      </c>
      <c r="H741" s="3" t="str">
        <f>VLOOKUP($G741,Overall!$K$5:$T$36,2)</f>
        <v>Normal</v>
      </c>
      <c r="I741" s="3">
        <f ca="1">VLOOKUP($G741,Overall!$K$5:$T$36,10)</f>
        <v>-0.5</v>
      </c>
      <c r="J741" s="62" t="str">
        <f>VLOOKUP($G741,Overall!$K$5:$T$36,6)</f>
        <v>10111111000000000000000000000000</v>
      </c>
      <c r="K741" s="8">
        <f t="shared" ca="1" si="99"/>
        <v>-0.5</v>
      </c>
      <c r="L741" s="62">
        <f>VLOOKUP($B741,Overall!$B$5:$I$13,8)</f>
        <v>0</v>
      </c>
      <c r="M741" s="58"/>
      <c r="N741" s="3" t="str">
        <f t="shared" si="100"/>
        <v/>
      </c>
      <c r="O741" s="3" t="str">
        <f t="shared" si="101"/>
        <v/>
      </c>
      <c r="P741" s="3" t="str">
        <f t="shared" si="102"/>
        <v/>
      </c>
      <c r="Q741" s="3">
        <f t="shared" si="103"/>
        <v>0</v>
      </c>
      <c r="R741" s="3">
        <f t="shared" si="104"/>
        <v>0</v>
      </c>
      <c r="S741" s="3" t="e" cm="1">
        <f t="array" aca="1" ref="S741" ca="1">SUMPRODUCT(MID($P741,ROW(INDIRECT("1:23")),1)*2^(-ROW(INDIRECT("1:23"))))</f>
        <v>#VALUE!</v>
      </c>
      <c r="T741" s="3" t="e">
        <f t="shared" ca="1" si="105"/>
        <v>#VALUE!</v>
      </c>
      <c r="U741" s="3" t="e">
        <f t="shared" ca="1" si="106"/>
        <v>#VALUE!</v>
      </c>
      <c r="V741" s="73"/>
      <c r="W741" s="9" t="str">
        <f t="shared" si="107"/>
        <v>OK</v>
      </c>
    </row>
    <row r="742" spans="1:23" x14ac:dyDescent="0.3">
      <c r="A742" s="44">
        <v>739</v>
      </c>
      <c r="B742" s="14">
        <v>9</v>
      </c>
      <c r="C742" s="4">
        <v>18</v>
      </c>
      <c r="D742" s="3" t="str">
        <f>VLOOKUP($C742,Overall!$K$5:$T$36,2)</f>
        <v>Normal</v>
      </c>
      <c r="E742" s="3">
        <f ca="1">VLOOKUP($C742,Overall!$K$5:$T$36,10)</f>
        <v>1</v>
      </c>
      <c r="F742" s="9" t="str">
        <f>VLOOKUP($C742,Overall!$K$5:$T$36,6)</f>
        <v>00111111100000000000000000000000</v>
      </c>
      <c r="G742" s="8">
        <v>27</v>
      </c>
      <c r="H742" s="3" t="str">
        <f>VLOOKUP($G742,Overall!$K$5:$T$36,2)</f>
        <v>Normal</v>
      </c>
      <c r="I742" s="3">
        <f ca="1">VLOOKUP($G742,Overall!$K$5:$T$36,10)</f>
        <v>-1</v>
      </c>
      <c r="J742" s="62" t="str">
        <f>VLOOKUP($G742,Overall!$K$5:$T$36,6)</f>
        <v>10111111100000000000000000000000</v>
      </c>
      <c r="K742" s="8">
        <f t="shared" ca="1" si="99"/>
        <v>-1</v>
      </c>
      <c r="L742" s="62">
        <f>VLOOKUP($B742,Overall!$B$5:$I$13,8)</f>
        <v>0</v>
      </c>
      <c r="M742" s="58"/>
      <c r="N742" s="3" t="str">
        <f t="shared" si="100"/>
        <v/>
      </c>
      <c r="O742" s="3" t="str">
        <f t="shared" si="101"/>
        <v/>
      </c>
      <c r="P742" s="3" t="str">
        <f t="shared" si="102"/>
        <v/>
      </c>
      <c r="Q742" s="3">
        <f t="shared" si="103"/>
        <v>0</v>
      </c>
      <c r="R742" s="3">
        <f t="shared" si="104"/>
        <v>0</v>
      </c>
      <c r="S742" s="3" t="e" cm="1">
        <f t="array" aca="1" ref="S742" ca="1">SUMPRODUCT(MID($P742,ROW(INDIRECT("1:23")),1)*2^(-ROW(INDIRECT("1:23"))))</f>
        <v>#VALUE!</v>
      </c>
      <c r="T742" s="3" t="e">
        <f t="shared" ca="1" si="105"/>
        <v>#VALUE!</v>
      </c>
      <c r="U742" s="3" t="e">
        <f t="shared" ca="1" si="106"/>
        <v>#VALUE!</v>
      </c>
      <c r="V742" s="73"/>
      <c r="W742" s="9" t="str">
        <f t="shared" si="107"/>
        <v>OK</v>
      </c>
    </row>
    <row r="743" spans="1:23" x14ac:dyDescent="0.3">
      <c r="A743" s="44">
        <v>740</v>
      </c>
      <c r="B743" s="14">
        <v>9</v>
      </c>
      <c r="C743" s="4">
        <v>18</v>
      </c>
      <c r="D743" s="3" t="str">
        <f>VLOOKUP($C743,Overall!$K$5:$T$36,2)</f>
        <v>Normal</v>
      </c>
      <c r="E743" s="3">
        <f ca="1">VLOOKUP($C743,Overall!$K$5:$T$36,10)</f>
        <v>1</v>
      </c>
      <c r="F743" s="9" t="str">
        <f>VLOOKUP($C743,Overall!$K$5:$T$36,6)</f>
        <v>00111111100000000000000000000000</v>
      </c>
      <c r="G743" s="8">
        <v>28</v>
      </c>
      <c r="H743" s="3" t="str">
        <f>VLOOKUP($G743,Overall!$K$5:$T$36,2)</f>
        <v>Normal</v>
      </c>
      <c r="I743" s="3">
        <f ca="1">VLOOKUP($G743,Overall!$K$5:$T$36,10)</f>
        <v>-1.5</v>
      </c>
      <c r="J743" s="62" t="str">
        <f>VLOOKUP($G743,Overall!$K$5:$T$36,6)</f>
        <v>10111111110000000000000000000000</v>
      </c>
      <c r="K743" s="8">
        <f t="shared" ca="1" si="99"/>
        <v>-1.5</v>
      </c>
      <c r="L743" s="62">
        <f>VLOOKUP($B743,Overall!$B$5:$I$13,8)</f>
        <v>0</v>
      </c>
      <c r="M743" s="58"/>
      <c r="N743" s="3" t="str">
        <f t="shared" si="100"/>
        <v/>
      </c>
      <c r="O743" s="3" t="str">
        <f t="shared" si="101"/>
        <v/>
      </c>
      <c r="P743" s="3" t="str">
        <f t="shared" si="102"/>
        <v/>
      </c>
      <c r="Q743" s="3">
        <f t="shared" si="103"/>
        <v>0</v>
      </c>
      <c r="R743" s="3">
        <f t="shared" si="104"/>
        <v>0</v>
      </c>
      <c r="S743" s="3" t="e" cm="1">
        <f t="array" aca="1" ref="S743" ca="1">SUMPRODUCT(MID($P743,ROW(INDIRECT("1:23")),1)*2^(-ROW(INDIRECT("1:23"))))</f>
        <v>#VALUE!</v>
      </c>
      <c r="T743" s="3" t="e">
        <f t="shared" ca="1" si="105"/>
        <v>#VALUE!</v>
      </c>
      <c r="U743" s="3" t="e">
        <f t="shared" ca="1" si="106"/>
        <v>#VALUE!</v>
      </c>
      <c r="V743" s="73"/>
      <c r="W743" s="9" t="str">
        <f t="shared" si="107"/>
        <v>OK</v>
      </c>
    </row>
    <row r="744" spans="1:23" x14ac:dyDescent="0.3">
      <c r="A744" s="44">
        <v>741</v>
      </c>
      <c r="B744" s="14">
        <v>9</v>
      </c>
      <c r="C744" s="4">
        <v>18</v>
      </c>
      <c r="D744" s="3" t="str">
        <f>VLOOKUP($C744,Overall!$K$5:$T$36,2)</f>
        <v>Normal</v>
      </c>
      <c r="E744" s="3">
        <f ca="1">VLOOKUP($C744,Overall!$K$5:$T$36,10)</f>
        <v>1</v>
      </c>
      <c r="F744" s="9" t="str">
        <f>VLOOKUP($C744,Overall!$K$5:$T$36,6)</f>
        <v>00111111100000000000000000000000</v>
      </c>
      <c r="G744" s="8">
        <v>29</v>
      </c>
      <c r="H744" s="3" t="str">
        <f>VLOOKUP($G744,Overall!$K$5:$T$36,2)</f>
        <v>Normal</v>
      </c>
      <c r="I744" s="3">
        <f ca="1">VLOOKUP($G744,Overall!$K$5:$T$36,10)</f>
        <v>-12345.6787109375</v>
      </c>
      <c r="J744" s="62" t="str">
        <f>VLOOKUP($G744,Overall!$K$5:$T$36,6)</f>
        <v>101000110010000001110011010110111</v>
      </c>
      <c r="K744" s="8">
        <f t="shared" ca="1" si="99"/>
        <v>-12345.6787109375</v>
      </c>
      <c r="L744" s="62">
        <f>VLOOKUP($B744,Overall!$B$5:$I$13,8)</f>
        <v>0</v>
      </c>
      <c r="M744" s="58"/>
      <c r="N744" s="3" t="str">
        <f t="shared" si="100"/>
        <v/>
      </c>
      <c r="O744" s="3" t="str">
        <f t="shared" si="101"/>
        <v/>
      </c>
      <c r="P744" s="3" t="str">
        <f t="shared" si="102"/>
        <v/>
      </c>
      <c r="Q744" s="3">
        <f t="shared" si="103"/>
        <v>0</v>
      </c>
      <c r="R744" s="3">
        <f t="shared" si="104"/>
        <v>0</v>
      </c>
      <c r="S744" s="3" t="e" cm="1">
        <f t="array" aca="1" ref="S744" ca="1">SUMPRODUCT(MID($P744,ROW(INDIRECT("1:23")),1)*2^(-ROW(INDIRECT("1:23"))))</f>
        <v>#VALUE!</v>
      </c>
      <c r="T744" s="3" t="e">
        <f t="shared" ca="1" si="105"/>
        <v>#VALUE!</v>
      </c>
      <c r="U744" s="3" t="e">
        <f t="shared" ca="1" si="106"/>
        <v>#VALUE!</v>
      </c>
      <c r="V744" s="73"/>
      <c r="W744" s="9" t="str">
        <f t="shared" si="107"/>
        <v>OK</v>
      </c>
    </row>
    <row r="745" spans="1:23" x14ac:dyDescent="0.3">
      <c r="A745" s="44">
        <v>742</v>
      </c>
      <c r="B745" s="14">
        <v>9</v>
      </c>
      <c r="C745" s="4">
        <v>18</v>
      </c>
      <c r="D745" s="3" t="str">
        <f>VLOOKUP($C745,Overall!$K$5:$T$36,2)</f>
        <v>Normal</v>
      </c>
      <c r="E745" s="3">
        <f ca="1">VLOOKUP($C745,Overall!$K$5:$T$36,10)</f>
        <v>1</v>
      </c>
      <c r="F745" s="9" t="str">
        <f>VLOOKUP($C745,Overall!$K$5:$T$36,6)</f>
        <v>00111111100000000000000000000000</v>
      </c>
      <c r="G745" s="8">
        <v>30</v>
      </c>
      <c r="H745" s="3" t="str">
        <f>VLOOKUP($G745,Overall!$K$5:$T$36,2)</f>
        <v>Normal</v>
      </c>
      <c r="I745" s="3">
        <f ca="1">VLOOKUP($G745,Overall!$K$5:$T$36,10)</f>
        <v>-2.345678924830959E+38</v>
      </c>
      <c r="J745" s="62" t="str">
        <f>VLOOKUP($G745,Overall!$K$5:$T$36,6)</f>
        <v>11111111001100000111100000100010</v>
      </c>
      <c r="K745" s="8">
        <f t="shared" ca="1" si="99"/>
        <v>-2.345678924830959E+38</v>
      </c>
      <c r="L745" s="62">
        <f>VLOOKUP($B745,Overall!$B$5:$I$13,8)</f>
        <v>0</v>
      </c>
      <c r="M745" s="58"/>
      <c r="N745" s="3" t="str">
        <f t="shared" si="100"/>
        <v/>
      </c>
      <c r="O745" s="3" t="str">
        <f t="shared" si="101"/>
        <v/>
      </c>
      <c r="P745" s="3" t="str">
        <f t="shared" si="102"/>
        <v/>
      </c>
      <c r="Q745" s="3">
        <f t="shared" si="103"/>
        <v>0</v>
      </c>
      <c r="R745" s="3">
        <f t="shared" si="104"/>
        <v>0</v>
      </c>
      <c r="S745" s="3" t="e" cm="1">
        <f t="array" aca="1" ref="S745" ca="1">SUMPRODUCT(MID($P745,ROW(INDIRECT("1:23")),1)*2^(-ROW(INDIRECT("1:23"))))</f>
        <v>#VALUE!</v>
      </c>
      <c r="T745" s="3" t="e">
        <f t="shared" ca="1" si="105"/>
        <v>#VALUE!</v>
      </c>
      <c r="U745" s="3" t="e">
        <f t="shared" ca="1" si="106"/>
        <v>#VALUE!</v>
      </c>
      <c r="V745" s="73"/>
      <c r="W745" s="9" t="str">
        <f t="shared" si="107"/>
        <v>OK</v>
      </c>
    </row>
    <row r="746" spans="1:23" x14ac:dyDescent="0.3">
      <c r="A746" s="44">
        <v>743</v>
      </c>
      <c r="B746" s="14">
        <v>9</v>
      </c>
      <c r="C746" s="4">
        <v>18</v>
      </c>
      <c r="D746" s="3" t="str">
        <f>VLOOKUP($C746,Overall!$K$5:$T$36,2)</f>
        <v>Normal</v>
      </c>
      <c r="E746" s="3">
        <f ca="1">VLOOKUP($C746,Overall!$K$5:$T$36,10)</f>
        <v>1</v>
      </c>
      <c r="F746" s="9" t="str">
        <f>VLOOKUP($C746,Overall!$K$5:$T$36,6)</f>
        <v>00111111100000000000000000000000</v>
      </c>
      <c r="G746" s="8">
        <v>31</v>
      </c>
      <c r="H746" s="3" t="str">
        <f>VLOOKUP($G746,Overall!$K$5:$T$36,2)</f>
        <v>Normal</v>
      </c>
      <c r="I746" s="3">
        <f ca="1">VLOOKUP($G746,Overall!$K$5:$T$36,10)</f>
        <v>-3.4028232635611926E+38</v>
      </c>
      <c r="J746" s="62" t="str">
        <f>VLOOKUP($G746,Overall!$K$5:$T$36,6)</f>
        <v>11111111011111111111111111111110</v>
      </c>
      <c r="K746" s="8">
        <f t="shared" ca="1" si="99"/>
        <v>-3.4028232635611926E+38</v>
      </c>
      <c r="L746" s="62">
        <f>VLOOKUP($B746,Overall!$B$5:$I$13,8)</f>
        <v>0</v>
      </c>
      <c r="M746" s="58"/>
      <c r="N746" s="3" t="str">
        <f t="shared" si="100"/>
        <v/>
      </c>
      <c r="O746" s="3" t="str">
        <f t="shared" si="101"/>
        <v/>
      </c>
      <c r="P746" s="3" t="str">
        <f t="shared" si="102"/>
        <v/>
      </c>
      <c r="Q746" s="3">
        <f t="shared" si="103"/>
        <v>0</v>
      </c>
      <c r="R746" s="3">
        <f t="shared" si="104"/>
        <v>0</v>
      </c>
      <c r="S746" s="3" t="e" cm="1">
        <f t="array" aca="1" ref="S746" ca="1">SUMPRODUCT(MID($P746,ROW(INDIRECT("1:23")),1)*2^(-ROW(INDIRECT("1:23"))))</f>
        <v>#VALUE!</v>
      </c>
      <c r="T746" s="3" t="e">
        <f t="shared" ca="1" si="105"/>
        <v>#VALUE!</v>
      </c>
      <c r="U746" s="3" t="e">
        <f t="shared" ca="1" si="106"/>
        <v>#VALUE!</v>
      </c>
      <c r="V746" s="73"/>
      <c r="W746" s="9" t="str">
        <f t="shared" si="107"/>
        <v>OK</v>
      </c>
    </row>
    <row r="747" spans="1:23" x14ac:dyDescent="0.3">
      <c r="A747" s="44">
        <v>744</v>
      </c>
      <c r="B747" s="14">
        <v>9</v>
      </c>
      <c r="C747" s="4">
        <v>18</v>
      </c>
      <c r="D747" s="3" t="str">
        <f>VLOOKUP($C747,Overall!$K$5:$T$36,2)</f>
        <v>Normal</v>
      </c>
      <c r="E747" s="3">
        <f ca="1">VLOOKUP($C747,Overall!$K$5:$T$36,10)</f>
        <v>1</v>
      </c>
      <c r="F747" s="9" t="str">
        <f>VLOOKUP($C747,Overall!$K$5:$T$36,6)</f>
        <v>00111111100000000000000000000000</v>
      </c>
      <c r="G747" s="8">
        <v>32</v>
      </c>
      <c r="H747" s="3" t="str">
        <f>VLOOKUP($G747,Overall!$K$5:$T$36,2)</f>
        <v>Normal</v>
      </c>
      <c r="I747" s="3">
        <f ca="1">VLOOKUP($G747,Overall!$K$5:$T$36,10)</f>
        <v>-3.4028234663852886E+38</v>
      </c>
      <c r="J747" s="62" t="str">
        <f>VLOOKUP($G747,Overall!$K$5:$T$36,6)</f>
        <v>11111111011111111111111111111111</v>
      </c>
      <c r="K747" s="8">
        <f t="shared" ca="1" si="99"/>
        <v>-3.4028234663852886E+38</v>
      </c>
      <c r="L747" s="62">
        <f>VLOOKUP($B747,Overall!$B$5:$I$13,8)</f>
        <v>0</v>
      </c>
      <c r="M747" s="58"/>
      <c r="N747" s="3" t="str">
        <f t="shared" si="100"/>
        <v/>
      </c>
      <c r="O747" s="3" t="str">
        <f t="shared" si="101"/>
        <v/>
      </c>
      <c r="P747" s="3" t="str">
        <f t="shared" si="102"/>
        <v/>
      </c>
      <c r="Q747" s="3">
        <f t="shared" si="103"/>
        <v>0</v>
      </c>
      <c r="R747" s="3">
        <f t="shared" si="104"/>
        <v>0</v>
      </c>
      <c r="S747" s="3" t="e" cm="1">
        <f t="array" aca="1" ref="S747" ca="1">SUMPRODUCT(MID($P747,ROW(INDIRECT("1:23")),1)*2^(-ROW(INDIRECT("1:23"))))</f>
        <v>#VALUE!</v>
      </c>
      <c r="T747" s="3" t="e">
        <f t="shared" ca="1" si="105"/>
        <v>#VALUE!</v>
      </c>
      <c r="U747" s="3" t="e">
        <f t="shared" ca="1" si="106"/>
        <v>#VALUE!</v>
      </c>
      <c r="V747" s="73"/>
      <c r="W747" s="9" t="str">
        <f t="shared" si="107"/>
        <v>OK</v>
      </c>
    </row>
    <row r="748" spans="1:23" x14ac:dyDescent="0.3">
      <c r="A748" s="44">
        <v>745</v>
      </c>
      <c r="B748" s="14">
        <v>9</v>
      </c>
      <c r="C748" s="4">
        <v>19</v>
      </c>
      <c r="D748" s="3" t="str">
        <f>VLOOKUP($C748,Overall!$K$5:$T$36,2)</f>
        <v>Normal</v>
      </c>
      <c r="E748" s="3">
        <f ca="1">VLOOKUP($C748,Overall!$K$5:$T$36,10)</f>
        <v>1.5</v>
      </c>
      <c r="F748" s="9" t="str">
        <f>VLOOKUP($C748,Overall!$K$5:$T$36,6)</f>
        <v>00111111110000000000000000000000</v>
      </c>
      <c r="G748" s="8">
        <v>13</v>
      </c>
      <c r="H748" s="3" t="str">
        <f>VLOOKUP($G748,Overall!$K$5:$T$36,2)</f>
        <v>Normal</v>
      </c>
      <c r="I748" s="3">
        <f ca="1">VLOOKUP($G748,Overall!$K$5:$T$36,10)</f>
        <v>0</v>
      </c>
      <c r="J748" s="62" t="str">
        <f>VLOOKUP($G748,Overall!$K$5:$T$36,6)</f>
        <v>00000000000000000000000000000000</v>
      </c>
      <c r="K748" s="8">
        <f t="shared" ca="1" si="99"/>
        <v>0</v>
      </c>
      <c r="L748" s="62">
        <f>VLOOKUP($B748,Overall!$B$5:$I$13,8)</f>
        <v>0</v>
      </c>
      <c r="M748" s="58"/>
      <c r="N748" s="3" t="str">
        <f t="shared" si="100"/>
        <v/>
      </c>
      <c r="O748" s="3" t="str">
        <f t="shared" si="101"/>
        <v/>
      </c>
      <c r="P748" s="3" t="str">
        <f t="shared" si="102"/>
        <v/>
      </c>
      <c r="Q748" s="3">
        <f t="shared" si="103"/>
        <v>0</v>
      </c>
      <c r="R748" s="3">
        <f t="shared" si="104"/>
        <v>0</v>
      </c>
      <c r="S748" s="3" t="e" cm="1">
        <f t="array" aca="1" ref="S748" ca="1">SUMPRODUCT(MID($P748,ROW(INDIRECT("1:23")),1)*2^(-ROW(INDIRECT("1:23"))))</f>
        <v>#VALUE!</v>
      </c>
      <c r="T748" s="3" t="e">
        <f t="shared" ca="1" si="105"/>
        <v>#VALUE!</v>
      </c>
      <c r="U748" s="3" t="e">
        <f t="shared" ca="1" si="106"/>
        <v>#VALUE!</v>
      </c>
      <c r="V748" s="73"/>
      <c r="W748" s="9" t="str">
        <f t="shared" si="107"/>
        <v>OK</v>
      </c>
    </row>
    <row r="749" spans="1:23" x14ac:dyDescent="0.3">
      <c r="A749" s="44">
        <v>746</v>
      </c>
      <c r="B749" s="14">
        <v>9</v>
      </c>
      <c r="C749" s="4">
        <v>19</v>
      </c>
      <c r="D749" s="3" t="str">
        <f>VLOOKUP($C749,Overall!$K$5:$T$36,2)</f>
        <v>Normal</v>
      </c>
      <c r="E749" s="3">
        <f ca="1">VLOOKUP($C749,Overall!$K$5:$T$36,10)</f>
        <v>1.5</v>
      </c>
      <c r="F749" s="9" t="str">
        <f>VLOOKUP($C749,Overall!$K$5:$T$36,6)</f>
        <v>00111111110000000000000000000000</v>
      </c>
      <c r="G749" s="8">
        <v>14</v>
      </c>
      <c r="H749" s="3" t="str">
        <f>VLOOKUP($G749,Overall!$K$5:$T$36,2)</f>
        <v>Normal</v>
      </c>
      <c r="I749" s="3">
        <f ca="1">VLOOKUP($G749,Overall!$K$5:$T$36,10)</f>
        <v>0</v>
      </c>
      <c r="J749" s="62" t="str">
        <f>VLOOKUP($G749,Overall!$K$5:$T$36,6)</f>
        <v>10000000000000000000000000000000</v>
      </c>
      <c r="K749" s="8">
        <f t="shared" ca="1" si="99"/>
        <v>0</v>
      </c>
      <c r="L749" s="62">
        <f>VLOOKUP($B749,Overall!$B$5:$I$13,8)</f>
        <v>0</v>
      </c>
      <c r="M749" s="58"/>
      <c r="N749" s="3" t="str">
        <f t="shared" si="100"/>
        <v/>
      </c>
      <c r="O749" s="3" t="str">
        <f t="shared" si="101"/>
        <v/>
      </c>
      <c r="P749" s="3" t="str">
        <f t="shared" si="102"/>
        <v/>
      </c>
      <c r="Q749" s="3">
        <f t="shared" si="103"/>
        <v>0</v>
      </c>
      <c r="R749" s="3">
        <f t="shared" si="104"/>
        <v>0</v>
      </c>
      <c r="S749" s="3" t="e" cm="1">
        <f t="array" aca="1" ref="S749" ca="1">SUMPRODUCT(MID($P749,ROW(INDIRECT("1:23")),1)*2^(-ROW(INDIRECT("1:23"))))</f>
        <v>#VALUE!</v>
      </c>
      <c r="T749" s="3" t="e">
        <f t="shared" ca="1" si="105"/>
        <v>#VALUE!</v>
      </c>
      <c r="U749" s="3" t="e">
        <f t="shared" ca="1" si="106"/>
        <v>#VALUE!</v>
      </c>
      <c r="V749" s="73"/>
      <c r="W749" s="9" t="str">
        <f t="shared" si="107"/>
        <v>OK</v>
      </c>
    </row>
    <row r="750" spans="1:23" x14ac:dyDescent="0.3">
      <c r="A750" s="44">
        <v>747</v>
      </c>
      <c r="B750" s="14">
        <v>9</v>
      </c>
      <c r="C750" s="4">
        <v>19</v>
      </c>
      <c r="D750" s="3" t="str">
        <f>VLOOKUP($C750,Overall!$K$5:$T$36,2)</f>
        <v>Normal</v>
      </c>
      <c r="E750" s="3">
        <f ca="1">VLOOKUP($C750,Overall!$K$5:$T$36,10)</f>
        <v>1.5</v>
      </c>
      <c r="F750" s="9" t="str">
        <f>VLOOKUP($C750,Overall!$K$5:$T$36,6)</f>
        <v>00111111110000000000000000000000</v>
      </c>
      <c r="G750" s="8">
        <v>15</v>
      </c>
      <c r="H750" s="3" t="str">
        <f>VLOOKUP($G750,Overall!$K$5:$T$36,2)</f>
        <v>Normal</v>
      </c>
      <c r="I750" s="3">
        <f ca="1">VLOOKUP($G750,Overall!$K$5:$T$36,10)</f>
        <v>1.1754943508222875E-38</v>
      </c>
      <c r="J750" s="62" t="str">
        <f>VLOOKUP($G750,Overall!$K$5:$T$36,6)</f>
        <v>00000000100000000000000000000000</v>
      </c>
      <c r="K750" s="8">
        <f t="shared" ca="1" si="99"/>
        <v>1.7632415262334313E-38</v>
      </c>
      <c r="L750" s="62">
        <f>VLOOKUP($B750,Overall!$B$5:$I$13,8)</f>
        <v>0</v>
      </c>
      <c r="M750" s="58"/>
      <c r="N750" s="3" t="str">
        <f t="shared" si="100"/>
        <v/>
      </c>
      <c r="O750" s="3" t="str">
        <f t="shared" si="101"/>
        <v/>
      </c>
      <c r="P750" s="3" t="str">
        <f t="shared" si="102"/>
        <v/>
      </c>
      <c r="Q750" s="3">
        <f t="shared" si="103"/>
        <v>0</v>
      </c>
      <c r="R750" s="3">
        <f t="shared" si="104"/>
        <v>0</v>
      </c>
      <c r="S750" s="3" t="e" cm="1">
        <f t="array" aca="1" ref="S750" ca="1">SUMPRODUCT(MID($P750,ROW(INDIRECT("1:23")),1)*2^(-ROW(INDIRECT("1:23"))))</f>
        <v>#VALUE!</v>
      </c>
      <c r="T750" s="3" t="e">
        <f t="shared" ca="1" si="105"/>
        <v>#VALUE!</v>
      </c>
      <c r="U750" s="3" t="e">
        <f t="shared" ca="1" si="106"/>
        <v>#VALUE!</v>
      </c>
      <c r="V750" s="73"/>
      <c r="W750" s="9" t="str">
        <f t="shared" si="107"/>
        <v>OK</v>
      </c>
    </row>
    <row r="751" spans="1:23" x14ac:dyDescent="0.3">
      <c r="A751" s="44">
        <v>748</v>
      </c>
      <c r="B751" s="14">
        <v>9</v>
      </c>
      <c r="C751" s="4">
        <v>19</v>
      </c>
      <c r="D751" s="3" t="str">
        <f>VLOOKUP($C751,Overall!$K$5:$T$36,2)</f>
        <v>Normal</v>
      </c>
      <c r="E751" s="3">
        <f ca="1">VLOOKUP($C751,Overall!$K$5:$T$36,10)</f>
        <v>1.5</v>
      </c>
      <c r="F751" s="9" t="str">
        <f>VLOOKUP($C751,Overall!$K$5:$T$36,6)</f>
        <v>00111111110000000000000000000000</v>
      </c>
      <c r="G751" s="8">
        <v>16</v>
      </c>
      <c r="H751" s="3" t="str">
        <f>VLOOKUP($G751,Overall!$K$5:$T$36,2)</f>
        <v>Normal</v>
      </c>
      <c r="I751" s="3">
        <f ca="1">VLOOKUP($G751,Overall!$K$5:$T$36,10)</f>
        <v>1.1754944909521339E-38</v>
      </c>
      <c r="J751" s="62" t="str">
        <f>VLOOKUP($G751,Overall!$K$5:$T$36,6)</f>
        <v>00000000100000000000000000000001</v>
      </c>
      <c r="K751" s="8">
        <f t="shared" ca="1" si="99"/>
        <v>1.7632417364282009E-38</v>
      </c>
      <c r="L751" s="62">
        <f>VLOOKUP($B751,Overall!$B$5:$I$13,8)</f>
        <v>0</v>
      </c>
      <c r="M751" s="58"/>
      <c r="N751" s="3" t="str">
        <f t="shared" si="100"/>
        <v/>
      </c>
      <c r="O751" s="3" t="str">
        <f t="shared" si="101"/>
        <v/>
      </c>
      <c r="P751" s="3" t="str">
        <f t="shared" si="102"/>
        <v/>
      </c>
      <c r="Q751" s="3">
        <f t="shared" si="103"/>
        <v>0</v>
      </c>
      <c r="R751" s="3">
        <f t="shared" si="104"/>
        <v>0</v>
      </c>
      <c r="S751" s="3" t="e" cm="1">
        <f t="array" aca="1" ref="S751" ca="1">SUMPRODUCT(MID($P751,ROW(INDIRECT("1:23")),1)*2^(-ROW(INDIRECT("1:23"))))</f>
        <v>#VALUE!</v>
      </c>
      <c r="T751" s="3" t="e">
        <f t="shared" ca="1" si="105"/>
        <v>#VALUE!</v>
      </c>
      <c r="U751" s="3" t="e">
        <f t="shared" ca="1" si="106"/>
        <v>#VALUE!</v>
      </c>
      <c r="V751" s="73"/>
      <c r="W751" s="9" t="str">
        <f t="shared" si="107"/>
        <v>OK</v>
      </c>
    </row>
    <row r="752" spans="1:23" x14ac:dyDescent="0.3">
      <c r="A752" s="44">
        <v>749</v>
      </c>
      <c r="B752" s="14">
        <v>9</v>
      </c>
      <c r="C752" s="4">
        <v>19</v>
      </c>
      <c r="D752" s="3" t="str">
        <f>VLOOKUP($C752,Overall!$K$5:$T$36,2)</f>
        <v>Normal</v>
      </c>
      <c r="E752" s="3">
        <f ca="1">VLOOKUP($C752,Overall!$K$5:$T$36,10)</f>
        <v>1.5</v>
      </c>
      <c r="F752" s="9" t="str">
        <f>VLOOKUP($C752,Overall!$K$5:$T$36,6)</f>
        <v>00111111110000000000000000000000</v>
      </c>
      <c r="G752" s="8">
        <v>17</v>
      </c>
      <c r="H752" s="3" t="str">
        <f>VLOOKUP($G752,Overall!$K$5:$T$36,2)</f>
        <v>Normal</v>
      </c>
      <c r="I752" s="3">
        <f ca="1">VLOOKUP($G752,Overall!$K$5:$T$36,10)</f>
        <v>0.5</v>
      </c>
      <c r="J752" s="62" t="str">
        <f>VLOOKUP($G752,Overall!$K$5:$T$36,6)</f>
        <v>00111111000000000000000000000000</v>
      </c>
      <c r="K752" s="8">
        <f t="shared" ca="1" si="99"/>
        <v>0.75</v>
      </c>
      <c r="L752" s="62">
        <f>VLOOKUP($B752,Overall!$B$5:$I$13,8)</f>
        <v>0</v>
      </c>
      <c r="M752" s="58"/>
      <c r="N752" s="3" t="str">
        <f t="shared" si="100"/>
        <v/>
      </c>
      <c r="O752" s="3" t="str">
        <f t="shared" si="101"/>
        <v/>
      </c>
      <c r="P752" s="3" t="str">
        <f t="shared" si="102"/>
        <v/>
      </c>
      <c r="Q752" s="3">
        <f t="shared" si="103"/>
        <v>0</v>
      </c>
      <c r="R752" s="3">
        <f t="shared" si="104"/>
        <v>0</v>
      </c>
      <c r="S752" s="3" t="e" cm="1">
        <f t="array" aca="1" ref="S752" ca="1">SUMPRODUCT(MID($P752,ROW(INDIRECT("1:23")),1)*2^(-ROW(INDIRECT("1:23"))))</f>
        <v>#VALUE!</v>
      </c>
      <c r="T752" s="3" t="e">
        <f t="shared" ca="1" si="105"/>
        <v>#VALUE!</v>
      </c>
      <c r="U752" s="3" t="e">
        <f t="shared" ca="1" si="106"/>
        <v>#VALUE!</v>
      </c>
      <c r="V752" s="73"/>
      <c r="W752" s="9" t="str">
        <f t="shared" si="107"/>
        <v>OK</v>
      </c>
    </row>
    <row r="753" spans="1:23" x14ac:dyDescent="0.3">
      <c r="A753" s="44">
        <v>750</v>
      </c>
      <c r="B753" s="14">
        <v>9</v>
      </c>
      <c r="C753" s="4">
        <v>19</v>
      </c>
      <c r="D753" s="3" t="str">
        <f>VLOOKUP($C753,Overall!$K$5:$T$36,2)</f>
        <v>Normal</v>
      </c>
      <c r="E753" s="3">
        <f ca="1">VLOOKUP($C753,Overall!$K$5:$T$36,10)</f>
        <v>1.5</v>
      </c>
      <c r="F753" s="9" t="str">
        <f>VLOOKUP($C753,Overall!$K$5:$T$36,6)</f>
        <v>00111111110000000000000000000000</v>
      </c>
      <c r="G753" s="8">
        <v>18</v>
      </c>
      <c r="H753" s="3" t="str">
        <f>VLOOKUP($G753,Overall!$K$5:$T$36,2)</f>
        <v>Normal</v>
      </c>
      <c r="I753" s="3">
        <f ca="1">VLOOKUP($G753,Overall!$K$5:$T$36,10)</f>
        <v>1</v>
      </c>
      <c r="J753" s="62" t="str">
        <f>VLOOKUP($G753,Overall!$K$5:$T$36,6)</f>
        <v>00111111100000000000000000000000</v>
      </c>
      <c r="K753" s="8">
        <f t="shared" ca="1" si="99"/>
        <v>1.5</v>
      </c>
      <c r="L753" s="62">
        <f>VLOOKUP($B753,Overall!$B$5:$I$13,8)</f>
        <v>0</v>
      </c>
      <c r="M753" s="58"/>
      <c r="N753" s="3" t="str">
        <f t="shared" si="100"/>
        <v/>
      </c>
      <c r="O753" s="3" t="str">
        <f t="shared" si="101"/>
        <v/>
      </c>
      <c r="P753" s="3" t="str">
        <f t="shared" si="102"/>
        <v/>
      </c>
      <c r="Q753" s="3">
        <f t="shared" si="103"/>
        <v>0</v>
      </c>
      <c r="R753" s="3">
        <f t="shared" si="104"/>
        <v>0</v>
      </c>
      <c r="S753" s="3" t="e" cm="1">
        <f t="array" aca="1" ref="S753" ca="1">SUMPRODUCT(MID($P753,ROW(INDIRECT("1:23")),1)*2^(-ROW(INDIRECT("1:23"))))</f>
        <v>#VALUE!</v>
      </c>
      <c r="T753" s="3" t="e">
        <f t="shared" ca="1" si="105"/>
        <v>#VALUE!</v>
      </c>
      <c r="U753" s="3" t="e">
        <f t="shared" ca="1" si="106"/>
        <v>#VALUE!</v>
      </c>
      <c r="V753" s="73"/>
      <c r="W753" s="9" t="str">
        <f t="shared" si="107"/>
        <v>OK</v>
      </c>
    </row>
    <row r="754" spans="1:23" x14ac:dyDescent="0.3">
      <c r="A754" s="44">
        <v>751</v>
      </c>
      <c r="B754" s="14">
        <v>9</v>
      </c>
      <c r="C754" s="4">
        <v>19</v>
      </c>
      <c r="D754" s="3" t="str">
        <f>VLOOKUP($C754,Overall!$K$5:$T$36,2)</f>
        <v>Normal</v>
      </c>
      <c r="E754" s="3">
        <f ca="1">VLOOKUP($C754,Overall!$K$5:$T$36,10)</f>
        <v>1.5</v>
      </c>
      <c r="F754" s="9" t="str">
        <f>VLOOKUP($C754,Overall!$K$5:$T$36,6)</f>
        <v>00111111110000000000000000000000</v>
      </c>
      <c r="G754" s="8">
        <v>19</v>
      </c>
      <c r="H754" s="3" t="str">
        <f>VLOOKUP($G754,Overall!$K$5:$T$36,2)</f>
        <v>Normal</v>
      </c>
      <c r="I754" s="3">
        <f ca="1">VLOOKUP($G754,Overall!$K$5:$T$36,10)</f>
        <v>1.5</v>
      </c>
      <c r="J754" s="62" t="str">
        <f>VLOOKUP($G754,Overall!$K$5:$T$36,6)</f>
        <v>00111111110000000000000000000000</v>
      </c>
      <c r="K754" s="8">
        <f t="shared" ca="1" si="99"/>
        <v>2.25</v>
      </c>
      <c r="L754" s="62">
        <f>VLOOKUP($B754,Overall!$B$5:$I$13,8)</f>
        <v>0</v>
      </c>
      <c r="M754" s="58"/>
      <c r="N754" s="3" t="str">
        <f t="shared" si="100"/>
        <v/>
      </c>
      <c r="O754" s="3" t="str">
        <f t="shared" si="101"/>
        <v/>
      </c>
      <c r="P754" s="3" t="str">
        <f t="shared" si="102"/>
        <v/>
      </c>
      <c r="Q754" s="3">
        <f t="shared" si="103"/>
        <v>0</v>
      </c>
      <c r="R754" s="3">
        <f t="shared" si="104"/>
        <v>0</v>
      </c>
      <c r="S754" s="3" t="e" cm="1">
        <f t="array" aca="1" ref="S754" ca="1">SUMPRODUCT(MID($P754,ROW(INDIRECT("1:23")),1)*2^(-ROW(INDIRECT("1:23"))))</f>
        <v>#VALUE!</v>
      </c>
      <c r="T754" s="3" t="e">
        <f t="shared" ca="1" si="105"/>
        <v>#VALUE!</v>
      </c>
      <c r="U754" s="3" t="e">
        <f t="shared" ca="1" si="106"/>
        <v>#VALUE!</v>
      </c>
      <c r="V754" s="73"/>
      <c r="W754" s="9" t="str">
        <f t="shared" si="107"/>
        <v>OK</v>
      </c>
    </row>
    <row r="755" spans="1:23" x14ac:dyDescent="0.3">
      <c r="A755" s="44">
        <v>752</v>
      </c>
      <c r="B755" s="14">
        <v>9</v>
      </c>
      <c r="C755" s="4">
        <v>19</v>
      </c>
      <c r="D755" s="3" t="str">
        <f>VLOOKUP($C755,Overall!$K$5:$T$36,2)</f>
        <v>Normal</v>
      </c>
      <c r="E755" s="3">
        <f ca="1">VLOOKUP($C755,Overall!$K$5:$T$36,10)</f>
        <v>1.5</v>
      </c>
      <c r="F755" s="9" t="str">
        <f>VLOOKUP($C755,Overall!$K$5:$T$36,6)</f>
        <v>00111111110000000000000000000000</v>
      </c>
      <c r="G755" s="8">
        <v>20</v>
      </c>
      <c r="H755" s="3" t="str">
        <f>VLOOKUP($G755,Overall!$K$5:$T$36,2)</f>
        <v>Normal</v>
      </c>
      <c r="I755" s="3">
        <f ca="1">VLOOKUP($G755,Overall!$K$5:$T$36,10)</f>
        <v>12345.6787109375</v>
      </c>
      <c r="J755" s="62" t="str">
        <f>VLOOKUP($G755,Overall!$K$5:$T$36,6)</f>
        <v>001000110010000001110011010110111</v>
      </c>
      <c r="K755" s="8">
        <f t="shared" ca="1" si="99"/>
        <v>18518.51806640625</v>
      </c>
      <c r="L755" s="62">
        <f>VLOOKUP($B755,Overall!$B$5:$I$13,8)</f>
        <v>0</v>
      </c>
      <c r="M755" s="58"/>
      <c r="N755" s="3" t="str">
        <f t="shared" si="100"/>
        <v/>
      </c>
      <c r="O755" s="3" t="str">
        <f t="shared" si="101"/>
        <v/>
      </c>
      <c r="P755" s="3" t="str">
        <f t="shared" si="102"/>
        <v/>
      </c>
      <c r="Q755" s="3">
        <f t="shared" si="103"/>
        <v>0</v>
      </c>
      <c r="R755" s="3">
        <f t="shared" si="104"/>
        <v>0</v>
      </c>
      <c r="S755" s="3" t="e" cm="1">
        <f t="array" aca="1" ref="S755" ca="1">SUMPRODUCT(MID($P755,ROW(INDIRECT("1:23")),1)*2^(-ROW(INDIRECT("1:23"))))</f>
        <v>#VALUE!</v>
      </c>
      <c r="T755" s="3" t="e">
        <f t="shared" ca="1" si="105"/>
        <v>#VALUE!</v>
      </c>
      <c r="U755" s="3" t="e">
        <f t="shared" ca="1" si="106"/>
        <v>#VALUE!</v>
      </c>
      <c r="V755" s="73"/>
      <c r="W755" s="9" t="str">
        <f t="shared" si="107"/>
        <v>OK</v>
      </c>
    </row>
    <row r="756" spans="1:23" x14ac:dyDescent="0.3">
      <c r="A756" s="44">
        <v>753</v>
      </c>
      <c r="B756" s="14">
        <v>9</v>
      </c>
      <c r="C756" s="4">
        <v>19</v>
      </c>
      <c r="D756" s="3" t="str">
        <f>VLOOKUP($C756,Overall!$K$5:$T$36,2)</f>
        <v>Normal</v>
      </c>
      <c r="E756" s="3">
        <f ca="1">VLOOKUP($C756,Overall!$K$5:$T$36,10)</f>
        <v>1.5</v>
      </c>
      <c r="F756" s="9" t="str">
        <f>VLOOKUP($C756,Overall!$K$5:$T$36,6)</f>
        <v>00111111110000000000000000000000</v>
      </c>
      <c r="G756" s="8">
        <v>21</v>
      </c>
      <c r="H756" s="3" t="str">
        <f>VLOOKUP($G756,Overall!$K$5:$T$36,2)</f>
        <v>Normal</v>
      </c>
      <c r="I756" s="3">
        <f ca="1">VLOOKUP($G756,Overall!$K$5:$T$36,10)</f>
        <v>2.345678924830959E+38</v>
      </c>
      <c r="J756" s="62" t="str">
        <f>VLOOKUP($G756,Overall!$K$5:$T$36,6)</f>
        <v>01111111001100000111100000100010</v>
      </c>
      <c r="K756" s="8">
        <f t="shared" ca="1" si="99"/>
        <v>3.5185183872464385E+38</v>
      </c>
      <c r="L756" s="62">
        <f>VLOOKUP($B756,Overall!$B$5:$I$13,8)</f>
        <v>0</v>
      </c>
      <c r="M756" s="58"/>
      <c r="N756" s="3" t="str">
        <f t="shared" si="100"/>
        <v/>
      </c>
      <c r="O756" s="3" t="str">
        <f t="shared" si="101"/>
        <v/>
      </c>
      <c r="P756" s="3" t="str">
        <f t="shared" si="102"/>
        <v/>
      </c>
      <c r="Q756" s="3">
        <f t="shared" si="103"/>
        <v>0</v>
      </c>
      <c r="R756" s="3">
        <f t="shared" si="104"/>
        <v>0</v>
      </c>
      <c r="S756" s="3" t="e" cm="1">
        <f t="array" aca="1" ref="S756" ca="1">SUMPRODUCT(MID($P756,ROW(INDIRECT("1:23")),1)*2^(-ROW(INDIRECT("1:23"))))</f>
        <v>#VALUE!</v>
      </c>
      <c r="T756" s="3" t="e">
        <f t="shared" ca="1" si="105"/>
        <v>#VALUE!</v>
      </c>
      <c r="U756" s="3" t="e">
        <f t="shared" ca="1" si="106"/>
        <v>#VALUE!</v>
      </c>
      <c r="V756" s="73"/>
      <c r="W756" s="9" t="str">
        <f t="shared" si="107"/>
        <v>OK</v>
      </c>
    </row>
    <row r="757" spans="1:23" x14ac:dyDescent="0.3">
      <c r="A757" s="44">
        <v>754</v>
      </c>
      <c r="B757" s="14">
        <v>9</v>
      </c>
      <c r="C757" s="4">
        <v>19</v>
      </c>
      <c r="D757" s="3" t="str">
        <f>VLOOKUP($C757,Overall!$K$5:$T$36,2)</f>
        <v>Normal</v>
      </c>
      <c r="E757" s="3">
        <f ca="1">VLOOKUP($C757,Overall!$K$5:$T$36,10)</f>
        <v>1.5</v>
      </c>
      <c r="F757" s="9" t="str">
        <f>VLOOKUP($C757,Overall!$K$5:$T$36,6)</f>
        <v>00111111110000000000000000000000</v>
      </c>
      <c r="G757" s="8">
        <v>22</v>
      </c>
      <c r="H757" s="3" t="str">
        <f>VLOOKUP($G757,Overall!$K$5:$T$36,2)</f>
        <v>Normal</v>
      </c>
      <c r="I757" s="3">
        <f ca="1">VLOOKUP($G757,Overall!$K$5:$T$36,10)</f>
        <v>3.4028232635611926E+38</v>
      </c>
      <c r="J757" s="62" t="str">
        <f>VLOOKUP($G757,Overall!$K$5:$T$36,6)</f>
        <v>01111111011111111111111111111110</v>
      </c>
      <c r="K757" s="8">
        <f t="shared" ca="1" si="99"/>
        <v>5.1042348953417888E+38</v>
      </c>
      <c r="L757" s="62">
        <f>VLOOKUP($B757,Overall!$B$5:$I$13,8)</f>
        <v>0</v>
      </c>
      <c r="M757" s="58"/>
      <c r="N757" s="3" t="str">
        <f t="shared" si="100"/>
        <v/>
      </c>
      <c r="O757" s="3" t="str">
        <f t="shared" si="101"/>
        <v/>
      </c>
      <c r="P757" s="3" t="str">
        <f t="shared" si="102"/>
        <v/>
      </c>
      <c r="Q757" s="3">
        <f t="shared" si="103"/>
        <v>0</v>
      </c>
      <c r="R757" s="3">
        <f t="shared" si="104"/>
        <v>0</v>
      </c>
      <c r="S757" s="3" t="e" cm="1">
        <f t="array" aca="1" ref="S757" ca="1">SUMPRODUCT(MID($P757,ROW(INDIRECT("1:23")),1)*2^(-ROW(INDIRECT("1:23"))))</f>
        <v>#VALUE!</v>
      </c>
      <c r="T757" s="3" t="e">
        <f t="shared" ca="1" si="105"/>
        <v>#VALUE!</v>
      </c>
      <c r="U757" s="3" t="e">
        <f t="shared" ca="1" si="106"/>
        <v>#VALUE!</v>
      </c>
      <c r="V757" s="73"/>
      <c r="W757" s="9" t="str">
        <f t="shared" si="107"/>
        <v>OK</v>
      </c>
    </row>
    <row r="758" spans="1:23" x14ac:dyDescent="0.3">
      <c r="A758" s="44">
        <v>755</v>
      </c>
      <c r="B758" s="14">
        <v>9</v>
      </c>
      <c r="C758" s="4">
        <v>19</v>
      </c>
      <c r="D758" s="3" t="str">
        <f>VLOOKUP($C758,Overall!$K$5:$T$36,2)</f>
        <v>Normal</v>
      </c>
      <c r="E758" s="3">
        <f ca="1">VLOOKUP($C758,Overall!$K$5:$T$36,10)</f>
        <v>1.5</v>
      </c>
      <c r="F758" s="9" t="str">
        <f>VLOOKUP($C758,Overall!$K$5:$T$36,6)</f>
        <v>00111111110000000000000000000000</v>
      </c>
      <c r="G758" s="8">
        <v>23</v>
      </c>
      <c r="H758" s="3" t="str">
        <f>VLOOKUP($G758,Overall!$K$5:$T$36,2)</f>
        <v>Normal</v>
      </c>
      <c r="I758" s="3">
        <f ca="1">VLOOKUP($G758,Overall!$K$5:$T$36,10)</f>
        <v>3.4028234663852886E+38</v>
      </c>
      <c r="J758" s="62" t="str">
        <f>VLOOKUP($G758,Overall!$K$5:$T$36,6)</f>
        <v>01111111011111111111111111111111</v>
      </c>
      <c r="K758" s="8">
        <f t="shared" ca="1" si="99"/>
        <v>5.1042351995779329E+38</v>
      </c>
      <c r="L758" s="62">
        <f>VLOOKUP($B758,Overall!$B$5:$I$13,8)</f>
        <v>0</v>
      </c>
      <c r="M758" s="58"/>
      <c r="N758" s="3" t="str">
        <f t="shared" si="100"/>
        <v/>
      </c>
      <c r="O758" s="3" t="str">
        <f t="shared" si="101"/>
        <v/>
      </c>
      <c r="P758" s="3" t="str">
        <f t="shared" si="102"/>
        <v/>
      </c>
      <c r="Q758" s="3">
        <f t="shared" si="103"/>
        <v>0</v>
      </c>
      <c r="R758" s="3">
        <f t="shared" si="104"/>
        <v>0</v>
      </c>
      <c r="S758" s="3" t="e" cm="1">
        <f t="array" aca="1" ref="S758" ca="1">SUMPRODUCT(MID($P758,ROW(INDIRECT("1:23")),1)*2^(-ROW(INDIRECT("1:23"))))</f>
        <v>#VALUE!</v>
      </c>
      <c r="T758" s="3" t="e">
        <f t="shared" ca="1" si="105"/>
        <v>#VALUE!</v>
      </c>
      <c r="U758" s="3" t="e">
        <f t="shared" ca="1" si="106"/>
        <v>#VALUE!</v>
      </c>
      <c r="V758" s="73"/>
      <c r="W758" s="9" t="str">
        <f t="shared" si="107"/>
        <v>OK</v>
      </c>
    </row>
    <row r="759" spans="1:23" x14ac:dyDescent="0.3">
      <c r="A759" s="44">
        <v>756</v>
      </c>
      <c r="B759" s="14">
        <v>9</v>
      </c>
      <c r="C759" s="4">
        <v>19</v>
      </c>
      <c r="D759" s="3" t="str">
        <f>VLOOKUP($C759,Overall!$K$5:$T$36,2)</f>
        <v>Normal</v>
      </c>
      <c r="E759" s="3">
        <f ca="1">VLOOKUP($C759,Overall!$K$5:$T$36,10)</f>
        <v>1.5</v>
      </c>
      <c r="F759" s="9" t="str">
        <f>VLOOKUP($C759,Overall!$K$5:$T$36,6)</f>
        <v>00111111110000000000000000000000</v>
      </c>
      <c r="G759" s="8">
        <v>24</v>
      </c>
      <c r="H759" s="3" t="str">
        <f>VLOOKUP($G759,Overall!$K$5:$T$36,2)</f>
        <v>Normal</v>
      </c>
      <c r="I759" s="3">
        <f ca="1">VLOOKUP($G759,Overall!$K$5:$T$36,10)</f>
        <v>-1.1754943508222875E-38</v>
      </c>
      <c r="J759" s="62" t="str">
        <f>VLOOKUP($G759,Overall!$K$5:$T$36,6)</f>
        <v>10000000100000000000000000000000</v>
      </c>
      <c r="K759" s="8">
        <f t="shared" ca="1" si="99"/>
        <v>-1.7632415262334313E-38</v>
      </c>
      <c r="L759" s="62">
        <f>VLOOKUP($B759,Overall!$B$5:$I$13,8)</f>
        <v>0</v>
      </c>
      <c r="M759" s="58"/>
      <c r="N759" s="3" t="str">
        <f t="shared" si="100"/>
        <v/>
      </c>
      <c r="O759" s="3" t="str">
        <f t="shared" si="101"/>
        <v/>
      </c>
      <c r="P759" s="3" t="str">
        <f t="shared" si="102"/>
        <v/>
      </c>
      <c r="Q759" s="3">
        <f t="shared" si="103"/>
        <v>0</v>
      </c>
      <c r="R759" s="3">
        <f t="shared" si="104"/>
        <v>0</v>
      </c>
      <c r="S759" s="3" t="e" cm="1">
        <f t="array" aca="1" ref="S759" ca="1">SUMPRODUCT(MID($P759,ROW(INDIRECT("1:23")),1)*2^(-ROW(INDIRECT("1:23"))))</f>
        <v>#VALUE!</v>
      </c>
      <c r="T759" s="3" t="e">
        <f t="shared" ca="1" si="105"/>
        <v>#VALUE!</v>
      </c>
      <c r="U759" s="3" t="e">
        <f t="shared" ca="1" si="106"/>
        <v>#VALUE!</v>
      </c>
      <c r="V759" s="73"/>
      <c r="W759" s="9" t="str">
        <f t="shared" si="107"/>
        <v>OK</v>
      </c>
    </row>
    <row r="760" spans="1:23" x14ac:dyDescent="0.3">
      <c r="A760" s="44">
        <v>757</v>
      </c>
      <c r="B760" s="14">
        <v>9</v>
      </c>
      <c r="C760" s="4">
        <v>19</v>
      </c>
      <c r="D760" s="3" t="str">
        <f>VLOOKUP($C760,Overall!$K$5:$T$36,2)</f>
        <v>Normal</v>
      </c>
      <c r="E760" s="3">
        <f ca="1">VLOOKUP($C760,Overall!$K$5:$T$36,10)</f>
        <v>1.5</v>
      </c>
      <c r="F760" s="9" t="str">
        <f>VLOOKUP($C760,Overall!$K$5:$T$36,6)</f>
        <v>00111111110000000000000000000000</v>
      </c>
      <c r="G760" s="8">
        <v>25</v>
      </c>
      <c r="H760" s="3" t="str">
        <f>VLOOKUP($G760,Overall!$K$5:$T$36,2)</f>
        <v>Normal</v>
      </c>
      <c r="I760" s="3">
        <f ca="1">VLOOKUP($G760,Overall!$K$5:$T$36,10)</f>
        <v>-1.1754944909521339E-38</v>
      </c>
      <c r="J760" s="62" t="str">
        <f>VLOOKUP($G760,Overall!$K$5:$T$36,6)</f>
        <v>10000000100000000000000000000001</v>
      </c>
      <c r="K760" s="8">
        <f t="shared" ca="1" si="99"/>
        <v>-1.7632417364282009E-38</v>
      </c>
      <c r="L760" s="62">
        <f>VLOOKUP($B760,Overall!$B$5:$I$13,8)</f>
        <v>0</v>
      </c>
      <c r="M760" s="58"/>
      <c r="N760" s="3" t="str">
        <f t="shared" si="100"/>
        <v/>
      </c>
      <c r="O760" s="3" t="str">
        <f t="shared" si="101"/>
        <v/>
      </c>
      <c r="P760" s="3" t="str">
        <f t="shared" si="102"/>
        <v/>
      </c>
      <c r="Q760" s="3">
        <f t="shared" si="103"/>
        <v>0</v>
      </c>
      <c r="R760" s="3">
        <f t="shared" si="104"/>
        <v>0</v>
      </c>
      <c r="S760" s="3" t="e" cm="1">
        <f t="array" aca="1" ref="S760" ca="1">SUMPRODUCT(MID($P760,ROW(INDIRECT("1:23")),1)*2^(-ROW(INDIRECT("1:23"))))</f>
        <v>#VALUE!</v>
      </c>
      <c r="T760" s="3" t="e">
        <f t="shared" ca="1" si="105"/>
        <v>#VALUE!</v>
      </c>
      <c r="U760" s="3" t="e">
        <f t="shared" ca="1" si="106"/>
        <v>#VALUE!</v>
      </c>
      <c r="V760" s="73"/>
      <c r="W760" s="9" t="str">
        <f t="shared" si="107"/>
        <v>OK</v>
      </c>
    </row>
    <row r="761" spans="1:23" x14ac:dyDescent="0.3">
      <c r="A761" s="44">
        <v>758</v>
      </c>
      <c r="B761" s="14">
        <v>9</v>
      </c>
      <c r="C761" s="4">
        <v>19</v>
      </c>
      <c r="D761" s="3" t="str">
        <f>VLOOKUP($C761,Overall!$K$5:$T$36,2)</f>
        <v>Normal</v>
      </c>
      <c r="E761" s="3">
        <f ca="1">VLOOKUP($C761,Overall!$K$5:$T$36,10)</f>
        <v>1.5</v>
      </c>
      <c r="F761" s="9" t="str">
        <f>VLOOKUP($C761,Overall!$K$5:$T$36,6)</f>
        <v>00111111110000000000000000000000</v>
      </c>
      <c r="G761" s="8">
        <v>26</v>
      </c>
      <c r="H761" s="3" t="str">
        <f>VLOOKUP($G761,Overall!$K$5:$T$36,2)</f>
        <v>Normal</v>
      </c>
      <c r="I761" s="3">
        <f ca="1">VLOOKUP($G761,Overall!$K$5:$T$36,10)</f>
        <v>-0.5</v>
      </c>
      <c r="J761" s="62" t="str">
        <f>VLOOKUP($G761,Overall!$K$5:$T$36,6)</f>
        <v>10111111000000000000000000000000</v>
      </c>
      <c r="K761" s="8">
        <f t="shared" ca="1" si="99"/>
        <v>-0.75</v>
      </c>
      <c r="L761" s="62">
        <f>VLOOKUP($B761,Overall!$B$5:$I$13,8)</f>
        <v>0</v>
      </c>
      <c r="M761" s="58"/>
      <c r="N761" s="3" t="str">
        <f t="shared" si="100"/>
        <v/>
      </c>
      <c r="O761" s="3" t="str">
        <f t="shared" si="101"/>
        <v/>
      </c>
      <c r="P761" s="3" t="str">
        <f t="shared" si="102"/>
        <v/>
      </c>
      <c r="Q761" s="3">
        <f t="shared" si="103"/>
        <v>0</v>
      </c>
      <c r="R761" s="3">
        <f t="shared" si="104"/>
        <v>0</v>
      </c>
      <c r="S761" s="3" t="e" cm="1">
        <f t="array" aca="1" ref="S761" ca="1">SUMPRODUCT(MID($P761,ROW(INDIRECT("1:23")),1)*2^(-ROW(INDIRECT("1:23"))))</f>
        <v>#VALUE!</v>
      </c>
      <c r="T761" s="3" t="e">
        <f t="shared" ca="1" si="105"/>
        <v>#VALUE!</v>
      </c>
      <c r="U761" s="3" t="e">
        <f t="shared" ca="1" si="106"/>
        <v>#VALUE!</v>
      </c>
      <c r="V761" s="73"/>
      <c r="W761" s="9" t="str">
        <f t="shared" si="107"/>
        <v>OK</v>
      </c>
    </row>
    <row r="762" spans="1:23" x14ac:dyDescent="0.3">
      <c r="A762" s="44">
        <v>759</v>
      </c>
      <c r="B762" s="14">
        <v>9</v>
      </c>
      <c r="C762" s="4">
        <v>19</v>
      </c>
      <c r="D762" s="3" t="str">
        <f>VLOOKUP($C762,Overall!$K$5:$T$36,2)</f>
        <v>Normal</v>
      </c>
      <c r="E762" s="3">
        <f ca="1">VLOOKUP($C762,Overall!$K$5:$T$36,10)</f>
        <v>1.5</v>
      </c>
      <c r="F762" s="9" t="str">
        <f>VLOOKUP($C762,Overall!$K$5:$T$36,6)</f>
        <v>00111111110000000000000000000000</v>
      </c>
      <c r="G762" s="8">
        <v>27</v>
      </c>
      <c r="H762" s="3" t="str">
        <f>VLOOKUP($G762,Overall!$K$5:$T$36,2)</f>
        <v>Normal</v>
      </c>
      <c r="I762" s="3">
        <f ca="1">VLOOKUP($G762,Overall!$K$5:$T$36,10)</f>
        <v>-1</v>
      </c>
      <c r="J762" s="62" t="str">
        <f>VLOOKUP($G762,Overall!$K$5:$T$36,6)</f>
        <v>10111111100000000000000000000000</v>
      </c>
      <c r="K762" s="8">
        <f t="shared" ca="1" si="99"/>
        <v>-1.5</v>
      </c>
      <c r="L762" s="62">
        <f>VLOOKUP($B762,Overall!$B$5:$I$13,8)</f>
        <v>0</v>
      </c>
      <c r="M762" s="58"/>
      <c r="N762" s="3" t="str">
        <f t="shared" si="100"/>
        <v/>
      </c>
      <c r="O762" s="3" t="str">
        <f t="shared" si="101"/>
        <v/>
      </c>
      <c r="P762" s="3" t="str">
        <f t="shared" si="102"/>
        <v/>
      </c>
      <c r="Q762" s="3">
        <f t="shared" si="103"/>
        <v>0</v>
      </c>
      <c r="R762" s="3">
        <f t="shared" si="104"/>
        <v>0</v>
      </c>
      <c r="S762" s="3" t="e" cm="1">
        <f t="array" aca="1" ref="S762" ca="1">SUMPRODUCT(MID($P762,ROW(INDIRECT("1:23")),1)*2^(-ROW(INDIRECT("1:23"))))</f>
        <v>#VALUE!</v>
      </c>
      <c r="T762" s="3" t="e">
        <f t="shared" ca="1" si="105"/>
        <v>#VALUE!</v>
      </c>
      <c r="U762" s="3" t="e">
        <f t="shared" ca="1" si="106"/>
        <v>#VALUE!</v>
      </c>
      <c r="V762" s="73"/>
      <c r="W762" s="9" t="str">
        <f t="shared" si="107"/>
        <v>OK</v>
      </c>
    </row>
    <row r="763" spans="1:23" x14ac:dyDescent="0.3">
      <c r="A763" s="44">
        <v>760</v>
      </c>
      <c r="B763" s="14">
        <v>9</v>
      </c>
      <c r="C763" s="4">
        <v>19</v>
      </c>
      <c r="D763" s="3" t="str">
        <f>VLOOKUP($C763,Overall!$K$5:$T$36,2)</f>
        <v>Normal</v>
      </c>
      <c r="E763" s="3">
        <f ca="1">VLOOKUP($C763,Overall!$K$5:$T$36,10)</f>
        <v>1.5</v>
      </c>
      <c r="F763" s="9" t="str">
        <f>VLOOKUP($C763,Overall!$K$5:$T$36,6)</f>
        <v>00111111110000000000000000000000</v>
      </c>
      <c r="G763" s="8">
        <v>28</v>
      </c>
      <c r="H763" s="3" t="str">
        <f>VLOOKUP($G763,Overall!$K$5:$T$36,2)</f>
        <v>Normal</v>
      </c>
      <c r="I763" s="3">
        <f ca="1">VLOOKUP($G763,Overall!$K$5:$T$36,10)</f>
        <v>-1.5</v>
      </c>
      <c r="J763" s="62" t="str">
        <f>VLOOKUP($G763,Overall!$K$5:$T$36,6)</f>
        <v>10111111110000000000000000000000</v>
      </c>
      <c r="K763" s="8">
        <f t="shared" ca="1" si="99"/>
        <v>-2.25</v>
      </c>
      <c r="L763" s="62">
        <f>VLOOKUP($B763,Overall!$B$5:$I$13,8)</f>
        <v>0</v>
      </c>
      <c r="M763" s="58"/>
      <c r="N763" s="3" t="str">
        <f t="shared" si="100"/>
        <v/>
      </c>
      <c r="O763" s="3" t="str">
        <f t="shared" si="101"/>
        <v/>
      </c>
      <c r="P763" s="3" t="str">
        <f t="shared" si="102"/>
        <v/>
      </c>
      <c r="Q763" s="3">
        <f t="shared" si="103"/>
        <v>0</v>
      </c>
      <c r="R763" s="3">
        <f t="shared" si="104"/>
        <v>0</v>
      </c>
      <c r="S763" s="3" t="e" cm="1">
        <f t="array" aca="1" ref="S763" ca="1">SUMPRODUCT(MID($P763,ROW(INDIRECT("1:23")),1)*2^(-ROW(INDIRECT("1:23"))))</f>
        <v>#VALUE!</v>
      </c>
      <c r="T763" s="3" t="e">
        <f t="shared" ca="1" si="105"/>
        <v>#VALUE!</v>
      </c>
      <c r="U763" s="3" t="e">
        <f t="shared" ca="1" si="106"/>
        <v>#VALUE!</v>
      </c>
      <c r="V763" s="73"/>
      <c r="W763" s="9" t="str">
        <f t="shared" si="107"/>
        <v>OK</v>
      </c>
    </row>
    <row r="764" spans="1:23" x14ac:dyDescent="0.3">
      <c r="A764" s="44">
        <v>761</v>
      </c>
      <c r="B764" s="14">
        <v>9</v>
      </c>
      <c r="C764" s="4">
        <v>19</v>
      </c>
      <c r="D764" s="3" t="str">
        <f>VLOOKUP($C764,Overall!$K$5:$T$36,2)</f>
        <v>Normal</v>
      </c>
      <c r="E764" s="3">
        <f ca="1">VLOOKUP($C764,Overall!$K$5:$T$36,10)</f>
        <v>1.5</v>
      </c>
      <c r="F764" s="9" t="str">
        <f>VLOOKUP($C764,Overall!$K$5:$T$36,6)</f>
        <v>00111111110000000000000000000000</v>
      </c>
      <c r="G764" s="8">
        <v>29</v>
      </c>
      <c r="H764" s="3" t="str">
        <f>VLOOKUP($G764,Overall!$K$5:$T$36,2)</f>
        <v>Normal</v>
      </c>
      <c r="I764" s="3">
        <f ca="1">VLOOKUP($G764,Overall!$K$5:$T$36,10)</f>
        <v>-12345.6787109375</v>
      </c>
      <c r="J764" s="62" t="str">
        <f>VLOOKUP($G764,Overall!$K$5:$T$36,6)</f>
        <v>101000110010000001110011010110111</v>
      </c>
      <c r="K764" s="8">
        <f t="shared" ca="1" si="99"/>
        <v>-18518.51806640625</v>
      </c>
      <c r="L764" s="62">
        <f>VLOOKUP($B764,Overall!$B$5:$I$13,8)</f>
        <v>0</v>
      </c>
      <c r="M764" s="58"/>
      <c r="N764" s="3" t="str">
        <f t="shared" si="100"/>
        <v/>
      </c>
      <c r="O764" s="3" t="str">
        <f t="shared" si="101"/>
        <v/>
      </c>
      <c r="P764" s="3" t="str">
        <f t="shared" si="102"/>
        <v/>
      </c>
      <c r="Q764" s="3">
        <f t="shared" si="103"/>
        <v>0</v>
      </c>
      <c r="R764" s="3">
        <f t="shared" si="104"/>
        <v>0</v>
      </c>
      <c r="S764" s="3" t="e" cm="1">
        <f t="array" aca="1" ref="S764" ca="1">SUMPRODUCT(MID($P764,ROW(INDIRECT("1:23")),1)*2^(-ROW(INDIRECT("1:23"))))</f>
        <v>#VALUE!</v>
      </c>
      <c r="T764" s="3" t="e">
        <f t="shared" ca="1" si="105"/>
        <v>#VALUE!</v>
      </c>
      <c r="U764" s="3" t="e">
        <f t="shared" ca="1" si="106"/>
        <v>#VALUE!</v>
      </c>
      <c r="V764" s="73"/>
      <c r="W764" s="9" t="str">
        <f t="shared" si="107"/>
        <v>OK</v>
      </c>
    </row>
    <row r="765" spans="1:23" x14ac:dyDescent="0.3">
      <c r="A765" s="44">
        <v>762</v>
      </c>
      <c r="B765" s="14">
        <v>9</v>
      </c>
      <c r="C765" s="4">
        <v>19</v>
      </c>
      <c r="D765" s="3" t="str">
        <f>VLOOKUP($C765,Overall!$K$5:$T$36,2)</f>
        <v>Normal</v>
      </c>
      <c r="E765" s="3">
        <f ca="1">VLOOKUP($C765,Overall!$K$5:$T$36,10)</f>
        <v>1.5</v>
      </c>
      <c r="F765" s="9" t="str">
        <f>VLOOKUP($C765,Overall!$K$5:$T$36,6)</f>
        <v>00111111110000000000000000000000</v>
      </c>
      <c r="G765" s="8">
        <v>30</v>
      </c>
      <c r="H765" s="3" t="str">
        <f>VLOOKUP($G765,Overall!$K$5:$T$36,2)</f>
        <v>Normal</v>
      </c>
      <c r="I765" s="3">
        <f ca="1">VLOOKUP($G765,Overall!$K$5:$T$36,10)</f>
        <v>-2.345678924830959E+38</v>
      </c>
      <c r="J765" s="62" t="str">
        <f>VLOOKUP($G765,Overall!$K$5:$T$36,6)</f>
        <v>11111111001100000111100000100010</v>
      </c>
      <c r="K765" s="8">
        <f t="shared" ca="1" si="99"/>
        <v>-3.5185183872464385E+38</v>
      </c>
      <c r="L765" s="62">
        <f>VLOOKUP($B765,Overall!$B$5:$I$13,8)</f>
        <v>0</v>
      </c>
      <c r="M765" s="58"/>
      <c r="N765" s="3" t="str">
        <f t="shared" si="100"/>
        <v/>
      </c>
      <c r="O765" s="3" t="str">
        <f t="shared" si="101"/>
        <v/>
      </c>
      <c r="P765" s="3" t="str">
        <f t="shared" si="102"/>
        <v/>
      </c>
      <c r="Q765" s="3">
        <f t="shared" si="103"/>
        <v>0</v>
      </c>
      <c r="R765" s="3">
        <f t="shared" si="104"/>
        <v>0</v>
      </c>
      <c r="S765" s="3" t="e" cm="1">
        <f t="array" aca="1" ref="S765" ca="1">SUMPRODUCT(MID($P765,ROW(INDIRECT("1:23")),1)*2^(-ROW(INDIRECT("1:23"))))</f>
        <v>#VALUE!</v>
      </c>
      <c r="T765" s="3" t="e">
        <f t="shared" ca="1" si="105"/>
        <v>#VALUE!</v>
      </c>
      <c r="U765" s="3" t="e">
        <f t="shared" ca="1" si="106"/>
        <v>#VALUE!</v>
      </c>
      <c r="V765" s="73"/>
      <c r="W765" s="9" t="str">
        <f t="shared" si="107"/>
        <v>OK</v>
      </c>
    </row>
    <row r="766" spans="1:23" x14ac:dyDescent="0.3">
      <c r="A766" s="44">
        <v>763</v>
      </c>
      <c r="B766" s="14">
        <v>9</v>
      </c>
      <c r="C766" s="4">
        <v>19</v>
      </c>
      <c r="D766" s="3" t="str">
        <f>VLOOKUP($C766,Overall!$K$5:$T$36,2)</f>
        <v>Normal</v>
      </c>
      <c r="E766" s="3">
        <f ca="1">VLOOKUP($C766,Overall!$K$5:$T$36,10)</f>
        <v>1.5</v>
      </c>
      <c r="F766" s="9" t="str">
        <f>VLOOKUP($C766,Overall!$K$5:$T$36,6)</f>
        <v>00111111110000000000000000000000</v>
      </c>
      <c r="G766" s="8">
        <v>31</v>
      </c>
      <c r="H766" s="3" t="str">
        <f>VLOOKUP($G766,Overall!$K$5:$T$36,2)</f>
        <v>Normal</v>
      </c>
      <c r="I766" s="3">
        <f ca="1">VLOOKUP($G766,Overall!$K$5:$T$36,10)</f>
        <v>-3.4028232635611926E+38</v>
      </c>
      <c r="J766" s="62" t="str">
        <f>VLOOKUP($G766,Overall!$K$5:$T$36,6)</f>
        <v>11111111011111111111111111111110</v>
      </c>
      <c r="K766" s="8">
        <f t="shared" ca="1" si="99"/>
        <v>-5.1042348953417888E+38</v>
      </c>
      <c r="L766" s="62">
        <f>VLOOKUP($B766,Overall!$B$5:$I$13,8)</f>
        <v>0</v>
      </c>
      <c r="M766" s="58"/>
      <c r="N766" s="3" t="str">
        <f t="shared" si="100"/>
        <v/>
      </c>
      <c r="O766" s="3" t="str">
        <f t="shared" si="101"/>
        <v/>
      </c>
      <c r="P766" s="3" t="str">
        <f t="shared" si="102"/>
        <v/>
      </c>
      <c r="Q766" s="3">
        <f t="shared" si="103"/>
        <v>0</v>
      </c>
      <c r="R766" s="3">
        <f t="shared" si="104"/>
        <v>0</v>
      </c>
      <c r="S766" s="3" t="e" cm="1">
        <f t="array" aca="1" ref="S766" ca="1">SUMPRODUCT(MID($P766,ROW(INDIRECT("1:23")),1)*2^(-ROW(INDIRECT("1:23"))))</f>
        <v>#VALUE!</v>
      </c>
      <c r="T766" s="3" t="e">
        <f t="shared" ca="1" si="105"/>
        <v>#VALUE!</v>
      </c>
      <c r="U766" s="3" t="e">
        <f t="shared" ca="1" si="106"/>
        <v>#VALUE!</v>
      </c>
      <c r="V766" s="73"/>
      <c r="W766" s="9" t="str">
        <f t="shared" si="107"/>
        <v>OK</v>
      </c>
    </row>
    <row r="767" spans="1:23" x14ac:dyDescent="0.3">
      <c r="A767" s="44">
        <v>764</v>
      </c>
      <c r="B767" s="14">
        <v>9</v>
      </c>
      <c r="C767" s="4">
        <v>19</v>
      </c>
      <c r="D767" s="3" t="str">
        <f>VLOOKUP($C767,Overall!$K$5:$T$36,2)</f>
        <v>Normal</v>
      </c>
      <c r="E767" s="3">
        <f ca="1">VLOOKUP($C767,Overall!$K$5:$T$36,10)</f>
        <v>1.5</v>
      </c>
      <c r="F767" s="9" t="str">
        <f>VLOOKUP($C767,Overall!$K$5:$T$36,6)</f>
        <v>00111111110000000000000000000000</v>
      </c>
      <c r="G767" s="8">
        <v>32</v>
      </c>
      <c r="H767" s="3" t="str">
        <f>VLOOKUP($G767,Overall!$K$5:$T$36,2)</f>
        <v>Normal</v>
      </c>
      <c r="I767" s="3">
        <f ca="1">VLOOKUP($G767,Overall!$K$5:$T$36,10)</f>
        <v>-3.4028234663852886E+38</v>
      </c>
      <c r="J767" s="62" t="str">
        <f>VLOOKUP($G767,Overall!$K$5:$T$36,6)</f>
        <v>11111111011111111111111111111111</v>
      </c>
      <c r="K767" s="8">
        <f t="shared" ca="1" si="99"/>
        <v>-5.1042351995779329E+38</v>
      </c>
      <c r="L767" s="62">
        <f>VLOOKUP($B767,Overall!$B$5:$I$13,8)</f>
        <v>0</v>
      </c>
      <c r="M767" s="58"/>
      <c r="N767" s="3" t="str">
        <f t="shared" si="100"/>
        <v/>
      </c>
      <c r="O767" s="3" t="str">
        <f t="shared" si="101"/>
        <v/>
      </c>
      <c r="P767" s="3" t="str">
        <f t="shared" si="102"/>
        <v/>
      </c>
      <c r="Q767" s="3">
        <f t="shared" si="103"/>
        <v>0</v>
      </c>
      <c r="R767" s="3">
        <f t="shared" si="104"/>
        <v>0</v>
      </c>
      <c r="S767" s="3" t="e" cm="1">
        <f t="array" aca="1" ref="S767" ca="1">SUMPRODUCT(MID($P767,ROW(INDIRECT("1:23")),1)*2^(-ROW(INDIRECT("1:23"))))</f>
        <v>#VALUE!</v>
      </c>
      <c r="T767" s="3" t="e">
        <f t="shared" ca="1" si="105"/>
        <v>#VALUE!</v>
      </c>
      <c r="U767" s="3" t="e">
        <f t="shared" ca="1" si="106"/>
        <v>#VALUE!</v>
      </c>
      <c r="V767" s="73"/>
      <c r="W767" s="9" t="str">
        <f t="shared" si="107"/>
        <v>OK</v>
      </c>
    </row>
    <row r="768" spans="1:23" x14ac:dyDescent="0.3">
      <c r="A768" s="44">
        <v>765</v>
      </c>
      <c r="B768" s="14">
        <v>9</v>
      </c>
      <c r="C768" s="4">
        <v>20</v>
      </c>
      <c r="D768" s="3" t="str">
        <f>VLOOKUP($C768,Overall!$K$5:$T$36,2)</f>
        <v>Normal</v>
      </c>
      <c r="E768" s="3">
        <f ca="1">VLOOKUP($C768,Overall!$K$5:$T$36,10)</f>
        <v>12345.6787109375</v>
      </c>
      <c r="F768" s="9" t="str">
        <f>VLOOKUP($C768,Overall!$K$5:$T$36,6)</f>
        <v>001000110010000001110011010110111</v>
      </c>
      <c r="G768" s="8">
        <v>13</v>
      </c>
      <c r="H768" s="3" t="str">
        <f>VLOOKUP($G768,Overall!$K$5:$T$36,2)</f>
        <v>Normal</v>
      </c>
      <c r="I768" s="3">
        <f ca="1">VLOOKUP($G768,Overall!$K$5:$T$36,10)</f>
        <v>0</v>
      </c>
      <c r="J768" s="62" t="str">
        <f>VLOOKUP($G768,Overall!$K$5:$T$36,6)</f>
        <v>00000000000000000000000000000000</v>
      </c>
      <c r="K768" s="8">
        <f t="shared" ca="1" si="99"/>
        <v>0</v>
      </c>
      <c r="L768" s="62">
        <f>VLOOKUP($B768,Overall!$B$5:$I$13,8)</f>
        <v>0</v>
      </c>
      <c r="M768" s="58"/>
      <c r="N768" s="3" t="str">
        <f t="shared" si="100"/>
        <v/>
      </c>
      <c r="O768" s="3" t="str">
        <f t="shared" si="101"/>
        <v/>
      </c>
      <c r="P768" s="3" t="str">
        <f t="shared" si="102"/>
        <v/>
      </c>
      <c r="Q768" s="3">
        <f t="shared" si="103"/>
        <v>0</v>
      </c>
      <c r="R768" s="3">
        <f t="shared" si="104"/>
        <v>0</v>
      </c>
      <c r="S768" s="3" t="e" cm="1">
        <f t="array" aca="1" ref="S768" ca="1">SUMPRODUCT(MID($P768,ROW(INDIRECT("1:23")),1)*2^(-ROW(INDIRECT("1:23"))))</f>
        <v>#VALUE!</v>
      </c>
      <c r="T768" s="3" t="e">
        <f t="shared" ca="1" si="105"/>
        <v>#VALUE!</v>
      </c>
      <c r="U768" s="3" t="e">
        <f t="shared" ca="1" si="106"/>
        <v>#VALUE!</v>
      </c>
      <c r="V768" s="73"/>
      <c r="W768" s="9" t="str">
        <f t="shared" si="107"/>
        <v>OK</v>
      </c>
    </row>
    <row r="769" spans="1:23" x14ac:dyDescent="0.3">
      <c r="A769" s="44">
        <v>766</v>
      </c>
      <c r="B769" s="14">
        <v>9</v>
      </c>
      <c r="C769" s="4">
        <v>20</v>
      </c>
      <c r="D769" s="3" t="str">
        <f>VLOOKUP($C769,Overall!$K$5:$T$36,2)</f>
        <v>Normal</v>
      </c>
      <c r="E769" s="3">
        <f ca="1">VLOOKUP($C769,Overall!$K$5:$T$36,10)</f>
        <v>12345.6787109375</v>
      </c>
      <c r="F769" s="9" t="str">
        <f>VLOOKUP($C769,Overall!$K$5:$T$36,6)</f>
        <v>001000110010000001110011010110111</v>
      </c>
      <c r="G769" s="8">
        <v>14</v>
      </c>
      <c r="H769" s="3" t="str">
        <f>VLOOKUP($G769,Overall!$K$5:$T$36,2)</f>
        <v>Normal</v>
      </c>
      <c r="I769" s="3">
        <f ca="1">VLOOKUP($G769,Overall!$K$5:$T$36,10)</f>
        <v>0</v>
      </c>
      <c r="J769" s="62" t="str">
        <f>VLOOKUP($G769,Overall!$K$5:$T$36,6)</f>
        <v>10000000000000000000000000000000</v>
      </c>
      <c r="K769" s="8">
        <f t="shared" ca="1" si="99"/>
        <v>0</v>
      </c>
      <c r="L769" s="62">
        <f>VLOOKUP($B769,Overall!$B$5:$I$13,8)</f>
        <v>0</v>
      </c>
      <c r="M769" s="58"/>
      <c r="N769" s="3" t="str">
        <f t="shared" si="100"/>
        <v/>
      </c>
      <c r="O769" s="3" t="str">
        <f t="shared" si="101"/>
        <v/>
      </c>
      <c r="P769" s="3" t="str">
        <f t="shared" si="102"/>
        <v/>
      </c>
      <c r="Q769" s="3">
        <f t="shared" si="103"/>
        <v>0</v>
      </c>
      <c r="R769" s="3">
        <f t="shared" si="104"/>
        <v>0</v>
      </c>
      <c r="S769" s="3" t="e" cm="1">
        <f t="array" aca="1" ref="S769" ca="1">SUMPRODUCT(MID($P769,ROW(INDIRECT("1:23")),1)*2^(-ROW(INDIRECT("1:23"))))</f>
        <v>#VALUE!</v>
      </c>
      <c r="T769" s="3" t="e">
        <f t="shared" ca="1" si="105"/>
        <v>#VALUE!</v>
      </c>
      <c r="U769" s="3" t="e">
        <f t="shared" ca="1" si="106"/>
        <v>#VALUE!</v>
      </c>
      <c r="V769" s="73"/>
      <c r="W769" s="9" t="str">
        <f t="shared" si="107"/>
        <v>OK</v>
      </c>
    </row>
    <row r="770" spans="1:23" x14ac:dyDescent="0.3">
      <c r="A770" s="44">
        <v>767</v>
      </c>
      <c r="B770" s="14">
        <v>9</v>
      </c>
      <c r="C770" s="4">
        <v>20</v>
      </c>
      <c r="D770" s="3" t="str">
        <f>VLOOKUP($C770,Overall!$K$5:$T$36,2)</f>
        <v>Normal</v>
      </c>
      <c r="E770" s="3">
        <f ca="1">VLOOKUP($C770,Overall!$K$5:$T$36,10)</f>
        <v>12345.6787109375</v>
      </c>
      <c r="F770" s="9" t="str">
        <f>VLOOKUP($C770,Overall!$K$5:$T$36,6)</f>
        <v>001000110010000001110011010110111</v>
      </c>
      <c r="G770" s="8">
        <v>15</v>
      </c>
      <c r="H770" s="3" t="str">
        <f>VLOOKUP($G770,Overall!$K$5:$T$36,2)</f>
        <v>Normal</v>
      </c>
      <c r="I770" s="3">
        <f ca="1">VLOOKUP($G770,Overall!$K$5:$T$36,10)</f>
        <v>1.1754943508222875E-38</v>
      </c>
      <c r="J770" s="62" t="str">
        <f>VLOOKUP($G770,Overall!$K$5:$T$36,6)</f>
        <v>00000000100000000000000000000000</v>
      </c>
      <c r="K770" s="8">
        <f t="shared" ca="1" si="99"/>
        <v>1.4512275581774012E-34</v>
      </c>
      <c r="L770" s="62">
        <f>VLOOKUP($B770,Overall!$B$5:$I$13,8)</f>
        <v>0</v>
      </c>
      <c r="M770" s="58"/>
      <c r="N770" s="3" t="str">
        <f t="shared" si="100"/>
        <v/>
      </c>
      <c r="O770" s="3" t="str">
        <f t="shared" si="101"/>
        <v/>
      </c>
      <c r="P770" s="3" t="str">
        <f t="shared" si="102"/>
        <v/>
      </c>
      <c r="Q770" s="3">
        <f t="shared" si="103"/>
        <v>0</v>
      </c>
      <c r="R770" s="3">
        <f t="shared" si="104"/>
        <v>0</v>
      </c>
      <c r="S770" s="3" t="e" cm="1">
        <f t="array" aca="1" ref="S770" ca="1">SUMPRODUCT(MID($P770,ROW(INDIRECT("1:23")),1)*2^(-ROW(INDIRECT("1:23"))))</f>
        <v>#VALUE!</v>
      </c>
      <c r="T770" s="3" t="e">
        <f t="shared" ca="1" si="105"/>
        <v>#VALUE!</v>
      </c>
      <c r="U770" s="3" t="e">
        <f t="shared" ca="1" si="106"/>
        <v>#VALUE!</v>
      </c>
      <c r="V770" s="73"/>
      <c r="W770" s="9" t="str">
        <f t="shared" si="107"/>
        <v>OK</v>
      </c>
    </row>
    <row r="771" spans="1:23" x14ac:dyDescent="0.3">
      <c r="A771" s="44">
        <v>768</v>
      </c>
      <c r="B771" s="14">
        <v>9</v>
      </c>
      <c r="C771" s="4">
        <v>20</v>
      </c>
      <c r="D771" s="3" t="str">
        <f>VLOOKUP($C771,Overall!$K$5:$T$36,2)</f>
        <v>Normal</v>
      </c>
      <c r="E771" s="3">
        <f ca="1">VLOOKUP($C771,Overall!$K$5:$T$36,10)</f>
        <v>12345.6787109375</v>
      </c>
      <c r="F771" s="9" t="str">
        <f>VLOOKUP($C771,Overall!$K$5:$T$36,6)</f>
        <v>001000110010000001110011010110111</v>
      </c>
      <c r="G771" s="8">
        <v>16</v>
      </c>
      <c r="H771" s="3" t="str">
        <f>VLOOKUP($G771,Overall!$K$5:$T$36,2)</f>
        <v>Normal</v>
      </c>
      <c r="I771" s="3">
        <f ca="1">VLOOKUP($G771,Overall!$K$5:$T$36,10)</f>
        <v>1.1754944909521339E-38</v>
      </c>
      <c r="J771" s="62" t="str">
        <f>VLOOKUP($G771,Overall!$K$5:$T$36,6)</f>
        <v>00000000100000000000000000000001</v>
      </c>
      <c r="K771" s="8">
        <f t="shared" ca="1" si="99"/>
        <v>1.4512277311772074E-34</v>
      </c>
      <c r="L771" s="62">
        <f>VLOOKUP($B771,Overall!$B$5:$I$13,8)</f>
        <v>0</v>
      </c>
      <c r="M771" s="58"/>
      <c r="N771" s="3" t="str">
        <f t="shared" si="100"/>
        <v/>
      </c>
      <c r="O771" s="3" t="str">
        <f t="shared" si="101"/>
        <v/>
      </c>
      <c r="P771" s="3" t="str">
        <f t="shared" si="102"/>
        <v/>
      </c>
      <c r="Q771" s="3">
        <f t="shared" si="103"/>
        <v>0</v>
      </c>
      <c r="R771" s="3">
        <f t="shared" si="104"/>
        <v>0</v>
      </c>
      <c r="S771" s="3" t="e" cm="1">
        <f t="array" aca="1" ref="S771" ca="1">SUMPRODUCT(MID($P771,ROW(INDIRECT("1:23")),1)*2^(-ROW(INDIRECT("1:23"))))</f>
        <v>#VALUE!</v>
      </c>
      <c r="T771" s="3" t="e">
        <f t="shared" ca="1" si="105"/>
        <v>#VALUE!</v>
      </c>
      <c r="U771" s="3" t="e">
        <f t="shared" ca="1" si="106"/>
        <v>#VALUE!</v>
      </c>
      <c r="V771" s="73"/>
      <c r="W771" s="9" t="str">
        <f t="shared" si="107"/>
        <v>OK</v>
      </c>
    </row>
    <row r="772" spans="1:23" x14ac:dyDescent="0.3">
      <c r="A772" s="44">
        <v>769</v>
      </c>
      <c r="B772" s="14">
        <v>9</v>
      </c>
      <c r="C772" s="4">
        <v>20</v>
      </c>
      <c r="D772" s="3" t="str">
        <f>VLOOKUP($C772,Overall!$K$5:$T$36,2)</f>
        <v>Normal</v>
      </c>
      <c r="E772" s="3">
        <f ca="1">VLOOKUP($C772,Overall!$K$5:$T$36,10)</f>
        <v>12345.6787109375</v>
      </c>
      <c r="F772" s="9" t="str">
        <f>VLOOKUP($C772,Overall!$K$5:$T$36,6)</f>
        <v>001000110010000001110011010110111</v>
      </c>
      <c r="G772" s="8">
        <v>17</v>
      </c>
      <c r="H772" s="3" t="str">
        <f>VLOOKUP($G772,Overall!$K$5:$T$36,2)</f>
        <v>Normal</v>
      </c>
      <c r="I772" s="3">
        <f ca="1">VLOOKUP($G772,Overall!$K$5:$T$36,10)</f>
        <v>0.5</v>
      </c>
      <c r="J772" s="62" t="str">
        <f>VLOOKUP($G772,Overall!$K$5:$T$36,6)</f>
        <v>00111111000000000000000000000000</v>
      </c>
      <c r="K772" s="8">
        <f t="shared" ca="1" si="99"/>
        <v>6172.83935546875</v>
      </c>
      <c r="L772" s="62">
        <f>VLOOKUP($B772,Overall!$B$5:$I$13,8)</f>
        <v>0</v>
      </c>
      <c r="M772" s="58"/>
      <c r="N772" s="3" t="str">
        <f t="shared" si="100"/>
        <v/>
      </c>
      <c r="O772" s="3" t="str">
        <f t="shared" si="101"/>
        <v/>
      </c>
      <c r="P772" s="3" t="str">
        <f t="shared" si="102"/>
        <v/>
      </c>
      <c r="Q772" s="3">
        <f t="shared" si="103"/>
        <v>0</v>
      </c>
      <c r="R772" s="3">
        <f t="shared" si="104"/>
        <v>0</v>
      </c>
      <c r="S772" s="3" t="e" cm="1">
        <f t="array" aca="1" ref="S772" ca="1">SUMPRODUCT(MID($P772,ROW(INDIRECT("1:23")),1)*2^(-ROW(INDIRECT("1:23"))))</f>
        <v>#VALUE!</v>
      </c>
      <c r="T772" s="3" t="e">
        <f t="shared" ca="1" si="105"/>
        <v>#VALUE!</v>
      </c>
      <c r="U772" s="3" t="e">
        <f t="shared" ca="1" si="106"/>
        <v>#VALUE!</v>
      </c>
      <c r="V772" s="73"/>
      <c r="W772" s="9" t="str">
        <f t="shared" si="107"/>
        <v>OK</v>
      </c>
    </row>
    <row r="773" spans="1:23" x14ac:dyDescent="0.3">
      <c r="A773" s="44">
        <v>770</v>
      </c>
      <c r="B773" s="14">
        <v>9</v>
      </c>
      <c r="C773" s="4">
        <v>20</v>
      </c>
      <c r="D773" s="3" t="str">
        <f>VLOOKUP($C773,Overall!$K$5:$T$36,2)</f>
        <v>Normal</v>
      </c>
      <c r="E773" s="3">
        <f ca="1">VLOOKUP($C773,Overall!$K$5:$T$36,10)</f>
        <v>12345.6787109375</v>
      </c>
      <c r="F773" s="9" t="str">
        <f>VLOOKUP($C773,Overall!$K$5:$T$36,6)</f>
        <v>001000110010000001110011010110111</v>
      </c>
      <c r="G773" s="8">
        <v>18</v>
      </c>
      <c r="H773" s="3" t="str">
        <f>VLOOKUP($G773,Overall!$K$5:$T$36,2)</f>
        <v>Normal</v>
      </c>
      <c r="I773" s="3">
        <f ca="1">VLOOKUP($G773,Overall!$K$5:$T$36,10)</f>
        <v>1</v>
      </c>
      <c r="J773" s="62" t="str">
        <f>VLOOKUP($G773,Overall!$K$5:$T$36,6)</f>
        <v>00111111100000000000000000000000</v>
      </c>
      <c r="K773" s="8">
        <f t="shared" ref="K773:K836" ca="1" si="108">E773*I773</f>
        <v>12345.6787109375</v>
      </c>
      <c r="L773" s="62">
        <f>VLOOKUP($B773,Overall!$B$5:$I$13,8)</f>
        <v>0</v>
      </c>
      <c r="M773" s="58"/>
      <c r="N773" s="3" t="str">
        <f t="shared" ref="N773:N836" si="109">LEFT($M773,1)</f>
        <v/>
      </c>
      <c r="O773" s="3" t="str">
        <f t="shared" ref="O773:O836" si="110">MID($M773,2,8)</f>
        <v/>
      </c>
      <c r="P773" s="3" t="str">
        <f t="shared" ref="P773:P836" si="111">MID($M773,10,23)</f>
        <v/>
      </c>
      <c r="Q773" s="3">
        <f t="shared" ref="Q773:Q836" si="112">BIN2DEC($N773)</f>
        <v>0</v>
      </c>
      <c r="R773" s="3">
        <f t="shared" ref="R773:R836" si="113">BIN2DEC($O773)</f>
        <v>0</v>
      </c>
      <c r="S773" s="3" t="e" cm="1">
        <f t="array" aca="1" ref="S773" ca="1">SUMPRODUCT(MID($P773,ROW(INDIRECT("1:23")),1)*2^(-ROW(INDIRECT("1:23"))))</f>
        <v>#VALUE!</v>
      </c>
      <c r="T773" s="3" t="e">
        <f t="shared" ref="T773:T836" ca="1" si="114">IF($R773=0,
   (-1)^$Q773 * $S773 * 2^(-126),
   (-1)^$Q773 * (1 + $S773) * 2^($R773 - 127)
)</f>
        <v>#VALUE!</v>
      </c>
      <c r="U773" s="3" t="e">
        <f t="shared" ref="U773:U836" ca="1" si="115">$T773-$K773</f>
        <v>#VALUE!</v>
      </c>
      <c r="V773" s="73"/>
      <c r="W773" s="9" t="str">
        <f t="shared" ref="W773:W836" si="116">IF(L773=V773,"OK","NG")</f>
        <v>OK</v>
      </c>
    </row>
    <row r="774" spans="1:23" x14ac:dyDescent="0.3">
      <c r="A774" s="44">
        <v>771</v>
      </c>
      <c r="B774" s="14">
        <v>9</v>
      </c>
      <c r="C774" s="4">
        <v>20</v>
      </c>
      <c r="D774" s="3" t="str">
        <f>VLOOKUP($C774,Overall!$K$5:$T$36,2)</f>
        <v>Normal</v>
      </c>
      <c r="E774" s="3">
        <f ca="1">VLOOKUP($C774,Overall!$K$5:$T$36,10)</f>
        <v>12345.6787109375</v>
      </c>
      <c r="F774" s="9" t="str">
        <f>VLOOKUP($C774,Overall!$K$5:$T$36,6)</f>
        <v>001000110010000001110011010110111</v>
      </c>
      <c r="G774" s="8">
        <v>19</v>
      </c>
      <c r="H774" s="3" t="str">
        <f>VLOOKUP($G774,Overall!$K$5:$T$36,2)</f>
        <v>Normal</v>
      </c>
      <c r="I774" s="3">
        <f ca="1">VLOOKUP($G774,Overall!$K$5:$T$36,10)</f>
        <v>1.5</v>
      </c>
      <c r="J774" s="62" t="str">
        <f>VLOOKUP($G774,Overall!$K$5:$T$36,6)</f>
        <v>00111111110000000000000000000000</v>
      </c>
      <c r="K774" s="8">
        <f t="shared" ca="1" si="108"/>
        <v>18518.51806640625</v>
      </c>
      <c r="L774" s="62">
        <f>VLOOKUP($B774,Overall!$B$5:$I$13,8)</f>
        <v>0</v>
      </c>
      <c r="M774" s="58"/>
      <c r="N774" s="3" t="str">
        <f t="shared" si="109"/>
        <v/>
      </c>
      <c r="O774" s="3" t="str">
        <f t="shared" si="110"/>
        <v/>
      </c>
      <c r="P774" s="3" t="str">
        <f t="shared" si="111"/>
        <v/>
      </c>
      <c r="Q774" s="3">
        <f t="shared" si="112"/>
        <v>0</v>
      </c>
      <c r="R774" s="3">
        <f t="shared" si="113"/>
        <v>0</v>
      </c>
      <c r="S774" s="3" t="e" cm="1">
        <f t="array" aca="1" ref="S774" ca="1">SUMPRODUCT(MID($P774,ROW(INDIRECT("1:23")),1)*2^(-ROW(INDIRECT("1:23"))))</f>
        <v>#VALUE!</v>
      </c>
      <c r="T774" s="3" t="e">
        <f t="shared" ca="1" si="114"/>
        <v>#VALUE!</v>
      </c>
      <c r="U774" s="3" t="e">
        <f t="shared" ca="1" si="115"/>
        <v>#VALUE!</v>
      </c>
      <c r="V774" s="73"/>
      <c r="W774" s="9" t="str">
        <f t="shared" si="116"/>
        <v>OK</v>
      </c>
    </row>
    <row r="775" spans="1:23" x14ac:dyDescent="0.3">
      <c r="A775" s="44">
        <v>772</v>
      </c>
      <c r="B775" s="14">
        <v>9</v>
      </c>
      <c r="C775" s="4">
        <v>20</v>
      </c>
      <c r="D775" s="3" t="str">
        <f>VLOOKUP($C775,Overall!$K$5:$T$36,2)</f>
        <v>Normal</v>
      </c>
      <c r="E775" s="3">
        <f ca="1">VLOOKUP($C775,Overall!$K$5:$T$36,10)</f>
        <v>12345.6787109375</v>
      </c>
      <c r="F775" s="9" t="str">
        <f>VLOOKUP($C775,Overall!$K$5:$T$36,6)</f>
        <v>001000110010000001110011010110111</v>
      </c>
      <c r="G775" s="8">
        <v>20</v>
      </c>
      <c r="H775" s="3" t="str">
        <f>VLOOKUP($G775,Overall!$K$5:$T$36,2)</f>
        <v>Normal</v>
      </c>
      <c r="I775" s="3">
        <f ca="1">VLOOKUP($G775,Overall!$K$5:$T$36,10)</f>
        <v>12345.6787109375</v>
      </c>
      <c r="J775" s="62" t="str">
        <f>VLOOKUP($G775,Overall!$K$5:$T$36,6)</f>
        <v>001000110010000001110011010110111</v>
      </c>
      <c r="K775" s="8">
        <f t="shared" ca="1" si="108"/>
        <v>152415782.83369541</v>
      </c>
      <c r="L775" s="62">
        <f>VLOOKUP($B775,Overall!$B$5:$I$13,8)</f>
        <v>0</v>
      </c>
      <c r="M775" s="58"/>
      <c r="N775" s="3" t="str">
        <f t="shared" si="109"/>
        <v/>
      </c>
      <c r="O775" s="3" t="str">
        <f t="shared" si="110"/>
        <v/>
      </c>
      <c r="P775" s="3" t="str">
        <f t="shared" si="111"/>
        <v/>
      </c>
      <c r="Q775" s="3">
        <f t="shared" si="112"/>
        <v>0</v>
      </c>
      <c r="R775" s="3">
        <f t="shared" si="113"/>
        <v>0</v>
      </c>
      <c r="S775" s="3" t="e" cm="1">
        <f t="array" aca="1" ref="S775" ca="1">SUMPRODUCT(MID($P775,ROW(INDIRECT("1:23")),1)*2^(-ROW(INDIRECT("1:23"))))</f>
        <v>#VALUE!</v>
      </c>
      <c r="T775" s="3" t="e">
        <f t="shared" ca="1" si="114"/>
        <v>#VALUE!</v>
      </c>
      <c r="U775" s="3" t="e">
        <f t="shared" ca="1" si="115"/>
        <v>#VALUE!</v>
      </c>
      <c r="V775" s="73"/>
      <c r="W775" s="9" t="str">
        <f t="shared" si="116"/>
        <v>OK</v>
      </c>
    </row>
    <row r="776" spans="1:23" x14ac:dyDescent="0.3">
      <c r="A776" s="44">
        <v>773</v>
      </c>
      <c r="B776" s="14">
        <v>9</v>
      </c>
      <c r="C776" s="4">
        <v>20</v>
      </c>
      <c r="D776" s="3" t="str">
        <f>VLOOKUP($C776,Overall!$K$5:$T$36,2)</f>
        <v>Normal</v>
      </c>
      <c r="E776" s="3">
        <f ca="1">VLOOKUP($C776,Overall!$K$5:$T$36,10)</f>
        <v>12345.6787109375</v>
      </c>
      <c r="F776" s="9" t="str">
        <f>VLOOKUP($C776,Overall!$K$5:$T$36,6)</f>
        <v>001000110010000001110011010110111</v>
      </c>
      <c r="G776" s="8">
        <v>21</v>
      </c>
      <c r="H776" s="3" t="str">
        <f>VLOOKUP($G776,Overall!$K$5:$T$36,2)</f>
        <v>Normal</v>
      </c>
      <c r="I776" s="3">
        <f ca="1">VLOOKUP($G776,Overall!$K$5:$T$36,10)</f>
        <v>2.345678924830959E+38</v>
      </c>
      <c r="J776" s="62" t="str">
        <f>VLOOKUP($G776,Overall!$K$5:$T$36,6)</f>
        <v>01111111001100000111100000100010</v>
      </c>
      <c r="K776" s="8">
        <f t="shared" ca="1" si="108"/>
        <v>2.8958998364980335E+42</v>
      </c>
      <c r="L776" s="62">
        <f>VLOOKUP($B776,Overall!$B$5:$I$13,8)</f>
        <v>0</v>
      </c>
      <c r="M776" s="58"/>
      <c r="N776" s="3" t="str">
        <f t="shared" si="109"/>
        <v/>
      </c>
      <c r="O776" s="3" t="str">
        <f t="shared" si="110"/>
        <v/>
      </c>
      <c r="P776" s="3" t="str">
        <f t="shared" si="111"/>
        <v/>
      </c>
      <c r="Q776" s="3">
        <f t="shared" si="112"/>
        <v>0</v>
      </c>
      <c r="R776" s="3">
        <f t="shared" si="113"/>
        <v>0</v>
      </c>
      <c r="S776" s="3" t="e" cm="1">
        <f t="array" aca="1" ref="S776" ca="1">SUMPRODUCT(MID($P776,ROW(INDIRECT("1:23")),1)*2^(-ROW(INDIRECT("1:23"))))</f>
        <v>#VALUE!</v>
      </c>
      <c r="T776" s="3" t="e">
        <f t="shared" ca="1" si="114"/>
        <v>#VALUE!</v>
      </c>
      <c r="U776" s="3" t="e">
        <f t="shared" ca="1" si="115"/>
        <v>#VALUE!</v>
      </c>
      <c r="V776" s="73"/>
      <c r="W776" s="9" t="str">
        <f t="shared" si="116"/>
        <v>OK</v>
      </c>
    </row>
    <row r="777" spans="1:23" x14ac:dyDescent="0.3">
      <c r="A777" s="44">
        <v>774</v>
      </c>
      <c r="B777" s="14">
        <v>9</v>
      </c>
      <c r="C777" s="4">
        <v>20</v>
      </c>
      <c r="D777" s="3" t="str">
        <f>VLOOKUP($C777,Overall!$K$5:$T$36,2)</f>
        <v>Normal</v>
      </c>
      <c r="E777" s="3">
        <f ca="1">VLOOKUP($C777,Overall!$K$5:$T$36,10)</f>
        <v>12345.6787109375</v>
      </c>
      <c r="F777" s="9" t="str">
        <f>VLOOKUP($C777,Overall!$K$5:$T$36,6)</f>
        <v>001000110010000001110011010110111</v>
      </c>
      <c r="G777" s="8">
        <v>22</v>
      </c>
      <c r="H777" s="3" t="str">
        <f>VLOOKUP($G777,Overall!$K$5:$T$36,2)</f>
        <v>Normal</v>
      </c>
      <c r="I777" s="3">
        <f ca="1">VLOOKUP($G777,Overall!$K$5:$T$36,10)</f>
        <v>3.4028232635611926E+38</v>
      </c>
      <c r="J777" s="62" t="str">
        <f>VLOOKUP($G777,Overall!$K$5:$T$36,6)</f>
        <v>01111111011111111111111111111110</v>
      </c>
      <c r="K777" s="8">
        <f t="shared" ca="1" si="108"/>
        <v>4.2010162722030281E+42</v>
      </c>
      <c r="L777" s="62">
        <f>VLOOKUP($B777,Overall!$B$5:$I$13,8)</f>
        <v>0</v>
      </c>
      <c r="M777" s="58"/>
      <c r="N777" s="3" t="str">
        <f t="shared" si="109"/>
        <v/>
      </c>
      <c r="O777" s="3" t="str">
        <f t="shared" si="110"/>
        <v/>
      </c>
      <c r="P777" s="3" t="str">
        <f t="shared" si="111"/>
        <v/>
      </c>
      <c r="Q777" s="3">
        <f t="shared" si="112"/>
        <v>0</v>
      </c>
      <c r="R777" s="3">
        <f t="shared" si="113"/>
        <v>0</v>
      </c>
      <c r="S777" s="3" t="e" cm="1">
        <f t="array" aca="1" ref="S777" ca="1">SUMPRODUCT(MID($P777,ROW(INDIRECT("1:23")),1)*2^(-ROW(INDIRECT("1:23"))))</f>
        <v>#VALUE!</v>
      </c>
      <c r="T777" s="3" t="e">
        <f t="shared" ca="1" si="114"/>
        <v>#VALUE!</v>
      </c>
      <c r="U777" s="3" t="e">
        <f t="shared" ca="1" si="115"/>
        <v>#VALUE!</v>
      </c>
      <c r="V777" s="73"/>
      <c r="W777" s="9" t="str">
        <f t="shared" si="116"/>
        <v>OK</v>
      </c>
    </row>
    <row r="778" spans="1:23" x14ac:dyDescent="0.3">
      <c r="A778" s="44">
        <v>775</v>
      </c>
      <c r="B778" s="14">
        <v>9</v>
      </c>
      <c r="C778" s="4">
        <v>20</v>
      </c>
      <c r="D778" s="3" t="str">
        <f>VLOOKUP($C778,Overall!$K$5:$T$36,2)</f>
        <v>Normal</v>
      </c>
      <c r="E778" s="3">
        <f ca="1">VLOOKUP($C778,Overall!$K$5:$T$36,10)</f>
        <v>12345.6787109375</v>
      </c>
      <c r="F778" s="9" t="str">
        <f>VLOOKUP($C778,Overall!$K$5:$T$36,6)</f>
        <v>001000110010000001110011010110111</v>
      </c>
      <c r="G778" s="8">
        <v>23</v>
      </c>
      <c r="H778" s="3" t="str">
        <f>VLOOKUP($G778,Overall!$K$5:$T$36,2)</f>
        <v>Normal</v>
      </c>
      <c r="I778" s="3">
        <f ca="1">VLOOKUP($G778,Overall!$K$5:$T$36,10)</f>
        <v>3.4028234663852886E+38</v>
      </c>
      <c r="J778" s="62" t="str">
        <f>VLOOKUP($G778,Overall!$K$5:$T$36,6)</f>
        <v>01111111011111111111111111111111</v>
      </c>
      <c r="K778" s="8">
        <f t="shared" ca="1" si="108"/>
        <v>4.2010165226031405E+42</v>
      </c>
      <c r="L778" s="62">
        <f>VLOOKUP($B778,Overall!$B$5:$I$13,8)</f>
        <v>0</v>
      </c>
      <c r="M778" s="58"/>
      <c r="N778" s="3" t="str">
        <f t="shared" si="109"/>
        <v/>
      </c>
      <c r="O778" s="3" t="str">
        <f t="shared" si="110"/>
        <v/>
      </c>
      <c r="P778" s="3" t="str">
        <f t="shared" si="111"/>
        <v/>
      </c>
      <c r="Q778" s="3">
        <f t="shared" si="112"/>
        <v>0</v>
      </c>
      <c r="R778" s="3">
        <f t="shared" si="113"/>
        <v>0</v>
      </c>
      <c r="S778" s="3" t="e" cm="1">
        <f t="array" aca="1" ref="S778" ca="1">SUMPRODUCT(MID($P778,ROW(INDIRECT("1:23")),1)*2^(-ROW(INDIRECT("1:23"))))</f>
        <v>#VALUE!</v>
      </c>
      <c r="T778" s="3" t="e">
        <f t="shared" ca="1" si="114"/>
        <v>#VALUE!</v>
      </c>
      <c r="U778" s="3" t="e">
        <f t="shared" ca="1" si="115"/>
        <v>#VALUE!</v>
      </c>
      <c r="V778" s="73"/>
      <c r="W778" s="9" t="str">
        <f t="shared" si="116"/>
        <v>OK</v>
      </c>
    </row>
    <row r="779" spans="1:23" x14ac:dyDescent="0.3">
      <c r="A779" s="44">
        <v>776</v>
      </c>
      <c r="B779" s="14">
        <v>9</v>
      </c>
      <c r="C779" s="4">
        <v>20</v>
      </c>
      <c r="D779" s="3" t="str">
        <f>VLOOKUP($C779,Overall!$K$5:$T$36,2)</f>
        <v>Normal</v>
      </c>
      <c r="E779" s="3">
        <f ca="1">VLOOKUP($C779,Overall!$K$5:$T$36,10)</f>
        <v>12345.6787109375</v>
      </c>
      <c r="F779" s="9" t="str">
        <f>VLOOKUP($C779,Overall!$K$5:$T$36,6)</f>
        <v>001000110010000001110011010110111</v>
      </c>
      <c r="G779" s="8">
        <v>24</v>
      </c>
      <c r="H779" s="3" t="str">
        <f>VLOOKUP($G779,Overall!$K$5:$T$36,2)</f>
        <v>Normal</v>
      </c>
      <c r="I779" s="3">
        <f ca="1">VLOOKUP($G779,Overall!$K$5:$T$36,10)</f>
        <v>-1.1754943508222875E-38</v>
      </c>
      <c r="J779" s="62" t="str">
        <f>VLOOKUP($G779,Overall!$K$5:$T$36,6)</f>
        <v>10000000100000000000000000000000</v>
      </c>
      <c r="K779" s="8">
        <f t="shared" ca="1" si="108"/>
        <v>-1.4512275581774012E-34</v>
      </c>
      <c r="L779" s="62">
        <f>VLOOKUP($B779,Overall!$B$5:$I$13,8)</f>
        <v>0</v>
      </c>
      <c r="M779" s="58"/>
      <c r="N779" s="3" t="str">
        <f t="shared" si="109"/>
        <v/>
      </c>
      <c r="O779" s="3" t="str">
        <f t="shared" si="110"/>
        <v/>
      </c>
      <c r="P779" s="3" t="str">
        <f t="shared" si="111"/>
        <v/>
      </c>
      <c r="Q779" s="3">
        <f t="shared" si="112"/>
        <v>0</v>
      </c>
      <c r="R779" s="3">
        <f t="shared" si="113"/>
        <v>0</v>
      </c>
      <c r="S779" s="3" t="e" cm="1">
        <f t="array" aca="1" ref="S779" ca="1">SUMPRODUCT(MID($P779,ROW(INDIRECT("1:23")),1)*2^(-ROW(INDIRECT("1:23"))))</f>
        <v>#VALUE!</v>
      </c>
      <c r="T779" s="3" t="e">
        <f t="shared" ca="1" si="114"/>
        <v>#VALUE!</v>
      </c>
      <c r="U779" s="3" t="e">
        <f t="shared" ca="1" si="115"/>
        <v>#VALUE!</v>
      </c>
      <c r="V779" s="73"/>
      <c r="W779" s="9" t="str">
        <f t="shared" si="116"/>
        <v>OK</v>
      </c>
    </row>
    <row r="780" spans="1:23" x14ac:dyDescent="0.3">
      <c r="A780" s="44">
        <v>777</v>
      </c>
      <c r="B780" s="14">
        <v>9</v>
      </c>
      <c r="C780" s="4">
        <v>20</v>
      </c>
      <c r="D780" s="3" t="str">
        <f>VLOOKUP($C780,Overall!$K$5:$T$36,2)</f>
        <v>Normal</v>
      </c>
      <c r="E780" s="3">
        <f ca="1">VLOOKUP($C780,Overall!$K$5:$T$36,10)</f>
        <v>12345.6787109375</v>
      </c>
      <c r="F780" s="9" t="str">
        <f>VLOOKUP($C780,Overall!$K$5:$T$36,6)</f>
        <v>001000110010000001110011010110111</v>
      </c>
      <c r="G780" s="8">
        <v>25</v>
      </c>
      <c r="H780" s="3" t="str">
        <f>VLOOKUP($G780,Overall!$K$5:$T$36,2)</f>
        <v>Normal</v>
      </c>
      <c r="I780" s="3">
        <f ca="1">VLOOKUP($G780,Overall!$K$5:$T$36,10)</f>
        <v>-1.1754944909521339E-38</v>
      </c>
      <c r="J780" s="62" t="str">
        <f>VLOOKUP($G780,Overall!$K$5:$T$36,6)</f>
        <v>10000000100000000000000000000001</v>
      </c>
      <c r="K780" s="8">
        <f t="shared" ca="1" si="108"/>
        <v>-1.4512277311772074E-34</v>
      </c>
      <c r="L780" s="62">
        <f>VLOOKUP($B780,Overall!$B$5:$I$13,8)</f>
        <v>0</v>
      </c>
      <c r="M780" s="58"/>
      <c r="N780" s="3" t="str">
        <f t="shared" si="109"/>
        <v/>
      </c>
      <c r="O780" s="3" t="str">
        <f t="shared" si="110"/>
        <v/>
      </c>
      <c r="P780" s="3" t="str">
        <f t="shared" si="111"/>
        <v/>
      </c>
      <c r="Q780" s="3">
        <f t="shared" si="112"/>
        <v>0</v>
      </c>
      <c r="R780" s="3">
        <f t="shared" si="113"/>
        <v>0</v>
      </c>
      <c r="S780" s="3" t="e" cm="1">
        <f t="array" aca="1" ref="S780" ca="1">SUMPRODUCT(MID($P780,ROW(INDIRECT("1:23")),1)*2^(-ROW(INDIRECT("1:23"))))</f>
        <v>#VALUE!</v>
      </c>
      <c r="T780" s="3" t="e">
        <f t="shared" ca="1" si="114"/>
        <v>#VALUE!</v>
      </c>
      <c r="U780" s="3" t="e">
        <f t="shared" ca="1" si="115"/>
        <v>#VALUE!</v>
      </c>
      <c r="V780" s="73"/>
      <c r="W780" s="9" t="str">
        <f t="shared" si="116"/>
        <v>OK</v>
      </c>
    </row>
    <row r="781" spans="1:23" x14ac:dyDescent="0.3">
      <c r="A781" s="44">
        <v>778</v>
      </c>
      <c r="B781" s="14">
        <v>9</v>
      </c>
      <c r="C781" s="4">
        <v>20</v>
      </c>
      <c r="D781" s="3" t="str">
        <f>VLOOKUP($C781,Overall!$K$5:$T$36,2)</f>
        <v>Normal</v>
      </c>
      <c r="E781" s="3">
        <f ca="1">VLOOKUP($C781,Overall!$K$5:$T$36,10)</f>
        <v>12345.6787109375</v>
      </c>
      <c r="F781" s="9" t="str">
        <f>VLOOKUP($C781,Overall!$K$5:$T$36,6)</f>
        <v>001000110010000001110011010110111</v>
      </c>
      <c r="G781" s="8">
        <v>26</v>
      </c>
      <c r="H781" s="3" t="str">
        <f>VLOOKUP($G781,Overall!$K$5:$T$36,2)</f>
        <v>Normal</v>
      </c>
      <c r="I781" s="3">
        <f ca="1">VLOOKUP($G781,Overall!$K$5:$T$36,10)</f>
        <v>-0.5</v>
      </c>
      <c r="J781" s="62" t="str">
        <f>VLOOKUP($G781,Overall!$K$5:$T$36,6)</f>
        <v>10111111000000000000000000000000</v>
      </c>
      <c r="K781" s="8">
        <f t="shared" ca="1" si="108"/>
        <v>-6172.83935546875</v>
      </c>
      <c r="L781" s="62">
        <f>VLOOKUP($B781,Overall!$B$5:$I$13,8)</f>
        <v>0</v>
      </c>
      <c r="M781" s="58"/>
      <c r="N781" s="3" t="str">
        <f t="shared" si="109"/>
        <v/>
      </c>
      <c r="O781" s="3" t="str">
        <f t="shared" si="110"/>
        <v/>
      </c>
      <c r="P781" s="3" t="str">
        <f t="shared" si="111"/>
        <v/>
      </c>
      <c r="Q781" s="3">
        <f t="shared" si="112"/>
        <v>0</v>
      </c>
      <c r="R781" s="3">
        <f t="shared" si="113"/>
        <v>0</v>
      </c>
      <c r="S781" s="3" t="e" cm="1">
        <f t="array" aca="1" ref="S781" ca="1">SUMPRODUCT(MID($P781,ROW(INDIRECT("1:23")),1)*2^(-ROW(INDIRECT("1:23"))))</f>
        <v>#VALUE!</v>
      </c>
      <c r="T781" s="3" t="e">
        <f t="shared" ca="1" si="114"/>
        <v>#VALUE!</v>
      </c>
      <c r="U781" s="3" t="e">
        <f t="shared" ca="1" si="115"/>
        <v>#VALUE!</v>
      </c>
      <c r="V781" s="73"/>
      <c r="W781" s="9" t="str">
        <f t="shared" si="116"/>
        <v>OK</v>
      </c>
    </row>
    <row r="782" spans="1:23" x14ac:dyDescent="0.3">
      <c r="A782" s="44">
        <v>779</v>
      </c>
      <c r="B782" s="14">
        <v>9</v>
      </c>
      <c r="C782" s="4">
        <v>20</v>
      </c>
      <c r="D782" s="3" t="str">
        <f>VLOOKUP($C782,Overall!$K$5:$T$36,2)</f>
        <v>Normal</v>
      </c>
      <c r="E782" s="3">
        <f ca="1">VLOOKUP($C782,Overall!$K$5:$T$36,10)</f>
        <v>12345.6787109375</v>
      </c>
      <c r="F782" s="9" t="str">
        <f>VLOOKUP($C782,Overall!$K$5:$T$36,6)</f>
        <v>001000110010000001110011010110111</v>
      </c>
      <c r="G782" s="8">
        <v>27</v>
      </c>
      <c r="H782" s="3" t="str">
        <f>VLOOKUP($G782,Overall!$K$5:$T$36,2)</f>
        <v>Normal</v>
      </c>
      <c r="I782" s="3">
        <f ca="1">VLOOKUP($G782,Overall!$K$5:$T$36,10)</f>
        <v>-1</v>
      </c>
      <c r="J782" s="62" t="str">
        <f>VLOOKUP($G782,Overall!$K$5:$T$36,6)</f>
        <v>10111111100000000000000000000000</v>
      </c>
      <c r="K782" s="8">
        <f t="shared" ca="1" si="108"/>
        <v>-12345.6787109375</v>
      </c>
      <c r="L782" s="62">
        <f>VLOOKUP($B782,Overall!$B$5:$I$13,8)</f>
        <v>0</v>
      </c>
      <c r="M782" s="58"/>
      <c r="N782" s="3" t="str">
        <f t="shared" si="109"/>
        <v/>
      </c>
      <c r="O782" s="3" t="str">
        <f t="shared" si="110"/>
        <v/>
      </c>
      <c r="P782" s="3" t="str">
        <f t="shared" si="111"/>
        <v/>
      </c>
      <c r="Q782" s="3">
        <f t="shared" si="112"/>
        <v>0</v>
      </c>
      <c r="R782" s="3">
        <f t="shared" si="113"/>
        <v>0</v>
      </c>
      <c r="S782" s="3" t="e" cm="1">
        <f t="array" aca="1" ref="S782" ca="1">SUMPRODUCT(MID($P782,ROW(INDIRECT("1:23")),1)*2^(-ROW(INDIRECT("1:23"))))</f>
        <v>#VALUE!</v>
      </c>
      <c r="T782" s="3" t="e">
        <f t="shared" ca="1" si="114"/>
        <v>#VALUE!</v>
      </c>
      <c r="U782" s="3" t="e">
        <f t="shared" ca="1" si="115"/>
        <v>#VALUE!</v>
      </c>
      <c r="V782" s="73"/>
      <c r="W782" s="9" t="str">
        <f t="shared" si="116"/>
        <v>OK</v>
      </c>
    </row>
    <row r="783" spans="1:23" x14ac:dyDescent="0.3">
      <c r="A783" s="44">
        <v>780</v>
      </c>
      <c r="B783" s="14">
        <v>9</v>
      </c>
      <c r="C783" s="4">
        <v>20</v>
      </c>
      <c r="D783" s="3" t="str">
        <f>VLOOKUP($C783,Overall!$K$5:$T$36,2)</f>
        <v>Normal</v>
      </c>
      <c r="E783" s="3">
        <f ca="1">VLOOKUP($C783,Overall!$K$5:$T$36,10)</f>
        <v>12345.6787109375</v>
      </c>
      <c r="F783" s="9" t="str">
        <f>VLOOKUP($C783,Overall!$K$5:$T$36,6)</f>
        <v>001000110010000001110011010110111</v>
      </c>
      <c r="G783" s="8">
        <v>28</v>
      </c>
      <c r="H783" s="3" t="str">
        <f>VLOOKUP($G783,Overall!$K$5:$T$36,2)</f>
        <v>Normal</v>
      </c>
      <c r="I783" s="3">
        <f ca="1">VLOOKUP($G783,Overall!$K$5:$T$36,10)</f>
        <v>-1.5</v>
      </c>
      <c r="J783" s="62" t="str">
        <f>VLOOKUP($G783,Overall!$K$5:$T$36,6)</f>
        <v>10111111110000000000000000000000</v>
      </c>
      <c r="K783" s="8">
        <f t="shared" ca="1" si="108"/>
        <v>-18518.51806640625</v>
      </c>
      <c r="L783" s="62">
        <f>VLOOKUP($B783,Overall!$B$5:$I$13,8)</f>
        <v>0</v>
      </c>
      <c r="M783" s="58"/>
      <c r="N783" s="3" t="str">
        <f t="shared" si="109"/>
        <v/>
      </c>
      <c r="O783" s="3" t="str">
        <f t="shared" si="110"/>
        <v/>
      </c>
      <c r="P783" s="3" t="str">
        <f t="shared" si="111"/>
        <v/>
      </c>
      <c r="Q783" s="3">
        <f t="shared" si="112"/>
        <v>0</v>
      </c>
      <c r="R783" s="3">
        <f t="shared" si="113"/>
        <v>0</v>
      </c>
      <c r="S783" s="3" t="e" cm="1">
        <f t="array" aca="1" ref="S783" ca="1">SUMPRODUCT(MID($P783,ROW(INDIRECT("1:23")),1)*2^(-ROW(INDIRECT("1:23"))))</f>
        <v>#VALUE!</v>
      </c>
      <c r="T783" s="3" t="e">
        <f t="shared" ca="1" si="114"/>
        <v>#VALUE!</v>
      </c>
      <c r="U783" s="3" t="e">
        <f t="shared" ca="1" si="115"/>
        <v>#VALUE!</v>
      </c>
      <c r="V783" s="73"/>
      <c r="W783" s="9" t="str">
        <f t="shared" si="116"/>
        <v>OK</v>
      </c>
    </row>
    <row r="784" spans="1:23" x14ac:dyDescent="0.3">
      <c r="A784" s="44">
        <v>781</v>
      </c>
      <c r="B784" s="14">
        <v>9</v>
      </c>
      <c r="C784" s="4">
        <v>20</v>
      </c>
      <c r="D784" s="3" t="str">
        <f>VLOOKUP($C784,Overall!$K$5:$T$36,2)</f>
        <v>Normal</v>
      </c>
      <c r="E784" s="3">
        <f ca="1">VLOOKUP($C784,Overall!$K$5:$T$36,10)</f>
        <v>12345.6787109375</v>
      </c>
      <c r="F784" s="9" t="str">
        <f>VLOOKUP($C784,Overall!$K$5:$T$36,6)</f>
        <v>001000110010000001110011010110111</v>
      </c>
      <c r="G784" s="8">
        <v>29</v>
      </c>
      <c r="H784" s="3" t="str">
        <f>VLOOKUP($G784,Overall!$K$5:$T$36,2)</f>
        <v>Normal</v>
      </c>
      <c r="I784" s="3">
        <f ca="1">VLOOKUP($G784,Overall!$K$5:$T$36,10)</f>
        <v>-12345.6787109375</v>
      </c>
      <c r="J784" s="62" t="str">
        <f>VLOOKUP($G784,Overall!$K$5:$T$36,6)</f>
        <v>101000110010000001110011010110111</v>
      </c>
      <c r="K784" s="8">
        <f t="shared" ca="1" si="108"/>
        <v>-152415782.83369541</v>
      </c>
      <c r="L784" s="62">
        <f>VLOOKUP($B784,Overall!$B$5:$I$13,8)</f>
        <v>0</v>
      </c>
      <c r="M784" s="58"/>
      <c r="N784" s="3" t="str">
        <f t="shared" si="109"/>
        <v/>
      </c>
      <c r="O784" s="3" t="str">
        <f t="shared" si="110"/>
        <v/>
      </c>
      <c r="P784" s="3" t="str">
        <f t="shared" si="111"/>
        <v/>
      </c>
      <c r="Q784" s="3">
        <f t="shared" si="112"/>
        <v>0</v>
      </c>
      <c r="R784" s="3">
        <f t="shared" si="113"/>
        <v>0</v>
      </c>
      <c r="S784" s="3" t="e" cm="1">
        <f t="array" aca="1" ref="S784" ca="1">SUMPRODUCT(MID($P784,ROW(INDIRECT("1:23")),1)*2^(-ROW(INDIRECT("1:23"))))</f>
        <v>#VALUE!</v>
      </c>
      <c r="T784" s="3" t="e">
        <f t="shared" ca="1" si="114"/>
        <v>#VALUE!</v>
      </c>
      <c r="U784" s="3" t="e">
        <f t="shared" ca="1" si="115"/>
        <v>#VALUE!</v>
      </c>
      <c r="V784" s="73"/>
      <c r="W784" s="9" t="str">
        <f t="shared" si="116"/>
        <v>OK</v>
      </c>
    </row>
    <row r="785" spans="1:23" x14ac:dyDescent="0.3">
      <c r="A785" s="44">
        <v>782</v>
      </c>
      <c r="B785" s="14">
        <v>9</v>
      </c>
      <c r="C785" s="4">
        <v>20</v>
      </c>
      <c r="D785" s="3" t="str">
        <f>VLOOKUP($C785,Overall!$K$5:$T$36,2)</f>
        <v>Normal</v>
      </c>
      <c r="E785" s="3">
        <f ca="1">VLOOKUP($C785,Overall!$K$5:$T$36,10)</f>
        <v>12345.6787109375</v>
      </c>
      <c r="F785" s="9" t="str">
        <f>VLOOKUP($C785,Overall!$K$5:$T$36,6)</f>
        <v>001000110010000001110011010110111</v>
      </c>
      <c r="G785" s="8">
        <v>30</v>
      </c>
      <c r="H785" s="3" t="str">
        <f>VLOOKUP($G785,Overall!$K$5:$T$36,2)</f>
        <v>Normal</v>
      </c>
      <c r="I785" s="3">
        <f ca="1">VLOOKUP($G785,Overall!$K$5:$T$36,10)</f>
        <v>-2.345678924830959E+38</v>
      </c>
      <c r="J785" s="62" t="str">
        <f>VLOOKUP($G785,Overall!$K$5:$T$36,6)</f>
        <v>11111111001100000111100000100010</v>
      </c>
      <c r="K785" s="8">
        <f t="shared" ca="1" si="108"/>
        <v>-2.8958998364980335E+42</v>
      </c>
      <c r="L785" s="62">
        <f>VLOOKUP($B785,Overall!$B$5:$I$13,8)</f>
        <v>0</v>
      </c>
      <c r="M785" s="58"/>
      <c r="N785" s="3" t="str">
        <f t="shared" si="109"/>
        <v/>
      </c>
      <c r="O785" s="3" t="str">
        <f t="shared" si="110"/>
        <v/>
      </c>
      <c r="P785" s="3" t="str">
        <f t="shared" si="111"/>
        <v/>
      </c>
      <c r="Q785" s="3">
        <f t="shared" si="112"/>
        <v>0</v>
      </c>
      <c r="R785" s="3">
        <f t="shared" si="113"/>
        <v>0</v>
      </c>
      <c r="S785" s="3" t="e" cm="1">
        <f t="array" aca="1" ref="S785" ca="1">SUMPRODUCT(MID($P785,ROW(INDIRECT("1:23")),1)*2^(-ROW(INDIRECT("1:23"))))</f>
        <v>#VALUE!</v>
      </c>
      <c r="T785" s="3" t="e">
        <f t="shared" ca="1" si="114"/>
        <v>#VALUE!</v>
      </c>
      <c r="U785" s="3" t="e">
        <f t="shared" ca="1" si="115"/>
        <v>#VALUE!</v>
      </c>
      <c r="V785" s="73"/>
      <c r="W785" s="9" t="str">
        <f t="shared" si="116"/>
        <v>OK</v>
      </c>
    </row>
    <row r="786" spans="1:23" x14ac:dyDescent="0.3">
      <c r="A786" s="44">
        <v>783</v>
      </c>
      <c r="B786" s="14">
        <v>9</v>
      </c>
      <c r="C786" s="4">
        <v>20</v>
      </c>
      <c r="D786" s="3" t="str">
        <f>VLOOKUP($C786,Overall!$K$5:$T$36,2)</f>
        <v>Normal</v>
      </c>
      <c r="E786" s="3">
        <f ca="1">VLOOKUP($C786,Overall!$K$5:$T$36,10)</f>
        <v>12345.6787109375</v>
      </c>
      <c r="F786" s="9" t="str">
        <f>VLOOKUP($C786,Overall!$K$5:$T$36,6)</f>
        <v>001000110010000001110011010110111</v>
      </c>
      <c r="G786" s="8">
        <v>31</v>
      </c>
      <c r="H786" s="3" t="str">
        <f>VLOOKUP($G786,Overall!$K$5:$T$36,2)</f>
        <v>Normal</v>
      </c>
      <c r="I786" s="3">
        <f ca="1">VLOOKUP($G786,Overall!$K$5:$T$36,10)</f>
        <v>-3.4028232635611926E+38</v>
      </c>
      <c r="J786" s="62" t="str">
        <f>VLOOKUP($G786,Overall!$K$5:$T$36,6)</f>
        <v>11111111011111111111111111111110</v>
      </c>
      <c r="K786" s="8">
        <f t="shared" ca="1" si="108"/>
        <v>-4.2010162722030281E+42</v>
      </c>
      <c r="L786" s="62">
        <f>VLOOKUP($B786,Overall!$B$5:$I$13,8)</f>
        <v>0</v>
      </c>
      <c r="M786" s="58"/>
      <c r="N786" s="3" t="str">
        <f t="shared" si="109"/>
        <v/>
      </c>
      <c r="O786" s="3" t="str">
        <f t="shared" si="110"/>
        <v/>
      </c>
      <c r="P786" s="3" t="str">
        <f t="shared" si="111"/>
        <v/>
      </c>
      <c r="Q786" s="3">
        <f t="shared" si="112"/>
        <v>0</v>
      </c>
      <c r="R786" s="3">
        <f t="shared" si="113"/>
        <v>0</v>
      </c>
      <c r="S786" s="3" t="e" cm="1">
        <f t="array" aca="1" ref="S786" ca="1">SUMPRODUCT(MID($P786,ROW(INDIRECT("1:23")),1)*2^(-ROW(INDIRECT("1:23"))))</f>
        <v>#VALUE!</v>
      </c>
      <c r="T786" s="3" t="e">
        <f t="shared" ca="1" si="114"/>
        <v>#VALUE!</v>
      </c>
      <c r="U786" s="3" t="e">
        <f t="shared" ca="1" si="115"/>
        <v>#VALUE!</v>
      </c>
      <c r="V786" s="73"/>
      <c r="W786" s="9" t="str">
        <f t="shared" si="116"/>
        <v>OK</v>
      </c>
    </row>
    <row r="787" spans="1:23" x14ac:dyDescent="0.3">
      <c r="A787" s="44">
        <v>784</v>
      </c>
      <c r="B787" s="14">
        <v>9</v>
      </c>
      <c r="C787" s="4">
        <v>20</v>
      </c>
      <c r="D787" s="3" t="str">
        <f>VLOOKUP($C787,Overall!$K$5:$T$36,2)</f>
        <v>Normal</v>
      </c>
      <c r="E787" s="3">
        <f ca="1">VLOOKUP($C787,Overall!$K$5:$T$36,10)</f>
        <v>12345.6787109375</v>
      </c>
      <c r="F787" s="9" t="str">
        <f>VLOOKUP($C787,Overall!$K$5:$T$36,6)</f>
        <v>001000110010000001110011010110111</v>
      </c>
      <c r="G787" s="8">
        <v>32</v>
      </c>
      <c r="H787" s="3" t="str">
        <f>VLOOKUP($G787,Overall!$K$5:$T$36,2)</f>
        <v>Normal</v>
      </c>
      <c r="I787" s="3">
        <f ca="1">VLOOKUP($G787,Overall!$K$5:$T$36,10)</f>
        <v>-3.4028234663852886E+38</v>
      </c>
      <c r="J787" s="62" t="str">
        <f>VLOOKUP($G787,Overall!$K$5:$T$36,6)</f>
        <v>11111111011111111111111111111111</v>
      </c>
      <c r="K787" s="8">
        <f t="shared" ca="1" si="108"/>
        <v>-4.2010165226031405E+42</v>
      </c>
      <c r="L787" s="62">
        <f>VLOOKUP($B787,Overall!$B$5:$I$13,8)</f>
        <v>0</v>
      </c>
      <c r="M787" s="58"/>
      <c r="N787" s="3" t="str">
        <f t="shared" si="109"/>
        <v/>
      </c>
      <c r="O787" s="3" t="str">
        <f t="shared" si="110"/>
        <v/>
      </c>
      <c r="P787" s="3" t="str">
        <f t="shared" si="111"/>
        <v/>
      </c>
      <c r="Q787" s="3">
        <f t="shared" si="112"/>
        <v>0</v>
      </c>
      <c r="R787" s="3">
        <f t="shared" si="113"/>
        <v>0</v>
      </c>
      <c r="S787" s="3" t="e" cm="1">
        <f t="array" aca="1" ref="S787" ca="1">SUMPRODUCT(MID($P787,ROW(INDIRECT("1:23")),1)*2^(-ROW(INDIRECT("1:23"))))</f>
        <v>#VALUE!</v>
      </c>
      <c r="T787" s="3" t="e">
        <f t="shared" ca="1" si="114"/>
        <v>#VALUE!</v>
      </c>
      <c r="U787" s="3" t="e">
        <f t="shared" ca="1" si="115"/>
        <v>#VALUE!</v>
      </c>
      <c r="V787" s="73"/>
      <c r="W787" s="9" t="str">
        <f t="shared" si="116"/>
        <v>OK</v>
      </c>
    </row>
    <row r="788" spans="1:23" x14ac:dyDescent="0.3">
      <c r="A788" s="44">
        <v>785</v>
      </c>
      <c r="B788" s="14">
        <v>9</v>
      </c>
      <c r="C788" s="4">
        <v>21</v>
      </c>
      <c r="D788" s="3" t="str">
        <f>VLOOKUP($C788,Overall!$K$5:$T$36,2)</f>
        <v>Normal</v>
      </c>
      <c r="E788" s="3">
        <f ca="1">VLOOKUP($C788,Overall!$K$5:$T$36,10)</f>
        <v>2.345678924830959E+38</v>
      </c>
      <c r="F788" s="9" t="str">
        <f>VLOOKUP($C788,Overall!$K$5:$T$36,6)</f>
        <v>01111111001100000111100000100010</v>
      </c>
      <c r="G788" s="8">
        <v>13</v>
      </c>
      <c r="H788" s="3" t="str">
        <f>VLOOKUP($G788,Overall!$K$5:$T$36,2)</f>
        <v>Normal</v>
      </c>
      <c r="I788" s="3">
        <f ca="1">VLOOKUP($G788,Overall!$K$5:$T$36,10)</f>
        <v>0</v>
      </c>
      <c r="J788" s="62" t="str">
        <f>VLOOKUP($G788,Overall!$K$5:$T$36,6)</f>
        <v>00000000000000000000000000000000</v>
      </c>
      <c r="K788" s="8">
        <f t="shared" ca="1" si="108"/>
        <v>0</v>
      </c>
      <c r="L788" s="62">
        <f>VLOOKUP($B788,Overall!$B$5:$I$13,8)</f>
        <v>0</v>
      </c>
      <c r="M788" s="58"/>
      <c r="N788" s="3" t="str">
        <f t="shared" si="109"/>
        <v/>
      </c>
      <c r="O788" s="3" t="str">
        <f t="shared" si="110"/>
        <v/>
      </c>
      <c r="P788" s="3" t="str">
        <f t="shared" si="111"/>
        <v/>
      </c>
      <c r="Q788" s="3">
        <f t="shared" si="112"/>
        <v>0</v>
      </c>
      <c r="R788" s="3">
        <f t="shared" si="113"/>
        <v>0</v>
      </c>
      <c r="S788" s="3" t="e" cm="1">
        <f t="array" aca="1" ref="S788" ca="1">SUMPRODUCT(MID($P788,ROW(INDIRECT("1:23")),1)*2^(-ROW(INDIRECT("1:23"))))</f>
        <v>#VALUE!</v>
      </c>
      <c r="T788" s="3" t="e">
        <f t="shared" ca="1" si="114"/>
        <v>#VALUE!</v>
      </c>
      <c r="U788" s="3" t="e">
        <f t="shared" ca="1" si="115"/>
        <v>#VALUE!</v>
      </c>
      <c r="V788" s="73"/>
      <c r="W788" s="9" t="str">
        <f t="shared" si="116"/>
        <v>OK</v>
      </c>
    </row>
    <row r="789" spans="1:23" x14ac:dyDescent="0.3">
      <c r="A789" s="44">
        <v>786</v>
      </c>
      <c r="B789" s="14">
        <v>9</v>
      </c>
      <c r="C789" s="4">
        <v>21</v>
      </c>
      <c r="D789" s="3" t="str">
        <f>VLOOKUP($C789,Overall!$K$5:$T$36,2)</f>
        <v>Normal</v>
      </c>
      <c r="E789" s="3">
        <f ca="1">VLOOKUP($C789,Overall!$K$5:$T$36,10)</f>
        <v>2.345678924830959E+38</v>
      </c>
      <c r="F789" s="9" t="str">
        <f>VLOOKUP($C789,Overall!$K$5:$T$36,6)</f>
        <v>01111111001100000111100000100010</v>
      </c>
      <c r="G789" s="8">
        <v>14</v>
      </c>
      <c r="H789" s="3" t="str">
        <f>VLOOKUP($G789,Overall!$K$5:$T$36,2)</f>
        <v>Normal</v>
      </c>
      <c r="I789" s="3">
        <f ca="1">VLOOKUP($G789,Overall!$K$5:$T$36,10)</f>
        <v>0</v>
      </c>
      <c r="J789" s="62" t="str">
        <f>VLOOKUP($G789,Overall!$K$5:$T$36,6)</f>
        <v>10000000000000000000000000000000</v>
      </c>
      <c r="K789" s="8">
        <f t="shared" ca="1" si="108"/>
        <v>0</v>
      </c>
      <c r="L789" s="62">
        <f>VLOOKUP($B789,Overall!$B$5:$I$13,8)</f>
        <v>0</v>
      </c>
      <c r="M789" s="58"/>
      <c r="N789" s="3" t="str">
        <f t="shared" si="109"/>
        <v/>
      </c>
      <c r="O789" s="3" t="str">
        <f t="shared" si="110"/>
        <v/>
      </c>
      <c r="P789" s="3" t="str">
        <f t="shared" si="111"/>
        <v/>
      </c>
      <c r="Q789" s="3">
        <f t="shared" si="112"/>
        <v>0</v>
      </c>
      <c r="R789" s="3">
        <f t="shared" si="113"/>
        <v>0</v>
      </c>
      <c r="S789" s="3" t="e" cm="1">
        <f t="array" aca="1" ref="S789" ca="1">SUMPRODUCT(MID($P789,ROW(INDIRECT("1:23")),1)*2^(-ROW(INDIRECT("1:23"))))</f>
        <v>#VALUE!</v>
      </c>
      <c r="T789" s="3" t="e">
        <f t="shared" ca="1" si="114"/>
        <v>#VALUE!</v>
      </c>
      <c r="U789" s="3" t="e">
        <f t="shared" ca="1" si="115"/>
        <v>#VALUE!</v>
      </c>
      <c r="V789" s="73"/>
      <c r="W789" s="9" t="str">
        <f t="shared" si="116"/>
        <v>OK</v>
      </c>
    </row>
    <row r="790" spans="1:23" x14ac:dyDescent="0.3">
      <c r="A790" s="44">
        <v>787</v>
      </c>
      <c r="B790" s="14">
        <v>9</v>
      </c>
      <c r="C790" s="4">
        <v>21</v>
      </c>
      <c r="D790" s="3" t="str">
        <f>VLOOKUP($C790,Overall!$K$5:$T$36,2)</f>
        <v>Normal</v>
      </c>
      <c r="E790" s="3">
        <f ca="1">VLOOKUP($C790,Overall!$K$5:$T$36,10)</f>
        <v>2.345678924830959E+38</v>
      </c>
      <c r="F790" s="9" t="str">
        <f>VLOOKUP($C790,Overall!$K$5:$T$36,6)</f>
        <v>01111111001100000111100000100010</v>
      </c>
      <c r="G790" s="8">
        <v>15</v>
      </c>
      <c r="H790" s="3" t="str">
        <f>VLOOKUP($G790,Overall!$K$5:$T$36,2)</f>
        <v>Normal</v>
      </c>
      <c r="I790" s="3">
        <f ca="1">VLOOKUP($G790,Overall!$K$5:$T$36,10)</f>
        <v>1.1754943508222875E-38</v>
      </c>
      <c r="J790" s="62" t="str">
        <f>VLOOKUP($G790,Overall!$K$5:$T$36,6)</f>
        <v>00000000100000000000000000000000</v>
      </c>
      <c r="K790" s="8">
        <f t="shared" ca="1" si="108"/>
        <v>2.7573323249816895</v>
      </c>
      <c r="L790" s="62">
        <f>VLOOKUP($B790,Overall!$B$5:$I$13,8)</f>
        <v>0</v>
      </c>
      <c r="M790" s="58"/>
      <c r="N790" s="3" t="str">
        <f t="shared" si="109"/>
        <v/>
      </c>
      <c r="O790" s="3" t="str">
        <f t="shared" si="110"/>
        <v/>
      </c>
      <c r="P790" s="3" t="str">
        <f t="shared" si="111"/>
        <v/>
      </c>
      <c r="Q790" s="3">
        <f t="shared" si="112"/>
        <v>0</v>
      </c>
      <c r="R790" s="3">
        <f t="shared" si="113"/>
        <v>0</v>
      </c>
      <c r="S790" s="3" t="e" cm="1">
        <f t="array" aca="1" ref="S790" ca="1">SUMPRODUCT(MID($P790,ROW(INDIRECT("1:23")),1)*2^(-ROW(INDIRECT("1:23"))))</f>
        <v>#VALUE!</v>
      </c>
      <c r="T790" s="3" t="e">
        <f t="shared" ca="1" si="114"/>
        <v>#VALUE!</v>
      </c>
      <c r="U790" s="3" t="e">
        <f t="shared" ca="1" si="115"/>
        <v>#VALUE!</v>
      </c>
      <c r="V790" s="73"/>
      <c r="W790" s="9" t="str">
        <f t="shared" si="116"/>
        <v>OK</v>
      </c>
    </row>
    <row r="791" spans="1:23" x14ac:dyDescent="0.3">
      <c r="A791" s="44">
        <v>788</v>
      </c>
      <c r="B791" s="14">
        <v>9</v>
      </c>
      <c r="C791" s="4">
        <v>21</v>
      </c>
      <c r="D791" s="3" t="str">
        <f>VLOOKUP($C791,Overall!$K$5:$T$36,2)</f>
        <v>Normal</v>
      </c>
      <c r="E791" s="3">
        <f ca="1">VLOOKUP($C791,Overall!$K$5:$T$36,10)</f>
        <v>2.345678924830959E+38</v>
      </c>
      <c r="F791" s="9" t="str">
        <f>VLOOKUP($C791,Overall!$K$5:$T$36,6)</f>
        <v>01111111001100000111100000100010</v>
      </c>
      <c r="G791" s="8">
        <v>16</v>
      </c>
      <c r="H791" s="3" t="str">
        <f>VLOOKUP($G791,Overall!$K$5:$T$36,2)</f>
        <v>Normal</v>
      </c>
      <c r="I791" s="3">
        <f ca="1">VLOOKUP($G791,Overall!$K$5:$T$36,10)</f>
        <v>1.1754944909521339E-38</v>
      </c>
      <c r="J791" s="62" t="str">
        <f>VLOOKUP($G791,Overall!$K$5:$T$36,6)</f>
        <v>00000000100000000000000000000001</v>
      </c>
      <c r="K791" s="8">
        <f t="shared" ca="1" si="108"/>
        <v>2.757332653681317</v>
      </c>
      <c r="L791" s="62">
        <f>VLOOKUP($B791,Overall!$B$5:$I$13,8)</f>
        <v>0</v>
      </c>
      <c r="M791" s="58"/>
      <c r="N791" s="3" t="str">
        <f t="shared" si="109"/>
        <v/>
      </c>
      <c r="O791" s="3" t="str">
        <f t="shared" si="110"/>
        <v/>
      </c>
      <c r="P791" s="3" t="str">
        <f t="shared" si="111"/>
        <v/>
      </c>
      <c r="Q791" s="3">
        <f t="shared" si="112"/>
        <v>0</v>
      </c>
      <c r="R791" s="3">
        <f t="shared" si="113"/>
        <v>0</v>
      </c>
      <c r="S791" s="3" t="e" cm="1">
        <f t="array" aca="1" ref="S791" ca="1">SUMPRODUCT(MID($P791,ROW(INDIRECT("1:23")),1)*2^(-ROW(INDIRECT("1:23"))))</f>
        <v>#VALUE!</v>
      </c>
      <c r="T791" s="3" t="e">
        <f t="shared" ca="1" si="114"/>
        <v>#VALUE!</v>
      </c>
      <c r="U791" s="3" t="e">
        <f t="shared" ca="1" si="115"/>
        <v>#VALUE!</v>
      </c>
      <c r="V791" s="73"/>
      <c r="W791" s="9" t="str">
        <f t="shared" si="116"/>
        <v>OK</v>
      </c>
    </row>
    <row r="792" spans="1:23" x14ac:dyDescent="0.3">
      <c r="A792" s="44">
        <v>789</v>
      </c>
      <c r="B792" s="14">
        <v>9</v>
      </c>
      <c r="C792" s="4">
        <v>21</v>
      </c>
      <c r="D792" s="3" t="str">
        <f>VLOOKUP($C792,Overall!$K$5:$T$36,2)</f>
        <v>Normal</v>
      </c>
      <c r="E792" s="3">
        <f ca="1">VLOOKUP($C792,Overall!$K$5:$T$36,10)</f>
        <v>2.345678924830959E+38</v>
      </c>
      <c r="F792" s="9" t="str">
        <f>VLOOKUP($C792,Overall!$K$5:$T$36,6)</f>
        <v>01111111001100000111100000100010</v>
      </c>
      <c r="G792" s="8">
        <v>17</v>
      </c>
      <c r="H792" s="3" t="str">
        <f>VLOOKUP($G792,Overall!$K$5:$T$36,2)</f>
        <v>Normal</v>
      </c>
      <c r="I792" s="3">
        <f ca="1">VLOOKUP($G792,Overall!$K$5:$T$36,10)</f>
        <v>0.5</v>
      </c>
      <c r="J792" s="62" t="str">
        <f>VLOOKUP($G792,Overall!$K$5:$T$36,6)</f>
        <v>00111111000000000000000000000000</v>
      </c>
      <c r="K792" s="8">
        <f t="shared" ca="1" si="108"/>
        <v>1.1728394624154795E+38</v>
      </c>
      <c r="L792" s="62">
        <f>VLOOKUP($B792,Overall!$B$5:$I$13,8)</f>
        <v>0</v>
      </c>
      <c r="M792" s="58"/>
      <c r="N792" s="3" t="str">
        <f t="shared" si="109"/>
        <v/>
      </c>
      <c r="O792" s="3" t="str">
        <f t="shared" si="110"/>
        <v/>
      </c>
      <c r="P792" s="3" t="str">
        <f t="shared" si="111"/>
        <v/>
      </c>
      <c r="Q792" s="3">
        <f t="shared" si="112"/>
        <v>0</v>
      </c>
      <c r="R792" s="3">
        <f t="shared" si="113"/>
        <v>0</v>
      </c>
      <c r="S792" s="3" t="e" cm="1">
        <f t="array" aca="1" ref="S792" ca="1">SUMPRODUCT(MID($P792,ROW(INDIRECT("1:23")),1)*2^(-ROW(INDIRECT("1:23"))))</f>
        <v>#VALUE!</v>
      </c>
      <c r="T792" s="3" t="e">
        <f t="shared" ca="1" si="114"/>
        <v>#VALUE!</v>
      </c>
      <c r="U792" s="3" t="e">
        <f t="shared" ca="1" si="115"/>
        <v>#VALUE!</v>
      </c>
      <c r="V792" s="73"/>
      <c r="W792" s="9" t="str">
        <f t="shared" si="116"/>
        <v>OK</v>
      </c>
    </row>
    <row r="793" spans="1:23" x14ac:dyDescent="0.3">
      <c r="A793" s="44">
        <v>790</v>
      </c>
      <c r="B793" s="14">
        <v>9</v>
      </c>
      <c r="C793" s="4">
        <v>21</v>
      </c>
      <c r="D793" s="3" t="str">
        <f>VLOOKUP($C793,Overall!$K$5:$T$36,2)</f>
        <v>Normal</v>
      </c>
      <c r="E793" s="3">
        <f ca="1">VLOOKUP($C793,Overall!$K$5:$T$36,10)</f>
        <v>2.345678924830959E+38</v>
      </c>
      <c r="F793" s="9" t="str">
        <f>VLOOKUP($C793,Overall!$K$5:$T$36,6)</f>
        <v>01111111001100000111100000100010</v>
      </c>
      <c r="G793" s="8">
        <v>18</v>
      </c>
      <c r="H793" s="3" t="str">
        <f>VLOOKUP($G793,Overall!$K$5:$T$36,2)</f>
        <v>Normal</v>
      </c>
      <c r="I793" s="3">
        <f ca="1">VLOOKUP($G793,Overall!$K$5:$T$36,10)</f>
        <v>1</v>
      </c>
      <c r="J793" s="62" t="str">
        <f>VLOOKUP($G793,Overall!$K$5:$T$36,6)</f>
        <v>00111111100000000000000000000000</v>
      </c>
      <c r="K793" s="8">
        <f t="shared" ca="1" si="108"/>
        <v>2.345678924830959E+38</v>
      </c>
      <c r="L793" s="62">
        <f>VLOOKUP($B793,Overall!$B$5:$I$13,8)</f>
        <v>0</v>
      </c>
      <c r="M793" s="58"/>
      <c r="N793" s="3" t="str">
        <f t="shared" si="109"/>
        <v/>
      </c>
      <c r="O793" s="3" t="str">
        <f t="shared" si="110"/>
        <v/>
      </c>
      <c r="P793" s="3" t="str">
        <f t="shared" si="111"/>
        <v/>
      </c>
      <c r="Q793" s="3">
        <f t="shared" si="112"/>
        <v>0</v>
      </c>
      <c r="R793" s="3">
        <f t="shared" si="113"/>
        <v>0</v>
      </c>
      <c r="S793" s="3" t="e" cm="1">
        <f t="array" aca="1" ref="S793" ca="1">SUMPRODUCT(MID($P793,ROW(INDIRECT("1:23")),1)*2^(-ROW(INDIRECT("1:23"))))</f>
        <v>#VALUE!</v>
      </c>
      <c r="T793" s="3" t="e">
        <f t="shared" ca="1" si="114"/>
        <v>#VALUE!</v>
      </c>
      <c r="U793" s="3" t="e">
        <f t="shared" ca="1" si="115"/>
        <v>#VALUE!</v>
      </c>
      <c r="V793" s="73"/>
      <c r="W793" s="9" t="str">
        <f t="shared" si="116"/>
        <v>OK</v>
      </c>
    </row>
    <row r="794" spans="1:23" x14ac:dyDescent="0.3">
      <c r="A794" s="44">
        <v>791</v>
      </c>
      <c r="B794" s="14">
        <v>9</v>
      </c>
      <c r="C794" s="4">
        <v>21</v>
      </c>
      <c r="D794" s="3" t="str">
        <f>VLOOKUP($C794,Overall!$K$5:$T$36,2)</f>
        <v>Normal</v>
      </c>
      <c r="E794" s="3">
        <f ca="1">VLOOKUP($C794,Overall!$K$5:$T$36,10)</f>
        <v>2.345678924830959E+38</v>
      </c>
      <c r="F794" s="9" t="str">
        <f>VLOOKUP($C794,Overall!$K$5:$T$36,6)</f>
        <v>01111111001100000111100000100010</v>
      </c>
      <c r="G794" s="8">
        <v>19</v>
      </c>
      <c r="H794" s="3" t="str">
        <f>VLOOKUP($G794,Overall!$K$5:$T$36,2)</f>
        <v>Normal</v>
      </c>
      <c r="I794" s="3">
        <f ca="1">VLOOKUP($G794,Overall!$K$5:$T$36,10)</f>
        <v>1.5</v>
      </c>
      <c r="J794" s="62" t="str">
        <f>VLOOKUP($G794,Overall!$K$5:$T$36,6)</f>
        <v>00111111110000000000000000000000</v>
      </c>
      <c r="K794" s="8">
        <f t="shared" ca="1" si="108"/>
        <v>3.5185183872464385E+38</v>
      </c>
      <c r="L794" s="62">
        <f>VLOOKUP($B794,Overall!$B$5:$I$13,8)</f>
        <v>0</v>
      </c>
      <c r="M794" s="58"/>
      <c r="N794" s="3" t="str">
        <f t="shared" si="109"/>
        <v/>
      </c>
      <c r="O794" s="3" t="str">
        <f t="shared" si="110"/>
        <v/>
      </c>
      <c r="P794" s="3" t="str">
        <f t="shared" si="111"/>
        <v/>
      </c>
      <c r="Q794" s="3">
        <f t="shared" si="112"/>
        <v>0</v>
      </c>
      <c r="R794" s="3">
        <f t="shared" si="113"/>
        <v>0</v>
      </c>
      <c r="S794" s="3" t="e" cm="1">
        <f t="array" aca="1" ref="S794" ca="1">SUMPRODUCT(MID($P794,ROW(INDIRECT("1:23")),1)*2^(-ROW(INDIRECT("1:23"))))</f>
        <v>#VALUE!</v>
      </c>
      <c r="T794" s="3" t="e">
        <f t="shared" ca="1" si="114"/>
        <v>#VALUE!</v>
      </c>
      <c r="U794" s="3" t="e">
        <f t="shared" ca="1" si="115"/>
        <v>#VALUE!</v>
      </c>
      <c r="V794" s="73"/>
      <c r="W794" s="9" t="str">
        <f t="shared" si="116"/>
        <v>OK</v>
      </c>
    </row>
    <row r="795" spans="1:23" x14ac:dyDescent="0.3">
      <c r="A795" s="44">
        <v>792</v>
      </c>
      <c r="B795" s="14">
        <v>9</v>
      </c>
      <c r="C795" s="4">
        <v>21</v>
      </c>
      <c r="D795" s="3" t="str">
        <f>VLOOKUP($C795,Overall!$K$5:$T$36,2)</f>
        <v>Normal</v>
      </c>
      <c r="E795" s="3">
        <f ca="1">VLOOKUP($C795,Overall!$K$5:$T$36,10)</f>
        <v>2.345678924830959E+38</v>
      </c>
      <c r="F795" s="9" t="str">
        <f>VLOOKUP($C795,Overall!$K$5:$T$36,6)</f>
        <v>01111111001100000111100000100010</v>
      </c>
      <c r="G795" s="8">
        <v>20</v>
      </c>
      <c r="H795" s="3" t="str">
        <f>VLOOKUP($G795,Overall!$K$5:$T$36,2)</f>
        <v>Normal</v>
      </c>
      <c r="I795" s="3">
        <f ca="1">VLOOKUP($G795,Overall!$K$5:$T$36,10)</f>
        <v>12345.6787109375</v>
      </c>
      <c r="J795" s="62" t="str">
        <f>VLOOKUP($G795,Overall!$K$5:$T$36,6)</f>
        <v>001000110010000001110011010110111</v>
      </c>
      <c r="K795" s="8">
        <f t="shared" ca="1" si="108"/>
        <v>2.8958998364980335E+42</v>
      </c>
      <c r="L795" s="62">
        <f>VLOOKUP($B795,Overall!$B$5:$I$13,8)</f>
        <v>0</v>
      </c>
      <c r="M795" s="58"/>
      <c r="N795" s="3" t="str">
        <f t="shared" si="109"/>
        <v/>
      </c>
      <c r="O795" s="3" t="str">
        <f t="shared" si="110"/>
        <v/>
      </c>
      <c r="P795" s="3" t="str">
        <f t="shared" si="111"/>
        <v/>
      </c>
      <c r="Q795" s="3">
        <f t="shared" si="112"/>
        <v>0</v>
      </c>
      <c r="R795" s="3">
        <f t="shared" si="113"/>
        <v>0</v>
      </c>
      <c r="S795" s="3" t="e" cm="1">
        <f t="array" aca="1" ref="S795" ca="1">SUMPRODUCT(MID($P795,ROW(INDIRECT("1:23")),1)*2^(-ROW(INDIRECT("1:23"))))</f>
        <v>#VALUE!</v>
      </c>
      <c r="T795" s="3" t="e">
        <f t="shared" ca="1" si="114"/>
        <v>#VALUE!</v>
      </c>
      <c r="U795" s="3" t="e">
        <f t="shared" ca="1" si="115"/>
        <v>#VALUE!</v>
      </c>
      <c r="V795" s="73"/>
      <c r="W795" s="9" t="str">
        <f t="shared" si="116"/>
        <v>OK</v>
      </c>
    </row>
    <row r="796" spans="1:23" x14ac:dyDescent="0.3">
      <c r="A796" s="44">
        <v>793</v>
      </c>
      <c r="B796" s="14">
        <v>9</v>
      </c>
      <c r="C796" s="4">
        <v>21</v>
      </c>
      <c r="D796" s="3" t="str">
        <f>VLOOKUP($C796,Overall!$K$5:$T$36,2)</f>
        <v>Normal</v>
      </c>
      <c r="E796" s="3">
        <f ca="1">VLOOKUP($C796,Overall!$K$5:$T$36,10)</f>
        <v>2.345678924830959E+38</v>
      </c>
      <c r="F796" s="9" t="str">
        <f>VLOOKUP($C796,Overall!$K$5:$T$36,6)</f>
        <v>01111111001100000111100000100010</v>
      </c>
      <c r="G796" s="8">
        <v>21</v>
      </c>
      <c r="H796" s="3" t="str">
        <f>VLOOKUP($G796,Overall!$K$5:$T$36,2)</f>
        <v>Normal</v>
      </c>
      <c r="I796" s="3">
        <f ca="1">VLOOKUP($G796,Overall!$K$5:$T$36,10)</f>
        <v>2.345678924830959E+38</v>
      </c>
      <c r="J796" s="62" t="str">
        <f>VLOOKUP($G796,Overall!$K$5:$T$36,6)</f>
        <v>01111111001100000111100000100010</v>
      </c>
      <c r="K796" s="8">
        <f t="shared" ca="1" si="108"/>
        <v>5.5022096183961237E+76</v>
      </c>
      <c r="L796" s="62">
        <f>VLOOKUP($B796,Overall!$B$5:$I$13,8)</f>
        <v>0</v>
      </c>
      <c r="M796" s="58"/>
      <c r="N796" s="3" t="str">
        <f t="shared" si="109"/>
        <v/>
      </c>
      <c r="O796" s="3" t="str">
        <f t="shared" si="110"/>
        <v/>
      </c>
      <c r="P796" s="3" t="str">
        <f t="shared" si="111"/>
        <v/>
      </c>
      <c r="Q796" s="3">
        <f t="shared" si="112"/>
        <v>0</v>
      </c>
      <c r="R796" s="3">
        <f t="shared" si="113"/>
        <v>0</v>
      </c>
      <c r="S796" s="3" t="e" cm="1">
        <f t="array" aca="1" ref="S796" ca="1">SUMPRODUCT(MID($P796,ROW(INDIRECT("1:23")),1)*2^(-ROW(INDIRECT("1:23"))))</f>
        <v>#VALUE!</v>
      </c>
      <c r="T796" s="3" t="e">
        <f t="shared" ca="1" si="114"/>
        <v>#VALUE!</v>
      </c>
      <c r="U796" s="3" t="e">
        <f t="shared" ca="1" si="115"/>
        <v>#VALUE!</v>
      </c>
      <c r="V796" s="73"/>
      <c r="W796" s="9" t="str">
        <f t="shared" si="116"/>
        <v>OK</v>
      </c>
    </row>
    <row r="797" spans="1:23" x14ac:dyDescent="0.3">
      <c r="A797" s="44">
        <v>794</v>
      </c>
      <c r="B797" s="14">
        <v>9</v>
      </c>
      <c r="C797" s="4">
        <v>21</v>
      </c>
      <c r="D797" s="3" t="str">
        <f>VLOOKUP($C797,Overall!$K$5:$T$36,2)</f>
        <v>Normal</v>
      </c>
      <c r="E797" s="3">
        <f ca="1">VLOOKUP($C797,Overall!$K$5:$T$36,10)</f>
        <v>2.345678924830959E+38</v>
      </c>
      <c r="F797" s="9" t="str">
        <f>VLOOKUP($C797,Overall!$K$5:$T$36,6)</f>
        <v>01111111001100000111100000100010</v>
      </c>
      <c r="G797" s="8">
        <v>22</v>
      </c>
      <c r="H797" s="3" t="str">
        <f>VLOOKUP($G797,Overall!$K$5:$T$36,2)</f>
        <v>Normal</v>
      </c>
      <c r="I797" s="3">
        <f ca="1">VLOOKUP($G797,Overall!$K$5:$T$36,10)</f>
        <v>3.4028232635611926E+38</v>
      </c>
      <c r="J797" s="62" t="str">
        <f>VLOOKUP($G797,Overall!$K$5:$T$36,6)</f>
        <v>01111111011111111111111111111110</v>
      </c>
      <c r="K797" s="8">
        <f t="shared" ca="1" si="108"/>
        <v>7.9819308142599931E+76</v>
      </c>
      <c r="L797" s="62">
        <f>VLOOKUP($B797,Overall!$B$5:$I$13,8)</f>
        <v>0</v>
      </c>
      <c r="M797" s="58"/>
      <c r="N797" s="3" t="str">
        <f t="shared" si="109"/>
        <v/>
      </c>
      <c r="O797" s="3" t="str">
        <f t="shared" si="110"/>
        <v/>
      </c>
      <c r="P797" s="3" t="str">
        <f t="shared" si="111"/>
        <v/>
      </c>
      <c r="Q797" s="3">
        <f t="shared" si="112"/>
        <v>0</v>
      </c>
      <c r="R797" s="3">
        <f t="shared" si="113"/>
        <v>0</v>
      </c>
      <c r="S797" s="3" t="e" cm="1">
        <f t="array" aca="1" ref="S797" ca="1">SUMPRODUCT(MID($P797,ROW(INDIRECT("1:23")),1)*2^(-ROW(INDIRECT("1:23"))))</f>
        <v>#VALUE!</v>
      </c>
      <c r="T797" s="3" t="e">
        <f t="shared" ca="1" si="114"/>
        <v>#VALUE!</v>
      </c>
      <c r="U797" s="3" t="e">
        <f t="shared" ca="1" si="115"/>
        <v>#VALUE!</v>
      </c>
      <c r="V797" s="73"/>
      <c r="W797" s="9" t="str">
        <f t="shared" si="116"/>
        <v>OK</v>
      </c>
    </row>
    <row r="798" spans="1:23" x14ac:dyDescent="0.3">
      <c r="A798" s="44">
        <v>795</v>
      </c>
      <c r="B798" s="14">
        <v>9</v>
      </c>
      <c r="C798" s="4">
        <v>21</v>
      </c>
      <c r="D798" s="3" t="str">
        <f>VLOOKUP($C798,Overall!$K$5:$T$36,2)</f>
        <v>Normal</v>
      </c>
      <c r="E798" s="3">
        <f ca="1">VLOOKUP($C798,Overall!$K$5:$T$36,10)</f>
        <v>2.345678924830959E+38</v>
      </c>
      <c r="F798" s="9" t="str">
        <f>VLOOKUP($C798,Overall!$K$5:$T$36,6)</f>
        <v>01111111001100000111100000100010</v>
      </c>
      <c r="G798" s="8">
        <v>23</v>
      </c>
      <c r="H798" s="3" t="str">
        <f>VLOOKUP($G798,Overall!$K$5:$T$36,2)</f>
        <v>Normal</v>
      </c>
      <c r="I798" s="3">
        <f ca="1">VLOOKUP($G798,Overall!$K$5:$T$36,10)</f>
        <v>3.4028234663852886E+38</v>
      </c>
      <c r="J798" s="62" t="str">
        <f>VLOOKUP($G798,Overall!$K$5:$T$36,6)</f>
        <v>01111111011111111111111111111111</v>
      </c>
      <c r="K798" s="8">
        <f t="shared" ca="1" si="108"/>
        <v>7.9819312900202006E+76</v>
      </c>
      <c r="L798" s="62">
        <f>VLOOKUP($B798,Overall!$B$5:$I$13,8)</f>
        <v>0</v>
      </c>
      <c r="M798" s="58"/>
      <c r="N798" s="3" t="str">
        <f t="shared" si="109"/>
        <v/>
      </c>
      <c r="O798" s="3" t="str">
        <f t="shared" si="110"/>
        <v/>
      </c>
      <c r="P798" s="3" t="str">
        <f t="shared" si="111"/>
        <v/>
      </c>
      <c r="Q798" s="3">
        <f t="shared" si="112"/>
        <v>0</v>
      </c>
      <c r="R798" s="3">
        <f t="shared" si="113"/>
        <v>0</v>
      </c>
      <c r="S798" s="3" t="e" cm="1">
        <f t="array" aca="1" ref="S798" ca="1">SUMPRODUCT(MID($P798,ROW(INDIRECT("1:23")),1)*2^(-ROW(INDIRECT("1:23"))))</f>
        <v>#VALUE!</v>
      </c>
      <c r="T798" s="3" t="e">
        <f t="shared" ca="1" si="114"/>
        <v>#VALUE!</v>
      </c>
      <c r="U798" s="3" t="e">
        <f t="shared" ca="1" si="115"/>
        <v>#VALUE!</v>
      </c>
      <c r="V798" s="73"/>
      <c r="W798" s="9" t="str">
        <f t="shared" si="116"/>
        <v>OK</v>
      </c>
    </row>
    <row r="799" spans="1:23" x14ac:dyDescent="0.3">
      <c r="A799" s="44">
        <v>796</v>
      </c>
      <c r="B799" s="14">
        <v>9</v>
      </c>
      <c r="C799" s="4">
        <v>21</v>
      </c>
      <c r="D799" s="3" t="str">
        <f>VLOOKUP($C799,Overall!$K$5:$T$36,2)</f>
        <v>Normal</v>
      </c>
      <c r="E799" s="3">
        <f ca="1">VLOOKUP($C799,Overall!$K$5:$T$36,10)</f>
        <v>2.345678924830959E+38</v>
      </c>
      <c r="F799" s="9" t="str">
        <f>VLOOKUP($C799,Overall!$K$5:$T$36,6)</f>
        <v>01111111001100000111100000100010</v>
      </c>
      <c r="G799" s="8">
        <v>24</v>
      </c>
      <c r="H799" s="3" t="str">
        <f>VLOOKUP($G799,Overall!$K$5:$T$36,2)</f>
        <v>Normal</v>
      </c>
      <c r="I799" s="3">
        <f ca="1">VLOOKUP($G799,Overall!$K$5:$T$36,10)</f>
        <v>-1.1754943508222875E-38</v>
      </c>
      <c r="J799" s="62" t="str">
        <f>VLOOKUP($G799,Overall!$K$5:$T$36,6)</f>
        <v>10000000100000000000000000000000</v>
      </c>
      <c r="K799" s="8">
        <f t="shared" ca="1" si="108"/>
        <v>-2.7573323249816895</v>
      </c>
      <c r="L799" s="62">
        <f>VLOOKUP($B799,Overall!$B$5:$I$13,8)</f>
        <v>0</v>
      </c>
      <c r="M799" s="58"/>
      <c r="N799" s="3" t="str">
        <f t="shared" si="109"/>
        <v/>
      </c>
      <c r="O799" s="3" t="str">
        <f t="shared" si="110"/>
        <v/>
      </c>
      <c r="P799" s="3" t="str">
        <f t="shared" si="111"/>
        <v/>
      </c>
      <c r="Q799" s="3">
        <f t="shared" si="112"/>
        <v>0</v>
      </c>
      <c r="R799" s="3">
        <f t="shared" si="113"/>
        <v>0</v>
      </c>
      <c r="S799" s="3" t="e" cm="1">
        <f t="array" aca="1" ref="S799" ca="1">SUMPRODUCT(MID($P799,ROW(INDIRECT("1:23")),1)*2^(-ROW(INDIRECT("1:23"))))</f>
        <v>#VALUE!</v>
      </c>
      <c r="T799" s="3" t="e">
        <f t="shared" ca="1" si="114"/>
        <v>#VALUE!</v>
      </c>
      <c r="U799" s="3" t="e">
        <f t="shared" ca="1" si="115"/>
        <v>#VALUE!</v>
      </c>
      <c r="V799" s="73"/>
      <c r="W799" s="9" t="str">
        <f t="shared" si="116"/>
        <v>OK</v>
      </c>
    </row>
    <row r="800" spans="1:23" x14ac:dyDescent="0.3">
      <c r="A800" s="44">
        <v>797</v>
      </c>
      <c r="B800" s="14">
        <v>9</v>
      </c>
      <c r="C800" s="4">
        <v>21</v>
      </c>
      <c r="D800" s="3" t="str">
        <f>VLOOKUP($C800,Overall!$K$5:$T$36,2)</f>
        <v>Normal</v>
      </c>
      <c r="E800" s="3">
        <f ca="1">VLOOKUP($C800,Overall!$K$5:$T$36,10)</f>
        <v>2.345678924830959E+38</v>
      </c>
      <c r="F800" s="9" t="str">
        <f>VLOOKUP($C800,Overall!$K$5:$T$36,6)</f>
        <v>01111111001100000111100000100010</v>
      </c>
      <c r="G800" s="8">
        <v>25</v>
      </c>
      <c r="H800" s="3" t="str">
        <f>VLOOKUP($G800,Overall!$K$5:$T$36,2)</f>
        <v>Normal</v>
      </c>
      <c r="I800" s="3">
        <f ca="1">VLOOKUP($G800,Overall!$K$5:$T$36,10)</f>
        <v>-1.1754944909521339E-38</v>
      </c>
      <c r="J800" s="62" t="str">
        <f>VLOOKUP($G800,Overall!$K$5:$T$36,6)</f>
        <v>10000000100000000000000000000001</v>
      </c>
      <c r="K800" s="8">
        <f t="shared" ca="1" si="108"/>
        <v>-2.757332653681317</v>
      </c>
      <c r="L800" s="62">
        <f>VLOOKUP($B800,Overall!$B$5:$I$13,8)</f>
        <v>0</v>
      </c>
      <c r="M800" s="58"/>
      <c r="N800" s="3" t="str">
        <f t="shared" si="109"/>
        <v/>
      </c>
      <c r="O800" s="3" t="str">
        <f t="shared" si="110"/>
        <v/>
      </c>
      <c r="P800" s="3" t="str">
        <f t="shared" si="111"/>
        <v/>
      </c>
      <c r="Q800" s="3">
        <f t="shared" si="112"/>
        <v>0</v>
      </c>
      <c r="R800" s="3">
        <f t="shared" si="113"/>
        <v>0</v>
      </c>
      <c r="S800" s="3" t="e" cm="1">
        <f t="array" aca="1" ref="S800" ca="1">SUMPRODUCT(MID($P800,ROW(INDIRECT("1:23")),1)*2^(-ROW(INDIRECT("1:23"))))</f>
        <v>#VALUE!</v>
      </c>
      <c r="T800" s="3" t="e">
        <f t="shared" ca="1" si="114"/>
        <v>#VALUE!</v>
      </c>
      <c r="U800" s="3" t="e">
        <f t="shared" ca="1" si="115"/>
        <v>#VALUE!</v>
      </c>
      <c r="V800" s="73"/>
      <c r="W800" s="9" t="str">
        <f t="shared" si="116"/>
        <v>OK</v>
      </c>
    </row>
    <row r="801" spans="1:23" x14ac:dyDescent="0.3">
      <c r="A801" s="44">
        <v>798</v>
      </c>
      <c r="B801" s="14">
        <v>9</v>
      </c>
      <c r="C801" s="4">
        <v>21</v>
      </c>
      <c r="D801" s="3" t="str">
        <f>VLOOKUP($C801,Overall!$K$5:$T$36,2)</f>
        <v>Normal</v>
      </c>
      <c r="E801" s="3">
        <f ca="1">VLOOKUP($C801,Overall!$K$5:$T$36,10)</f>
        <v>2.345678924830959E+38</v>
      </c>
      <c r="F801" s="9" t="str">
        <f>VLOOKUP($C801,Overall!$K$5:$T$36,6)</f>
        <v>01111111001100000111100000100010</v>
      </c>
      <c r="G801" s="8">
        <v>26</v>
      </c>
      <c r="H801" s="3" t="str">
        <f>VLOOKUP($G801,Overall!$K$5:$T$36,2)</f>
        <v>Normal</v>
      </c>
      <c r="I801" s="3">
        <f ca="1">VLOOKUP($G801,Overall!$K$5:$T$36,10)</f>
        <v>-0.5</v>
      </c>
      <c r="J801" s="62" t="str">
        <f>VLOOKUP($G801,Overall!$K$5:$T$36,6)</f>
        <v>10111111000000000000000000000000</v>
      </c>
      <c r="K801" s="8">
        <f t="shared" ca="1" si="108"/>
        <v>-1.1728394624154795E+38</v>
      </c>
      <c r="L801" s="62">
        <f>VLOOKUP($B801,Overall!$B$5:$I$13,8)</f>
        <v>0</v>
      </c>
      <c r="M801" s="58"/>
      <c r="N801" s="3" t="str">
        <f t="shared" si="109"/>
        <v/>
      </c>
      <c r="O801" s="3" t="str">
        <f t="shared" si="110"/>
        <v/>
      </c>
      <c r="P801" s="3" t="str">
        <f t="shared" si="111"/>
        <v/>
      </c>
      <c r="Q801" s="3">
        <f t="shared" si="112"/>
        <v>0</v>
      </c>
      <c r="R801" s="3">
        <f t="shared" si="113"/>
        <v>0</v>
      </c>
      <c r="S801" s="3" t="e" cm="1">
        <f t="array" aca="1" ref="S801" ca="1">SUMPRODUCT(MID($P801,ROW(INDIRECT("1:23")),1)*2^(-ROW(INDIRECT("1:23"))))</f>
        <v>#VALUE!</v>
      </c>
      <c r="T801" s="3" t="e">
        <f t="shared" ca="1" si="114"/>
        <v>#VALUE!</v>
      </c>
      <c r="U801" s="3" t="e">
        <f t="shared" ca="1" si="115"/>
        <v>#VALUE!</v>
      </c>
      <c r="V801" s="73"/>
      <c r="W801" s="9" t="str">
        <f t="shared" si="116"/>
        <v>OK</v>
      </c>
    </row>
    <row r="802" spans="1:23" x14ac:dyDescent="0.3">
      <c r="A802" s="44">
        <v>799</v>
      </c>
      <c r="B802" s="14">
        <v>9</v>
      </c>
      <c r="C802" s="4">
        <v>21</v>
      </c>
      <c r="D802" s="3" t="str">
        <f>VLOOKUP($C802,Overall!$K$5:$T$36,2)</f>
        <v>Normal</v>
      </c>
      <c r="E802" s="3">
        <f ca="1">VLOOKUP($C802,Overall!$K$5:$T$36,10)</f>
        <v>2.345678924830959E+38</v>
      </c>
      <c r="F802" s="9" t="str">
        <f>VLOOKUP($C802,Overall!$K$5:$T$36,6)</f>
        <v>01111111001100000111100000100010</v>
      </c>
      <c r="G802" s="8">
        <v>27</v>
      </c>
      <c r="H802" s="3" t="str">
        <f>VLOOKUP($G802,Overall!$K$5:$T$36,2)</f>
        <v>Normal</v>
      </c>
      <c r="I802" s="3">
        <f ca="1">VLOOKUP($G802,Overall!$K$5:$T$36,10)</f>
        <v>-1</v>
      </c>
      <c r="J802" s="62" t="str">
        <f>VLOOKUP($G802,Overall!$K$5:$T$36,6)</f>
        <v>10111111100000000000000000000000</v>
      </c>
      <c r="K802" s="8">
        <f t="shared" ca="1" si="108"/>
        <v>-2.345678924830959E+38</v>
      </c>
      <c r="L802" s="62">
        <f>VLOOKUP($B802,Overall!$B$5:$I$13,8)</f>
        <v>0</v>
      </c>
      <c r="M802" s="58"/>
      <c r="N802" s="3" t="str">
        <f t="shared" si="109"/>
        <v/>
      </c>
      <c r="O802" s="3" t="str">
        <f t="shared" si="110"/>
        <v/>
      </c>
      <c r="P802" s="3" t="str">
        <f t="shared" si="111"/>
        <v/>
      </c>
      <c r="Q802" s="3">
        <f t="shared" si="112"/>
        <v>0</v>
      </c>
      <c r="R802" s="3">
        <f t="shared" si="113"/>
        <v>0</v>
      </c>
      <c r="S802" s="3" t="e" cm="1">
        <f t="array" aca="1" ref="S802" ca="1">SUMPRODUCT(MID($P802,ROW(INDIRECT("1:23")),1)*2^(-ROW(INDIRECT("1:23"))))</f>
        <v>#VALUE!</v>
      </c>
      <c r="T802" s="3" t="e">
        <f t="shared" ca="1" si="114"/>
        <v>#VALUE!</v>
      </c>
      <c r="U802" s="3" t="e">
        <f t="shared" ca="1" si="115"/>
        <v>#VALUE!</v>
      </c>
      <c r="V802" s="73"/>
      <c r="W802" s="9" t="str">
        <f t="shared" si="116"/>
        <v>OK</v>
      </c>
    </row>
    <row r="803" spans="1:23" x14ac:dyDescent="0.3">
      <c r="A803" s="44">
        <v>800</v>
      </c>
      <c r="B803" s="14">
        <v>9</v>
      </c>
      <c r="C803" s="4">
        <v>21</v>
      </c>
      <c r="D803" s="3" t="str">
        <f>VLOOKUP($C803,Overall!$K$5:$T$36,2)</f>
        <v>Normal</v>
      </c>
      <c r="E803" s="3">
        <f ca="1">VLOOKUP($C803,Overall!$K$5:$T$36,10)</f>
        <v>2.345678924830959E+38</v>
      </c>
      <c r="F803" s="9" t="str">
        <f>VLOOKUP($C803,Overall!$K$5:$T$36,6)</f>
        <v>01111111001100000111100000100010</v>
      </c>
      <c r="G803" s="8">
        <v>28</v>
      </c>
      <c r="H803" s="3" t="str">
        <f>VLOOKUP($G803,Overall!$K$5:$T$36,2)</f>
        <v>Normal</v>
      </c>
      <c r="I803" s="3">
        <f ca="1">VLOOKUP($G803,Overall!$K$5:$T$36,10)</f>
        <v>-1.5</v>
      </c>
      <c r="J803" s="62" t="str">
        <f>VLOOKUP($G803,Overall!$K$5:$T$36,6)</f>
        <v>10111111110000000000000000000000</v>
      </c>
      <c r="K803" s="8">
        <f t="shared" ca="1" si="108"/>
        <v>-3.5185183872464385E+38</v>
      </c>
      <c r="L803" s="62">
        <f>VLOOKUP($B803,Overall!$B$5:$I$13,8)</f>
        <v>0</v>
      </c>
      <c r="M803" s="58"/>
      <c r="N803" s="3" t="str">
        <f t="shared" si="109"/>
        <v/>
      </c>
      <c r="O803" s="3" t="str">
        <f t="shared" si="110"/>
        <v/>
      </c>
      <c r="P803" s="3" t="str">
        <f t="shared" si="111"/>
        <v/>
      </c>
      <c r="Q803" s="3">
        <f t="shared" si="112"/>
        <v>0</v>
      </c>
      <c r="R803" s="3">
        <f t="shared" si="113"/>
        <v>0</v>
      </c>
      <c r="S803" s="3" t="e" cm="1">
        <f t="array" aca="1" ref="S803" ca="1">SUMPRODUCT(MID($P803,ROW(INDIRECT("1:23")),1)*2^(-ROW(INDIRECT("1:23"))))</f>
        <v>#VALUE!</v>
      </c>
      <c r="T803" s="3" t="e">
        <f t="shared" ca="1" si="114"/>
        <v>#VALUE!</v>
      </c>
      <c r="U803" s="3" t="e">
        <f t="shared" ca="1" si="115"/>
        <v>#VALUE!</v>
      </c>
      <c r="V803" s="73"/>
      <c r="W803" s="9" t="str">
        <f t="shared" si="116"/>
        <v>OK</v>
      </c>
    </row>
    <row r="804" spans="1:23" x14ac:dyDescent="0.3">
      <c r="A804" s="44">
        <v>801</v>
      </c>
      <c r="B804" s="14">
        <v>9</v>
      </c>
      <c r="C804" s="4">
        <v>21</v>
      </c>
      <c r="D804" s="3" t="str">
        <f>VLOOKUP($C804,Overall!$K$5:$T$36,2)</f>
        <v>Normal</v>
      </c>
      <c r="E804" s="3">
        <f ca="1">VLOOKUP($C804,Overall!$K$5:$T$36,10)</f>
        <v>2.345678924830959E+38</v>
      </c>
      <c r="F804" s="9" t="str">
        <f>VLOOKUP($C804,Overall!$K$5:$T$36,6)</f>
        <v>01111111001100000111100000100010</v>
      </c>
      <c r="G804" s="8">
        <v>29</v>
      </c>
      <c r="H804" s="3" t="str">
        <f>VLOOKUP($G804,Overall!$K$5:$T$36,2)</f>
        <v>Normal</v>
      </c>
      <c r="I804" s="3">
        <f ca="1">VLOOKUP($G804,Overall!$K$5:$T$36,10)</f>
        <v>-12345.6787109375</v>
      </c>
      <c r="J804" s="62" t="str">
        <f>VLOOKUP($G804,Overall!$K$5:$T$36,6)</f>
        <v>101000110010000001110011010110111</v>
      </c>
      <c r="K804" s="8">
        <f t="shared" ca="1" si="108"/>
        <v>-2.8958998364980335E+42</v>
      </c>
      <c r="L804" s="62">
        <f>VLOOKUP($B804,Overall!$B$5:$I$13,8)</f>
        <v>0</v>
      </c>
      <c r="M804" s="58"/>
      <c r="N804" s="3" t="str">
        <f t="shared" si="109"/>
        <v/>
      </c>
      <c r="O804" s="3" t="str">
        <f t="shared" si="110"/>
        <v/>
      </c>
      <c r="P804" s="3" t="str">
        <f t="shared" si="111"/>
        <v/>
      </c>
      <c r="Q804" s="3">
        <f t="shared" si="112"/>
        <v>0</v>
      </c>
      <c r="R804" s="3">
        <f t="shared" si="113"/>
        <v>0</v>
      </c>
      <c r="S804" s="3" t="e" cm="1">
        <f t="array" aca="1" ref="S804" ca="1">SUMPRODUCT(MID($P804,ROW(INDIRECT("1:23")),1)*2^(-ROW(INDIRECT("1:23"))))</f>
        <v>#VALUE!</v>
      </c>
      <c r="T804" s="3" t="e">
        <f t="shared" ca="1" si="114"/>
        <v>#VALUE!</v>
      </c>
      <c r="U804" s="3" t="e">
        <f t="shared" ca="1" si="115"/>
        <v>#VALUE!</v>
      </c>
      <c r="V804" s="73"/>
      <c r="W804" s="9" t="str">
        <f t="shared" si="116"/>
        <v>OK</v>
      </c>
    </row>
    <row r="805" spans="1:23" x14ac:dyDescent="0.3">
      <c r="A805" s="44">
        <v>802</v>
      </c>
      <c r="B805" s="14">
        <v>9</v>
      </c>
      <c r="C805" s="4">
        <v>21</v>
      </c>
      <c r="D805" s="3" t="str">
        <f>VLOOKUP($C805,Overall!$K$5:$T$36,2)</f>
        <v>Normal</v>
      </c>
      <c r="E805" s="3">
        <f ca="1">VLOOKUP($C805,Overall!$K$5:$T$36,10)</f>
        <v>2.345678924830959E+38</v>
      </c>
      <c r="F805" s="9" t="str">
        <f>VLOOKUP($C805,Overall!$K$5:$T$36,6)</f>
        <v>01111111001100000111100000100010</v>
      </c>
      <c r="G805" s="8">
        <v>30</v>
      </c>
      <c r="H805" s="3" t="str">
        <f>VLOOKUP($G805,Overall!$K$5:$T$36,2)</f>
        <v>Normal</v>
      </c>
      <c r="I805" s="3">
        <f ca="1">VLOOKUP($G805,Overall!$K$5:$T$36,10)</f>
        <v>-2.345678924830959E+38</v>
      </c>
      <c r="J805" s="62" t="str">
        <f>VLOOKUP($G805,Overall!$K$5:$T$36,6)</f>
        <v>11111111001100000111100000100010</v>
      </c>
      <c r="K805" s="8">
        <f t="shared" ca="1" si="108"/>
        <v>-5.5022096183961237E+76</v>
      </c>
      <c r="L805" s="62">
        <f>VLOOKUP($B805,Overall!$B$5:$I$13,8)</f>
        <v>0</v>
      </c>
      <c r="M805" s="58"/>
      <c r="N805" s="3" t="str">
        <f t="shared" si="109"/>
        <v/>
      </c>
      <c r="O805" s="3" t="str">
        <f t="shared" si="110"/>
        <v/>
      </c>
      <c r="P805" s="3" t="str">
        <f t="shared" si="111"/>
        <v/>
      </c>
      <c r="Q805" s="3">
        <f t="shared" si="112"/>
        <v>0</v>
      </c>
      <c r="R805" s="3">
        <f t="shared" si="113"/>
        <v>0</v>
      </c>
      <c r="S805" s="3" t="e" cm="1">
        <f t="array" aca="1" ref="S805" ca="1">SUMPRODUCT(MID($P805,ROW(INDIRECT("1:23")),1)*2^(-ROW(INDIRECT("1:23"))))</f>
        <v>#VALUE!</v>
      </c>
      <c r="T805" s="3" t="e">
        <f t="shared" ca="1" si="114"/>
        <v>#VALUE!</v>
      </c>
      <c r="U805" s="3" t="e">
        <f t="shared" ca="1" si="115"/>
        <v>#VALUE!</v>
      </c>
      <c r="V805" s="73"/>
      <c r="W805" s="9" t="str">
        <f t="shared" si="116"/>
        <v>OK</v>
      </c>
    </row>
    <row r="806" spans="1:23" x14ac:dyDescent="0.3">
      <c r="A806" s="44">
        <v>803</v>
      </c>
      <c r="B806" s="14">
        <v>9</v>
      </c>
      <c r="C806" s="4">
        <v>21</v>
      </c>
      <c r="D806" s="3" t="str">
        <f>VLOOKUP($C806,Overall!$K$5:$T$36,2)</f>
        <v>Normal</v>
      </c>
      <c r="E806" s="3">
        <f ca="1">VLOOKUP($C806,Overall!$K$5:$T$36,10)</f>
        <v>2.345678924830959E+38</v>
      </c>
      <c r="F806" s="9" t="str">
        <f>VLOOKUP($C806,Overall!$K$5:$T$36,6)</f>
        <v>01111111001100000111100000100010</v>
      </c>
      <c r="G806" s="8">
        <v>31</v>
      </c>
      <c r="H806" s="3" t="str">
        <f>VLOOKUP($G806,Overall!$K$5:$T$36,2)</f>
        <v>Normal</v>
      </c>
      <c r="I806" s="3">
        <f ca="1">VLOOKUP($G806,Overall!$K$5:$T$36,10)</f>
        <v>-3.4028232635611926E+38</v>
      </c>
      <c r="J806" s="62" t="str">
        <f>VLOOKUP($G806,Overall!$K$5:$T$36,6)</f>
        <v>11111111011111111111111111111110</v>
      </c>
      <c r="K806" s="8">
        <f t="shared" ca="1" si="108"/>
        <v>-7.9819308142599931E+76</v>
      </c>
      <c r="L806" s="62">
        <f>VLOOKUP($B806,Overall!$B$5:$I$13,8)</f>
        <v>0</v>
      </c>
      <c r="M806" s="58"/>
      <c r="N806" s="3" t="str">
        <f t="shared" si="109"/>
        <v/>
      </c>
      <c r="O806" s="3" t="str">
        <f t="shared" si="110"/>
        <v/>
      </c>
      <c r="P806" s="3" t="str">
        <f t="shared" si="111"/>
        <v/>
      </c>
      <c r="Q806" s="3">
        <f t="shared" si="112"/>
        <v>0</v>
      </c>
      <c r="R806" s="3">
        <f t="shared" si="113"/>
        <v>0</v>
      </c>
      <c r="S806" s="3" t="e" cm="1">
        <f t="array" aca="1" ref="S806" ca="1">SUMPRODUCT(MID($P806,ROW(INDIRECT("1:23")),1)*2^(-ROW(INDIRECT("1:23"))))</f>
        <v>#VALUE!</v>
      </c>
      <c r="T806" s="3" t="e">
        <f t="shared" ca="1" si="114"/>
        <v>#VALUE!</v>
      </c>
      <c r="U806" s="3" t="e">
        <f t="shared" ca="1" si="115"/>
        <v>#VALUE!</v>
      </c>
      <c r="V806" s="73"/>
      <c r="W806" s="9" t="str">
        <f t="shared" si="116"/>
        <v>OK</v>
      </c>
    </row>
    <row r="807" spans="1:23" x14ac:dyDescent="0.3">
      <c r="A807" s="44">
        <v>804</v>
      </c>
      <c r="B807" s="14">
        <v>9</v>
      </c>
      <c r="C807" s="4">
        <v>21</v>
      </c>
      <c r="D807" s="3" t="str">
        <f>VLOOKUP($C807,Overall!$K$5:$T$36,2)</f>
        <v>Normal</v>
      </c>
      <c r="E807" s="3">
        <f ca="1">VLOOKUP($C807,Overall!$K$5:$T$36,10)</f>
        <v>2.345678924830959E+38</v>
      </c>
      <c r="F807" s="9" t="str">
        <f>VLOOKUP($C807,Overall!$K$5:$T$36,6)</f>
        <v>01111111001100000111100000100010</v>
      </c>
      <c r="G807" s="8">
        <v>32</v>
      </c>
      <c r="H807" s="3" t="str">
        <f>VLOOKUP($G807,Overall!$K$5:$T$36,2)</f>
        <v>Normal</v>
      </c>
      <c r="I807" s="3">
        <f ca="1">VLOOKUP($G807,Overall!$K$5:$T$36,10)</f>
        <v>-3.4028234663852886E+38</v>
      </c>
      <c r="J807" s="62" t="str">
        <f>VLOOKUP($G807,Overall!$K$5:$T$36,6)</f>
        <v>11111111011111111111111111111111</v>
      </c>
      <c r="K807" s="8">
        <f t="shared" ca="1" si="108"/>
        <v>-7.9819312900202006E+76</v>
      </c>
      <c r="L807" s="62">
        <f>VLOOKUP($B807,Overall!$B$5:$I$13,8)</f>
        <v>0</v>
      </c>
      <c r="M807" s="58"/>
      <c r="N807" s="3" t="str">
        <f t="shared" si="109"/>
        <v/>
      </c>
      <c r="O807" s="3" t="str">
        <f t="shared" si="110"/>
        <v/>
      </c>
      <c r="P807" s="3" t="str">
        <f t="shared" si="111"/>
        <v/>
      </c>
      <c r="Q807" s="3">
        <f t="shared" si="112"/>
        <v>0</v>
      </c>
      <c r="R807" s="3">
        <f t="shared" si="113"/>
        <v>0</v>
      </c>
      <c r="S807" s="3" t="e" cm="1">
        <f t="array" aca="1" ref="S807" ca="1">SUMPRODUCT(MID($P807,ROW(INDIRECT("1:23")),1)*2^(-ROW(INDIRECT("1:23"))))</f>
        <v>#VALUE!</v>
      </c>
      <c r="T807" s="3" t="e">
        <f t="shared" ca="1" si="114"/>
        <v>#VALUE!</v>
      </c>
      <c r="U807" s="3" t="e">
        <f t="shared" ca="1" si="115"/>
        <v>#VALUE!</v>
      </c>
      <c r="V807" s="73"/>
      <c r="W807" s="9" t="str">
        <f t="shared" si="116"/>
        <v>OK</v>
      </c>
    </row>
    <row r="808" spans="1:23" x14ac:dyDescent="0.3">
      <c r="A808" s="44">
        <v>805</v>
      </c>
      <c r="B808" s="14">
        <v>9</v>
      </c>
      <c r="C808" s="4">
        <v>22</v>
      </c>
      <c r="D808" s="3" t="str">
        <f>VLOOKUP($C808,Overall!$K$5:$T$36,2)</f>
        <v>Normal</v>
      </c>
      <c r="E808" s="3">
        <f ca="1">VLOOKUP($C808,Overall!$K$5:$T$36,10)</f>
        <v>3.4028232635611926E+38</v>
      </c>
      <c r="F808" s="9" t="str">
        <f>VLOOKUP($C808,Overall!$K$5:$T$36,6)</f>
        <v>01111111011111111111111111111110</v>
      </c>
      <c r="G808" s="8">
        <v>13</v>
      </c>
      <c r="H808" s="3" t="str">
        <f>VLOOKUP($G808,Overall!$K$5:$T$36,2)</f>
        <v>Normal</v>
      </c>
      <c r="I808" s="3">
        <f ca="1">VLOOKUP($G808,Overall!$K$5:$T$36,10)</f>
        <v>0</v>
      </c>
      <c r="J808" s="62" t="str">
        <f>VLOOKUP($G808,Overall!$K$5:$T$36,6)</f>
        <v>00000000000000000000000000000000</v>
      </c>
      <c r="K808" s="8">
        <f t="shared" ca="1" si="108"/>
        <v>0</v>
      </c>
      <c r="L808" s="62">
        <f>VLOOKUP($B808,Overall!$B$5:$I$13,8)</f>
        <v>0</v>
      </c>
      <c r="M808" s="58"/>
      <c r="N808" s="3" t="str">
        <f t="shared" si="109"/>
        <v/>
      </c>
      <c r="O808" s="3" t="str">
        <f t="shared" si="110"/>
        <v/>
      </c>
      <c r="P808" s="3" t="str">
        <f t="shared" si="111"/>
        <v/>
      </c>
      <c r="Q808" s="3">
        <f t="shared" si="112"/>
        <v>0</v>
      </c>
      <c r="R808" s="3">
        <f t="shared" si="113"/>
        <v>0</v>
      </c>
      <c r="S808" s="3" t="e" cm="1">
        <f t="array" aca="1" ref="S808" ca="1">SUMPRODUCT(MID($P808,ROW(INDIRECT("1:23")),1)*2^(-ROW(INDIRECT("1:23"))))</f>
        <v>#VALUE!</v>
      </c>
      <c r="T808" s="3" t="e">
        <f t="shared" ca="1" si="114"/>
        <v>#VALUE!</v>
      </c>
      <c r="U808" s="3" t="e">
        <f t="shared" ca="1" si="115"/>
        <v>#VALUE!</v>
      </c>
      <c r="V808" s="73"/>
      <c r="W808" s="9" t="str">
        <f t="shared" si="116"/>
        <v>OK</v>
      </c>
    </row>
    <row r="809" spans="1:23" x14ac:dyDescent="0.3">
      <c r="A809" s="44">
        <v>806</v>
      </c>
      <c r="B809" s="14">
        <v>9</v>
      </c>
      <c r="C809" s="4">
        <v>22</v>
      </c>
      <c r="D809" s="3" t="str">
        <f>VLOOKUP($C809,Overall!$K$5:$T$36,2)</f>
        <v>Normal</v>
      </c>
      <c r="E809" s="3">
        <f ca="1">VLOOKUP($C809,Overall!$K$5:$T$36,10)</f>
        <v>3.4028232635611926E+38</v>
      </c>
      <c r="F809" s="9" t="str">
        <f>VLOOKUP($C809,Overall!$K$5:$T$36,6)</f>
        <v>01111111011111111111111111111110</v>
      </c>
      <c r="G809" s="8">
        <v>14</v>
      </c>
      <c r="H809" s="3" t="str">
        <f>VLOOKUP($G809,Overall!$K$5:$T$36,2)</f>
        <v>Normal</v>
      </c>
      <c r="I809" s="3">
        <f ca="1">VLOOKUP($G809,Overall!$K$5:$T$36,10)</f>
        <v>0</v>
      </c>
      <c r="J809" s="62" t="str">
        <f>VLOOKUP($G809,Overall!$K$5:$T$36,6)</f>
        <v>10000000000000000000000000000000</v>
      </c>
      <c r="K809" s="8">
        <f t="shared" ca="1" si="108"/>
        <v>0</v>
      </c>
      <c r="L809" s="62">
        <f>VLOOKUP($B809,Overall!$B$5:$I$13,8)</f>
        <v>0</v>
      </c>
      <c r="M809" s="58"/>
      <c r="N809" s="3" t="str">
        <f t="shared" si="109"/>
        <v/>
      </c>
      <c r="O809" s="3" t="str">
        <f t="shared" si="110"/>
        <v/>
      </c>
      <c r="P809" s="3" t="str">
        <f t="shared" si="111"/>
        <v/>
      </c>
      <c r="Q809" s="3">
        <f t="shared" si="112"/>
        <v>0</v>
      </c>
      <c r="R809" s="3">
        <f t="shared" si="113"/>
        <v>0</v>
      </c>
      <c r="S809" s="3" t="e" cm="1">
        <f t="array" aca="1" ref="S809" ca="1">SUMPRODUCT(MID($P809,ROW(INDIRECT("1:23")),1)*2^(-ROW(INDIRECT("1:23"))))</f>
        <v>#VALUE!</v>
      </c>
      <c r="T809" s="3" t="e">
        <f t="shared" ca="1" si="114"/>
        <v>#VALUE!</v>
      </c>
      <c r="U809" s="3" t="e">
        <f t="shared" ca="1" si="115"/>
        <v>#VALUE!</v>
      </c>
      <c r="V809" s="73"/>
      <c r="W809" s="9" t="str">
        <f t="shared" si="116"/>
        <v>OK</v>
      </c>
    </row>
    <row r="810" spans="1:23" x14ac:dyDescent="0.3">
      <c r="A810" s="44">
        <v>807</v>
      </c>
      <c r="B810" s="14">
        <v>9</v>
      </c>
      <c r="C810" s="4">
        <v>22</v>
      </c>
      <c r="D810" s="3" t="str">
        <f>VLOOKUP($C810,Overall!$K$5:$T$36,2)</f>
        <v>Normal</v>
      </c>
      <c r="E810" s="3">
        <f ca="1">VLOOKUP($C810,Overall!$K$5:$T$36,10)</f>
        <v>3.4028232635611926E+38</v>
      </c>
      <c r="F810" s="9" t="str">
        <f>VLOOKUP($C810,Overall!$K$5:$T$36,6)</f>
        <v>01111111011111111111111111111110</v>
      </c>
      <c r="G810" s="8">
        <v>15</v>
      </c>
      <c r="H810" s="3" t="str">
        <f>VLOOKUP($G810,Overall!$K$5:$T$36,2)</f>
        <v>Normal</v>
      </c>
      <c r="I810" s="3">
        <f ca="1">VLOOKUP($G810,Overall!$K$5:$T$36,10)</f>
        <v>1.1754943508222875E-38</v>
      </c>
      <c r="J810" s="62" t="str">
        <f>VLOOKUP($G810,Overall!$K$5:$T$36,6)</f>
        <v>00000000100000000000000000000000</v>
      </c>
      <c r="K810" s="8">
        <f t="shared" ca="1" si="108"/>
        <v>3.9999995231628418</v>
      </c>
      <c r="L810" s="62">
        <f>VLOOKUP($B810,Overall!$B$5:$I$13,8)</f>
        <v>0</v>
      </c>
      <c r="M810" s="58"/>
      <c r="N810" s="3" t="str">
        <f t="shared" si="109"/>
        <v/>
      </c>
      <c r="O810" s="3" t="str">
        <f t="shared" si="110"/>
        <v/>
      </c>
      <c r="P810" s="3" t="str">
        <f t="shared" si="111"/>
        <v/>
      </c>
      <c r="Q810" s="3">
        <f t="shared" si="112"/>
        <v>0</v>
      </c>
      <c r="R810" s="3">
        <f t="shared" si="113"/>
        <v>0</v>
      </c>
      <c r="S810" s="3" t="e" cm="1">
        <f t="array" aca="1" ref="S810" ca="1">SUMPRODUCT(MID($P810,ROW(INDIRECT("1:23")),1)*2^(-ROW(INDIRECT("1:23"))))</f>
        <v>#VALUE!</v>
      </c>
      <c r="T810" s="3" t="e">
        <f t="shared" ca="1" si="114"/>
        <v>#VALUE!</v>
      </c>
      <c r="U810" s="3" t="e">
        <f t="shared" ca="1" si="115"/>
        <v>#VALUE!</v>
      </c>
      <c r="V810" s="73"/>
      <c r="W810" s="9" t="str">
        <f t="shared" si="116"/>
        <v>OK</v>
      </c>
    </row>
    <row r="811" spans="1:23" x14ac:dyDescent="0.3">
      <c r="A811" s="44">
        <v>808</v>
      </c>
      <c r="B811" s="14">
        <v>9</v>
      </c>
      <c r="C811" s="4">
        <v>22</v>
      </c>
      <c r="D811" s="3" t="str">
        <f>VLOOKUP($C811,Overall!$K$5:$T$36,2)</f>
        <v>Normal</v>
      </c>
      <c r="E811" s="3">
        <f ca="1">VLOOKUP($C811,Overall!$K$5:$T$36,10)</f>
        <v>3.4028232635611926E+38</v>
      </c>
      <c r="F811" s="9" t="str">
        <f>VLOOKUP($C811,Overall!$K$5:$T$36,6)</f>
        <v>01111111011111111111111111111110</v>
      </c>
      <c r="G811" s="8">
        <v>16</v>
      </c>
      <c r="H811" s="3" t="str">
        <f>VLOOKUP($G811,Overall!$K$5:$T$36,2)</f>
        <v>Normal</v>
      </c>
      <c r="I811" s="3">
        <f ca="1">VLOOKUP($G811,Overall!$K$5:$T$36,10)</f>
        <v>1.1754944909521339E-38</v>
      </c>
      <c r="J811" s="62" t="str">
        <f>VLOOKUP($G811,Overall!$K$5:$T$36,6)</f>
        <v>00000000100000000000000000000001</v>
      </c>
      <c r="K811" s="8">
        <f t="shared" ca="1" si="108"/>
        <v>3.9999999999999432</v>
      </c>
      <c r="L811" s="62">
        <f>VLOOKUP($B811,Overall!$B$5:$I$13,8)</f>
        <v>0</v>
      </c>
      <c r="M811" s="58"/>
      <c r="N811" s="3" t="str">
        <f t="shared" si="109"/>
        <v/>
      </c>
      <c r="O811" s="3" t="str">
        <f t="shared" si="110"/>
        <v/>
      </c>
      <c r="P811" s="3" t="str">
        <f t="shared" si="111"/>
        <v/>
      </c>
      <c r="Q811" s="3">
        <f t="shared" si="112"/>
        <v>0</v>
      </c>
      <c r="R811" s="3">
        <f t="shared" si="113"/>
        <v>0</v>
      </c>
      <c r="S811" s="3" t="e" cm="1">
        <f t="array" aca="1" ref="S811" ca="1">SUMPRODUCT(MID($P811,ROW(INDIRECT("1:23")),1)*2^(-ROW(INDIRECT("1:23"))))</f>
        <v>#VALUE!</v>
      </c>
      <c r="T811" s="3" t="e">
        <f t="shared" ca="1" si="114"/>
        <v>#VALUE!</v>
      </c>
      <c r="U811" s="3" t="e">
        <f t="shared" ca="1" si="115"/>
        <v>#VALUE!</v>
      </c>
      <c r="V811" s="73"/>
      <c r="W811" s="9" t="str">
        <f t="shared" si="116"/>
        <v>OK</v>
      </c>
    </row>
    <row r="812" spans="1:23" x14ac:dyDescent="0.3">
      <c r="A812" s="44">
        <v>809</v>
      </c>
      <c r="B812" s="14">
        <v>9</v>
      </c>
      <c r="C812" s="4">
        <v>22</v>
      </c>
      <c r="D812" s="3" t="str">
        <f>VLOOKUP($C812,Overall!$K$5:$T$36,2)</f>
        <v>Normal</v>
      </c>
      <c r="E812" s="3">
        <f ca="1">VLOOKUP($C812,Overall!$K$5:$T$36,10)</f>
        <v>3.4028232635611926E+38</v>
      </c>
      <c r="F812" s="9" t="str">
        <f>VLOOKUP($C812,Overall!$K$5:$T$36,6)</f>
        <v>01111111011111111111111111111110</v>
      </c>
      <c r="G812" s="8">
        <v>17</v>
      </c>
      <c r="H812" s="3" t="str">
        <f>VLOOKUP($G812,Overall!$K$5:$T$36,2)</f>
        <v>Normal</v>
      </c>
      <c r="I812" s="3">
        <f ca="1">VLOOKUP($G812,Overall!$K$5:$T$36,10)</f>
        <v>0.5</v>
      </c>
      <c r="J812" s="62" t="str">
        <f>VLOOKUP($G812,Overall!$K$5:$T$36,6)</f>
        <v>00111111000000000000000000000000</v>
      </c>
      <c r="K812" s="8">
        <f t="shared" ca="1" si="108"/>
        <v>1.7014116317805963E+38</v>
      </c>
      <c r="L812" s="62">
        <f>VLOOKUP($B812,Overall!$B$5:$I$13,8)</f>
        <v>0</v>
      </c>
      <c r="M812" s="58"/>
      <c r="N812" s="3" t="str">
        <f t="shared" si="109"/>
        <v/>
      </c>
      <c r="O812" s="3" t="str">
        <f t="shared" si="110"/>
        <v/>
      </c>
      <c r="P812" s="3" t="str">
        <f t="shared" si="111"/>
        <v/>
      </c>
      <c r="Q812" s="3">
        <f t="shared" si="112"/>
        <v>0</v>
      </c>
      <c r="R812" s="3">
        <f t="shared" si="113"/>
        <v>0</v>
      </c>
      <c r="S812" s="3" t="e" cm="1">
        <f t="array" aca="1" ref="S812" ca="1">SUMPRODUCT(MID($P812,ROW(INDIRECT("1:23")),1)*2^(-ROW(INDIRECT("1:23"))))</f>
        <v>#VALUE!</v>
      </c>
      <c r="T812" s="3" t="e">
        <f t="shared" ca="1" si="114"/>
        <v>#VALUE!</v>
      </c>
      <c r="U812" s="3" t="e">
        <f t="shared" ca="1" si="115"/>
        <v>#VALUE!</v>
      </c>
      <c r="V812" s="73"/>
      <c r="W812" s="9" t="str">
        <f t="shared" si="116"/>
        <v>OK</v>
      </c>
    </row>
    <row r="813" spans="1:23" x14ac:dyDescent="0.3">
      <c r="A813" s="44">
        <v>810</v>
      </c>
      <c r="B813" s="14">
        <v>9</v>
      </c>
      <c r="C813" s="4">
        <v>22</v>
      </c>
      <c r="D813" s="3" t="str">
        <f>VLOOKUP($C813,Overall!$K$5:$T$36,2)</f>
        <v>Normal</v>
      </c>
      <c r="E813" s="3">
        <f ca="1">VLOOKUP($C813,Overall!$K$5:$T$36,10)</f>
        <v>3.4028232635611926E+38</v>
      </c>
      <c r="F813" s="9" t="str">
        <f>VLOOKUP($C813,Overall!$K$5:$T$36,6)</f>
        <v>01111111011111111111111111111110</v>
      </c>
      <c r="G813" s="8">
        <v>18</v>
      </c>
      <c r="H813" s="3" t="str">
        <f>VLOOKUP($G813,Overall!$K$5:$T$36,2)</f>
        <v>Normal</v>
      </c>
      <c r="I813" s="3">
        <f ca="1">VLOOKUP($G813,Overall!$K$5:$T$36,10)</f>
        <v>1</v>
      </c>
      <c r="J813" s="62" t="str">
        <f>VLOOKUP($G813,Overall!$K$5:$T$36,6)</f>
        <v>00111111100000000000000000000000</v>
      </c>
      <c r="K813" s="8">
        <f t="shared" ca="1" si="108"/>
        <v>3.4028232635611926E+38</v>
      </c>
      <c r="L813" s="62">
        <f>VLOOKUP($B813,Overall!$B$5:$I$13,8)</f>
        <v>0</v>
      </c>
      <c r="M813" s="58"/>
      <c r="N813" s="3" t="str">
        <f t="shared" si="109"/>
        <v/>
      </c>
      <c r="O813" s="3" t="str">
        <f t="shared" si="110"/>
        <v/>
      </c>
      <c r="P813" s="3" t="str">
        <f t="shared" si="111"/>
        <v/>
      </c>
      <c r="Q813" s="3">
        <f t="shared" si="112"/>
        <v>0</v>
      </c>
      <c r="R813" s="3">
        <f t="shared" si="113"/>
        <v>0</v>
      </c>
      <c r="S813" s="3" t="e" cm="1">
        <f t="array" aca="1" ref="S813" ca="1">SUMPRODUCT(MID($P813,ROW(INDIRECT("1:23")),1)*2^(-ROW(INDIRECT("1:23"))))</f>
        <v>#VALUE!</v>
      </c>
      <c r="T813" s="3" t="e">
        <f t="shared" ca="1" si="114"/>
        <v>#VALUE!</v>
      </c>
      <c r="U813" s="3" t="e">
        <f t="shared" ca="1" si="115"/>
        <v>#VALUE!</v>
      </c>
      <c r="V813" s="73"/>
      <c r="W813" s="9" t="str">
        <f t="shared" si="116"/>
        <v>OK</v>
      </c>
    </row>
    <row r="814" spans="1:23" x14ac:dyDescent="0.3">
      <c r="A814" s="44">
        <v>811</v>
      </c>
      <c r="B814" s="14">
        <v>9</v>
      </c>
      <c r="C814" s="4">
        <v>22</v>
      </c>
      <c r="D814" s="3" t="str">
        <f>VLOOKUP($C814,Overall!$K$5:$T$36,2)</f>
        <v>Normal</v>
      </c>
      <c r="E814" s="3">
        <f ca="1">VLOOKUP($C814,Overall!$K$5:$T$36,10)</f>
        <v>3.4028232635611926E+38</v>
      </c>
      <c r="F814" s="9" t="str">
        <f>VLOOKUP($C814,Overall!$K$5:$T$36,6)</f>
        <v>01111111011111111111111111111110</v>
      </c>
      <c r="G814" s="8">
        <v>19</v>
      </c>
      <c r="H814" s="3" t="str">
        <f>VLOOKUP($G814,Overall!$K$5:$T$36,2)</f>
        <v>Normal</v>
      </c>
      <c r="I814" s="3">
        <f ca="1">VLOOKUP($G814,Overall!$K$5:$T$36,10)</f>
        <v>1.5</v>
      </c>
      <c r="J814" s="62" t="str">
        <f>VLOOKUP($G814,Overall!$K$5:$T$36,6)</f>
        <v>00111111110000000000000000000000</v>
      </c>
      <c r="K814" s="8">
        <f t="shared" ca="1" si="108"/>
        <v>5.1042348953417888E+38</v>
      </c>
      <c r="L814" s="62">
        <f>VLOOKUP($B814,Overall!$B$5:$I$13,8)</f>
        <v>0</v>
      </c>
      <c r="M814" s="58"/>
      <c r="N814" s="3" t="str">
        <f t="shared" si="109"/>
        <v/>
      </c>
      <c r="O814" s="3" t="str">
        <f t="shared" si="110"/>
        <v/>
      </c>
      <c r="P814" s="3" t="str">
        <f t="shared" si="111"/>
        <v/>
      </c>
      <c r="Q814" s="3">
        <f t="shared" si="112"/>
        <v>0</v>
      </c>
      <c r="R814" s="3">
        <f t="shared" si="113"/>
        <v>0</v>
      </c>
      <c r="S814" s="3" t="e" cm="1">
        <f t="array" aca="1" ref="S814" ca="1">SUMPRODUCT(MID($P814,ROW(INDIRECT("1:23")),1)*2^(-ROW(INDIRECT("1:23"))))</f>
        <v>#VALUE!</v>
      </c>
      <c r="T814" s="3" t="e">
        <f t="shared" ca="1" si="114"/>
        <v>#VALUE!</v>
      </c>
      <c r="U814" s="3" t="e">
        <f t="shared" ca="1" si="115"/>
        <v>#VALUE!</v>
      </c>
      <c r="V814" s="73"/>
      <c r="W814" s="9" t="str">
        <f t="shared" si="116"/>
        <v>OK</v>
      </c>
    </row>
    <row r="815" spans="1:23" x14ac:dyDescent="0.3">
      <c r="A815" s="44">
        <v>812</v>
      </c>
      <c r="B815" s="14">
        <v>9</v>
      </c>
      <c r="C815" s="4">
        <v>22</v>
      </c>
      <c r="D815" s="3" t="str">
        <f>VLOOKUP($C815,Overall!$K$5:$T$36,2)</f>
        <v>Normal</v>
      </c>
      <c r="E815" s="3">
        <f ca="1">VLOOKUP($C815,Overall!$K$5:$T$36,10)</f>
        <v>3.4028232635611926E+38</v>
      </c>
      <c r="F815" s="9" t="str">
        <f>VLOOKUP($C815,Overall!$K$5:$T$36,6)</f>
        <v>01111111011111111111111111111110</v>
      </c>
      <c r="G815" s="8">
        <v>20</v>
      </c>
      <c r="H815" s="3" t="str">
        <f>VLOOKUP($G815,Overall!$K$5:$T$36,2)</f>
        <v>Normal</v>
      </c>
      <c r="I815" s="3">
        <f ca="1">VLOOKUP($G815,Overall!$K$5:$T$36,10)</f>
        <v>12345.6787109375</v>
      </c>
      <c r="J815" s="62" t="str">
        <f>VLOOKUP($G815,Overall!$K$5:$T$36,6)</f>
        <v>001000110010000001110011010110111</v>
      </c>
      <c r="K815" s="8">
        <f t="shared" ca="1" si="108"/>
        <v>4.2010162722030281E+42</v>
      </c>
      <c r="L815" s="62">
        <f>VLOOKUP($B815,Overall!$B$5:$I$13,8)</f>
        <v>0</v>
      </c>
      <c r="M815" s="58"/>
      <c r="N815" s="3" t="str">
        <f t="shared" si="109"/>
        <v/>
      </c>
      <c r="O815" s="3" t="str">
        <f t="shared" si="110"/>
        <v/>
      </c>
      <c r="P815" s="3" t="str">
        <f t="shared" si="111"/>
        <v/>
      </c>
      <c r="Q815" s="3">
        <f t="shared" si="112"/>
        <v>0</v>
      </c>
      <c r="R815" s="3">
        <f t="shared" si="113"/>
        <v>0</v>
      </c>
      <c r="S815" s="3" t="e" cm="1">
        <f t="array" aca="1" ref="S815" ca="1">SUMPRODUCT(MID($P815,ROW(INDIRECT("1:23")),1)*2^(-ROW(INDIRECT("1:23"))))</f>
        <v>#VALUE!</v>
      </c>
      <c r="T815" s="3" t="e">
        <f t="shared" ca="1" si="114"/>
        <v>#VALUE!</v>
      </c>
      <c r="U815" s="3" t="e">
        <f t="shared" ca="1" si="115"/>
        <v>#VALUE!</v>
      </c>
      <c r="V815" s="73"/>
      <c r="W815" s="9" t="str">
        <f t="shared" si="116"/>
        <v>OK</v>
      </c>
    </row>
    <row r="816" spans="1:23" x14ac:dyDescent="0.3">
      <c r="A816" s="44">
        <v>813</v>
      </c>
      <c r="B816" s="14">
        <v>9</v>
      </c>
      <c r="C816" s="4">
        <v>22</v>
      </c>
      <c r="D816" s="3" t="str">
        <f>VLOOKUP($C816,Overall!$K$5:$T$36,2)</f>
        <v>Normal</v>
      </c>
      <c r="E816" s="3">
        <f ca="1">VLOOKUP($C816,Overall!$K$5:$T$36,10)</f>
        <v>3.4028232635611926E+38</v>
      </c>
      <c r="F816" s="9" t="str">
        <f>VLOOKUP($C816,Overall!$K$5:$T$36,6)</f>
        <v>01111111011111111111111111111110</v>
      </c>
      <c r="G816" s="8">
        <v>21</v>
      </c>
      <c r="H816" s="3" t="str">
        <f>VLOOKUP($G816,Overall!$K$5:$T$36,2)</f>
        <v>Normal</v>
      </c>
      <c r="I816" s="3">
        <f ca="1">VLOOKUP($G816,Overall!$K$5:$T$36,10)</f>
        <v>2.345678924830959E+38</v>
      </c>
      <c r="J816" s="62" t="str">
        <f>VLOOKUP($G816,Overall!$K$5:$T$36,6)</f>
        <v>01111111001100000111100000100010</v>
      </c>
      <c r="K816" s="8">
        <f t="shared" ca="1" si="108"/>
        <v>7.9819308142599931E+76</v>
      </c>
      <c r="L816" s="62">
        <f>VLOOKUP($B816,Overall!$B$5:$I$13,8)</f>
        <v>0</v>
      </c>
      <c r="M816" s="58"/>
      <c r="N816" s="3" t="str">
        <f t="shared" si="109"/>
        <v/>
      </c>
      <c r="O816" s="3" t="str">
        <f t="shared" si="110"/>
        <v/>
      </c>
      <c r="P816" s="3" t="str">
        <f t="shared" si="111"/>
        <v/>
      </c>
      <c r="Q816" s="3">
        <f t="shared" si="112"/>
        <v>0</v>
      </c>
      <c r="R816" s="3">
        <f t="shared" si="113"/>
        <v>0</v>
      </c>
      <c r="S816" s="3" t="e" cm="1">
        <f t="array" aca="1" ref="S816" ca="1">SUMPRODUCT(MID($P816,ROW(INDIRECT("1:23")),1)*2^(-ROW(INDIRECT("1:23"))))</f>
        <v>#VALUE!</v>
      </c>
      <c r="T816" s="3" t="e">
        <f t="shared" ca="1" si="114"/>
        <v>#VALUE!</v>
      </c>
      <c r="U816" s="3" t="e">
        <f t="shared" ca="1" si="115"/>
        <v>#VALUE!</v>
      </c>
      <c r="V816" s="73"/>
      <c r="W816" s="9" t="str">
        <f t="shared" si="116"/>
        <v>OK</v>
      </c>
    </row>
    <row r="817" spans="1:23" x14ac:dyDescent="0.3">
      <c r="A817" s="44">
        <v>814</v>
      </c>
      <c r="B817" s="14">
        <v>9</v>
      </c>
      <c r="C817" s="4">
        <v>22</v>
      </c>
      <c r="D817" s="3" t="str">
        <f>VLOOKUP($C817,Overall!$K$5:$T$36,2)</f>
        <v>Normal</v>
      </c>
      <c r="E817" s="3">
        <f ca="1">VLOOKUP($C817,Overall!$K$5:$T$36,10)</f>
        <v>3.4028232635611926E+38</v>
      </c>
      <c r="F817" s="9" t="str">
        <f>VLOOKUP($C817,Overall!$K$5:$T$36,6)</f>
        <v>01111111011111111111111111111110</v>
      </c>
      <c r="G817" s="8">
        <v>22</v>
      </c>
      <c r="H817" s="3" t="str">
        <f>VLOOKUP($G817,Overall!$K$5:$T$36,2)</f>
        <v>Normal</v>
      </c>
      <c r="I817" s="3">
        <f ca="1">VLOOKUP($G817,Overall!$K$5:$T$36,10)</f>
        <v>3.4028232635611926E+38</v>
      </c>
      <c r="J817" s="62" t="str">
        <f>VLOOKUP($G817,Overall!$K$5:$T$36,6)</f>
        <v>01111111011111111111111111111110</v>
      </c>
      <c r="K817" s="8">
        <f t="shared" ca="1" si="108"/>
        <v>1.1579206163033245E+77</v>
      </c>
      <c r="L817" s="62">
        <f>VLOOKUP($B817,Overall!$B$5:$I$13,8)</f>
        <v>0</v>
      </c>
      <c r="M817" s="58"/>
      <c r="N817" s="3" t="str">
        <f t="shared" si="109"/>
        <v/>
      </c>
      <c r="O817" s="3" t="str">
        <f t="shared" si="110"/>
        <v/>
      </c>
      <c r="P817" s="3" t="str">
        <f t="shared" si="111"/>
        <v/>
      </c>
      <c r="Q817" s="3">
        <f t="shared" si="112"/>
        <v>0</v>
      </c>
      <c r="R817" s="3">
        <f t="shared" si="113"/>
        <v>0</v>
      </c>
      <c r="S817" s="3" t="e" cm="1">
        <f t="array" aca="1" ref="S817" ca="1">SUMPRODUCT(MID($P817,ROW(INDIRECT("1:23")),1)*2^(-ROW(INDIRECT("1:23"))))</f>
        <v>#VALUE!</v>
      </c>
      <c r="T817" s="3" t="e">
        <f t="shared" ca="1" si="114"/>
        <v>#VALUE!</v>
      </c>
      <c r="U817" s="3" t="e">
        <f t="shared" ca="1" si="115"/>
        <v>#VALUE!</v>
      </c>
      <c r="V817" s="73"/>
      <c r="W817" s="9" t="str">
        <f t="shared" si="116"/>
        <v>OK</v>
      </c>
    </row>
    <row r="818" spans="1:23" x14ac:dyDescent="0.3">
      <c r="A818" s="44">
        <v>815</v>
      </c>
      <c r="B818" s="14">
        <v>9</v>
      </c>
      <c r="C818" s="4">
        <v>22</v>
      </c>
      <c r="D818" s="3" t="str">
        <f>VLOOKUP($C818,Overall!$K$5:$T$36,2)</f>
        <v>Normal</v>
      </c>
      <c r="E818" s="3">
        <f ca="1">VLOOKUP($C818,Overall!$K$5:$T$36,10)</f>
        <v>3.4028232635611926E+38</v>
      </c>
      <c r="F818" s="9" t="str">
        <f>VLOOKUP($C818,Overall!$K$5:$T$36,6)</f>
        <v>01111111011111111111111111111110</v>
      </c>
      <c r="G818" s="8">
        <v>23</v>
      </c>
      <c r="H818" s="3" t="str">
        <f>VLOOKUP($G818,Overall!$K$5:$T$36,2)</f>
        <v>Normal</v>
      </c>
      <c r="I818" s="3">
        <f ca="1">VLOOKUP($G818,Overall!$K$5:$T$36,10)</f>
        <v>3.4028234663852886E+38</v>
      </c>
      <c r="J818" s="62" t="str">
        <f>VLOOKUP($G818,Overall!$K$5:$T$36,6)</f>
        <v>01111111011111111111111111111111</v>
      </c>
      <c r="K818" s="8">
        <f t="shared" ca="1" si="108"/>
        <v>1.1579206853207798E+77</v>
      </c>
      <c r="L818" s="62">
        <f>VLOOKUP($B818,Overall!$B$5:$I$13,8)</f>
        <v>0</v>
      </c>
      <c r="M818" s="58"/>
      <c r="N818" s="3" t="str">
        <f t="shared" si="109"/>
        <v/>
      </c>
      <c r="O818" s="3" t="str">
        <f t="shared" si="110"/>
        <v/>
      </c>
      <c r="P818" s="3" t="str">
        <f t="shared" si="111"/>
        <v/>
      </c>
      <c r="Q818" s="3">
        <f t="shared" si="112"/>
        <v>0</v>
      </c>
      <c r="R818" s="3">
        <f t="shared" si="113"/>
        <v>0</v>
      </c>
      <c r="S818" s="3" t="e" cm="1">
        <f t="array" aca="1" ref="S818" ca="1">SUMPRODUCT(MID($P818,ROW(INDIRECT("1:23")),1)*2^(-ROW(INDIRECT("1:23"))))</f>
        <v>#VALUE!</v>
      </c>
      <c r="T818" s="3" t="e">
        <f t="shared" ca="1" si="114"/>
        <v>#VALUE!</v>
      </c>
      <c r="U818" s="3" t="e">
        <f t="shared" ca="1" si="115"/>
        <v>#VALUE!</v>
      </c>
      <c r="V818" s="73"/>
      <c r="W818" s="9" t="str">
        <f t="shared" si="116"/>
        <v>OK</v>
      </c>
    </row>
    <row r="819" spans="1:23" x14ac:dyDescent="0.3">
      <c r="A819" s="44">
        <v>816</v>
      </c>
      <c r="B819" s="14">
        <v>9</v>
      </c>
      <c r="C819" s="4">
        <v>22</v>
      </c>
      <c r="D819" s="3" t="str">
        <f>VLOOKUP($C819,Overall!$K$5:$T$36,2)</f>
        <v>Normal</v>
      </c>
      <c r="E819" s="3">
        <f ca="1">VLOOKUP($C819,Overall!$K$5:$T$36,10)</f>
        <v>3.4028232635611926E+38</v>
      </c>
      <c r="F819" s="9" t="str">
        <f>VLOOKUP($C819,Overall!$K$5:$T$36,6)</f>
        <v>01111111011111111111111111111110</v>
      </c>
      <c r="G819" s="8">
        <v>24</v>
      </c>
      <c r="H819" s="3" t="str">
        <f>VLOOKUP($G819,Overall!$K$5:$T$36,2)</f>
        <v>Normal</v>
      </c>
      <c r="I819" s="3">
        <f ca="1">VLOOKUP($G819,Overall!$K$5:$T$36,10)</f>
        <v>-1.1754943508222875E-38</v>
      </c>
      <c r="J819" s="62" t="str">
        <f>VLOOKUP($G819,Overall!$K$5:$T$36,6)</f>
        <v>10000000100000000000000000000000</v>
      </c>
      <c r="K819" s="8">
        <f t="shared" ca="1" si="108"/>
        <v>-3.9999995231628418</v>
      </c>
      <c r="L819" s="62">
        <f>VLOOKUP($B819,Overall!$B$5:$I$13,8)</f>
        <v>0</v>
      </c>
      <c r="M819" s="58"/>
      <c r="N819" s="3" t="str">
        <f t="shared" si="109"/>
        <v/>
      </c>
      <c r="O819" s="3" t="str">
        <f t="shared" si="110"/>
        <v/>
      </c>
      <c r="P819" s="3" t="str">
        <f t="shared" si="111"/>
        <v/>
      </c>
      <c r="Q819" s="3">
        <f t="shared" si="112"/>
        <v>0</v>
      </c>
      <c r="R819" s="3">
        <f t="shared" si="113"/>
        <v>0</v>
      </c>
      <c r="S819" s="3" t="e" cm="1">
        <f t="array" aca="1" ref="S819" ca="1">SUMPRODUCT(MID($P819,ROW(INDIRECT("1:23")),1)*2^(-ROW(INDIRECT("1:23"))))</f>
        <v>#VALUE!</v>
      </c>
      <c r="T819" s="3" t="e">
        <f t="shared" ca="1" si="114"/>
        <v>#VALUE!</v>
      </c>
      <c r="U819" s="3" t="e">
        <f t="shared" ca="1" si="115"/>
        <v>#VALUE!</v>
      </c>
      <c r="V819" s="73"/>
      <c r="W819" s="9" t="str">
        <f t="shared" si="116"/>
        <v>OK</v>
      </c>
    </row>
    <row r="820" spans="1:23" x14ac:dyDescent="0.3">
      <c r="A820" s="44">
        <v>817</v>
      </c>
      <c r="B820" s="14">
        <v>9</v>
      </c>
      <c r="C820" s="4">
        <v>22</v>
      </c>
      <c r="D820" s="3" t="str">
        <f>VLOOKUP($C820,Overall!$K$5:$T$36,2)</f>
        <v>Normal</v>
      </c>
      <c r="E820" s="3">
        <f ca="1">VLOOKUP($C820,Overall!$K$5:$T$36,10)</f>
        <v>3.4028232635611926E+38</v>
      </c>
      <c r="F820" s="9" t="str">
        <f>VLOOKUP($C820,Overall!$K$5:$T$36,6)</f>
        <v>01111111011111111111111111111110</v>
      </c>
      <c r="G820" s="8">
        <v>25</v>
      </c>
      <c r="H820" s="3" t="str">
        <f>VLOOKUP($G820,Overall!$K$5:$T$36,2)</f>
        <v>Normal</v>
      </c>
      <c r="I820" s="3">
        <f ca="1">VLOOKUP($G820,Overall!$K$5:$T$36,10)</f>
        <v>-1.1754944909521339E-38</v>
      </c>
      <c r="J820" s="62" t="str">
        <f>VLOOKUP($G820,Overall!$K$5:$T$36,6)</f>
        <v>10000000100000000000000000000001</v>
      </c>
      <c r="K820" s="8">
        <f t="shared" ca="1" si="108"/>
        <v>-3.9999999999999432</v>
      </c>
      <c r="L820" s="62">
        <f>VLOOKUP($B820,Overall!$B$5:$I$13,8)</f>
        <v>0</v>
      </c>
      <c r="M820" s="58"/>
      <c r="N820" s="3" t="str">
        <f t="shared" si="109"/>
        <v/>
      </c>
      <c r="O820" s="3" t="str">
        <f t="shared" si="110"/>
        <v/>
      </c>
      <c r="P820" s="3" t="str">
        <f t="shared" si="111"/>
        <v/>
      </c>
      <c r="Q820" s="3">
        <f t="shared" si="112"/>
        <v>0</v>
      </c>
      <c r="R820" s="3">
        <f t="shared" si="113"/>
        <v>0</v>
      </c>
      <c r="S820" s="3" t="e" cm="1">
        <f t="array" aca="1" ref="S820" ca="1">SUMPRODUCT(MID($P820,ROW(INDIRECT("1:23")),1)*2^(-ROW(INDIRECT("1:23"))))</f>
        <v>#VALUE!</v>
      </c>
      <c r="T820" s="3" t="e">
        <f t="shared" ca="1" si="114"/>
        <v>#VALUE!</v>
      </c>
      <c r="U820" s="3" t="e">
        <f t="shared" ca="1" si="115"/>
        <v>#VALUE!</v>
      </c>
      <c r="V820" s="73"/>
      <c r="W820" s="9" t="str">
        <f t="shared" si="116"/>
        <v>OK</v>
      </c>
    </row>
    <row r="821" spans="1:23" x14ac:dyDescent="0.3">
      <c r="A821" s="44">
        <v>818</v>
      </c>
      <c r="B821" s="14">
        <v>9</v>
      </c>
      <c r="C821" s="4">
        <v>22</v>
      </c>
      <c r="D821" s="3" t="str">
        <f>VLOOKUP($C821,Overall!$K$5:$T$36,2)</f>
        <v>Normal</v>
      </c>
      <c r="E821" s="3">
        <f ca="1">VLOOKUP($C821,Overall!$K$5:$T$36,10)</f>
        <v>3.4028232635611926E+38</v>
      </c>
      <c r="F821" s="9" t="str">
        <f>VLOOKUP($C821,Overall!$K$5:$T$36,6)</f>
        <v>01111111011111111111111111111110</v>
      </c>
      <c r="G821" s="8">
        <v>26</v>
      </c>
      <c r="H821" s="3" t="str">
        <f>VLOOKUP($G821,Overall!$K$5:$T$36,2)</f>
        <v>Normal</v>
      </c>
      <c r="I821" s="3">
        <f ca="1">VLOOKUP($G821,Overall!$K$5:$T$36,10)</f>
        <v>-0.5</v>
      </c>
      <c r="J821" s="62" t="str">
        <f>VLOOKUP($G821,Overall!$K$5:$T$36,6)</f>
        <v>10111111000000000000000000000000</v>
      </c>
      <c r="K821" s="8">
        <f t="shared" ca="1" si="108"/>
        <v>-1.7014116317805963E+38</v>
      </c>
      <c r="L821" s="62">
        <f>VLOOKUP($B821,Overall!$B$5:$I$13,8)</f>
        <v>0</v>
      </c>
      <c r="M821" s="58"/>
      <c r="N821" s="3" t="str">
        <f t="shared" si="109"/>
        <v/>
      </c>
      <c r="O821" s="3" t="str">
        <f t="shared" si="110"/>
        <v/>
      </c>
      <c r="P821" s="3" t="str">
        <f t="shared" si="111"/>
        <v/>
      </c>
      <c r="Q821" s="3">
        <f t="shared" si="112"/>
        <v>0</v>
      </c>
      <c r="R821" s="3">
        <f t="shared" si="113"/>
        <v>0</v>
      </c>
      <c r="S821" s="3" t="e" cm="1">
        <f t="array" aca="1" ref="S821" ca="1">SUMPRODUCT(MID($P821,ROW(INDIRECT("1:23")),1)*2^(-ROW(INDIRECT("1:23"))))</f>
        <v>#VALUE!</v>
      </c>
      <c r="T821" s="3" t="e">
        <f t="shared" ca="1" si="114"/>
        <v>#VALUE!</v>
      </c>
      <c r="U821" s="3" t="e">
        <f t="shared" ca="1" si="115"/>
        <v>#VALUE!</v>
      </c>
      <c r="V821" s="73"/>
      <c r="W821" s="9" t="str">
        <f t="shared" si="116"/>
        <v>OK</v>
      </c>
    </row>
    <row r="822" spans="1:23" x14ac:dyDescent="0.3">
      <c r="A822" s="44">
        <v>819</v>
      </c>
      <c r="B822" s="14">
        <v>9</v>
      </c>
      <c r="C822" s="4">
        <v>22</v>
      </c>
      <c r="D822" s="3" t="str">
        <f>VLOOKUP($C822,Overall!$K$5:$T$36,2)</f>
        <v>Normal</v>
      </c>
      <c r="E822" s="3">
        <f ca="1">VLOOKUP($C822,Overall!$K$5:$T$36,10)</f>
        <v>3.4028232635611926E+38</v>
      </c>
      <c r="F822" s="9" t="str">
        <f>VLOOKUP($C822,Overall!$K$5:$T$36,6)</f>
        <v>01111111011111111111111111111110</v>
      </c>
      <c r="G822" s="8">
        <v>27</v>
      </c>
      <c r="H822" s="3" t="str">
        <f>VLOOKUP($G822,Overall!$K$5:$T$36,2)</f>
        <v>Normal</v>
      </c>
      <c r="I822" s="3">
        <f ca="1">VLOOKUP($G822,Overall!$K$5:$T$36,10)</f>
        <v>-1</v>
      </c>
      <c r="J822" s="62" t="str">
        <f>VLOOKUP($G822,Overall!$K$5:$T$36,6)</f>
        <v>10111111100000000000000000000000</v>
      </c>
      <c r="K822" s="8">
        <f t="shared" ca="1" si="108"/>
        <v>-3.4028232635611926E+38</v>
      </c>
      <c r="L822" s="62">
        <f>VLOOKUP($B822,Overall!$B$5:$I$13,8)</f>
        <v>0</v>
      </c>
      <c r="M822" s="58"/>
      <c r="N822" s="3" t="str">
        <f t="shared" si="109"/>
        <v/>
      </c>
      <c r="O822" s="3" t="str">
        <f t="shared" si="110"/>
        <v/>
      </c>
      <c r="P822" s="3" t="str">
        <f t="shared" si="111"/>
        <v/>
      </c>
      <c r="Q822" s="3">
        <f t="shared" si="112"/>
        <v>0</v>
      </c>
      <c r="R822" s="3">
        <f t="shared" si="113"/>
        <v>0</v>
      </c>
      <c r="S822" s="3" t="e" cm="1">
        <f t="array" aca="1" ref="S822" ca="1">SUMPRODUCT(MID($P822,ROW(INDIRECT("1:23")),1)*2^(-ROW(INDIRECT("1:23"))))</f>
        <v>#VALUE!</v>
      </c>
      <c r="T822" s="3" t="e">
        <f t="shared" ca="1" si="114"/>
        <v>#VALUE!</v>
      </c>
      <c r="U822" s="3" t="e">
        <f t="shared" ca="1" si="115"/>
        <v>#VALUE!</v>
      </c>
      <c r="V822" s="73"/>
      <c r="W822" s="9" t="str">
        <f t="shared" si="116"/>
        <v>OK</v>
      </c>
    </row>
    <row r="823" spans="1:23" x14ac:dyDescent="0.3">
      <c r="A823" s="44">
        <v>820</v>
      </c>
      <c r="B823" s="14">
        <v>9</v>
      </c>
      <c r="C823" s="4">
        <v>22</v>
      </c>
      <c r="D823" s="3" t="str">
        <f>VLOOKUP($C823,Overall!$K$5:$T$36,2)</f>
        <v>Normal</v>
      </c>
      <c r="E823" s="3">
        <f ca="1">VLOOKUP($C823,Overall!$K$5:$T$36,10)</f>
        <v>3.4028232635611926E+38</v>
      </c>
      <c r="F823" s="9" t="str">
        <f>VLOOKUP($C823,Overall!$K$5:$T$36,6)</f>
        <v>01111111011111111111111111111110</v>
      </c>
      <c r="G823" s="8">
        <v>28</v>
      </c>
      <c r="H823" s="3" t="str">
        <f>VLOOKUP($G823,Overall!$K$5:$T$36,2)</f>
        <v>Normal</v>
      </c>
      <c r="I823" s="3">
        <f ca="1">VLOOKUP($G823,Overall!$K$5:$T$36,10)</f>
        <v>-1.5</v>
      </c>
      <c r="J823" s="62" t="str">
        <f>VLOOKUP($G823,Overall!$K$5:$T$36,6)</f>
        <v>10111111110000000000000000000000</v>
      </c>
      <c r="K823" s="8">
        <f t="shared" ca="1" si="108"/>
        <v>-5.1042348953417888E+38</v>
      </c>
      <c r="L823" s="62">
        <f>VLOOKUP($B823,Overall!$B$5:$I$13,8)</f>
        <v>0</v>
      </c>
      <c r="M823" s="58"/>
      <c r="N823" s="3" t="str">
        <f t="shared" si="109"/>
        <v/>
      </c>
      <c r="O823" s="3" t="str">
        <f t="shared" si="110"/>
        <v/>
      </c>
      <c r="P823" s="3" t="str">
        <f t="shared" si="111"/>
        <v/>
      </c>
      <c r="Q823" s="3">
        <f t="shared" si="112"/>
        <v>0</v>
      </c>
      <c r="R823" s="3">
        <f t="shared" si="113"/>
        <v>0</v>
      </c>
      <c r="S823" s="3" t="e" cm="1">
        <f t="array" aca="1" ref="S823" ca="1">SUMPRODUCT(MID($P823,ROW(INDIRECT("1:23")),1)*2^(-ROW(INDIRECT("1:23"))))</f>
        <v>#VALUE!</v>
      </c>
      <c r="T823" s="3" t="e">
        <f t="shared" ca="1" si="114"/>
        <v>#VALUE!</v>
      </c>
      <c r="U823" s="3" t="e">
        <f t="shared" ca="1" si="115"/>
        <v>#VALUE!</v>
      </c>
      <c r="V823" s="73"/>
      <c r="W823" s="9" t="str">
        <f t="shared" si="116"/>
        <v>OK</v>
      </c>
    </row>
    <row r="824" spans="1:23" x14ac:dyDescent="0.3">
      <c r="A824" s="44">
        <v>821</v>
      </c>
      <c r="B824" s="14">
        <v>9</v>
      </c>
      <c r="C824" s="4">
        <v>22</v>
      </c>
      <c r="D824" s="3" t="str">
        <f>VLOOKUP($C824,Overall!$K$5:$T$36,2)</f>
        <v>Normal</v>
      </c>
      <c r="E824" s="3">
        <f ca="1">VLOOKUP($C824,Overall!$K$5:$T$36,10)</f>
        <v>3.4028232635611926E+38</v>
      </c>
      <c r="F824" s="9" t="str">
        <f>VLOOKUP($C824,Overall!$K$5:$T$36,6)</f>
        <v>01111111011111111111111111111110</v>
      </c>
      <c r="G824" s="8">
        <v>29</v>
      </c>
      <c r="H824" s="3" t="str">
        <f>VLOOKUP($G824,Overall!$K$5:$T$36,2)</f>
        <v>Normal</v>
      </c>
      <c r="I824" s="3">
        <f ca="1">VLOOKUP($G824,Overall!$K$5:$T$36,10)</f>
        <v>-12345.6787109375</v>
      </c>
      <c r="J824" s="62" t="str">
        <f>VLOOKUP($G824,Overall!$K$5:$T$36,6)</f>
        <v>101000110010000001110011010110111</v>
      </c>
      <c r="K824" s="8">
        <f t="shared" ca="1" si="108"/>
        <v>-4.2010162722030281E+42</v>
      </c>
      <c r="L824" s="62">
        <f>VLOOKUP($B824,Overall!$B$5:$I$13,8)</f>
        <v>0</v>
      </c>
      <c r="M824" s="58"/>
      <c r="N824" s="3" t="str">
        <f t="shared" si="109"/>
        <v/>
      </c>
      <c r="O824" s="3" t="str">
        <f t="shared" si="110"/>
        <v/>
      </c>
      <c r="P824" s="3" t="str">
        <f t="shared" si="111"/>
        <v/>
      </c>
      <c r="Q824" s="3">
        <f t="shared" si="112"/>
        <v>0</v>
      </c>
      <c r="R824" s="3">
        <f t="shared" si="113"/>
        <v>0</v>
      </c>
      <c r="S824" s="3" t="e" cm="1">
        <f t="array" aca="1" ref="S824" ca="1">SUMPRODUCT(MID($P824,ROW(INDIRECT("1:23")),1)*2^(-ROW(INDIRECT("1:23"))))</f>
        <v>#VALUE!</v>
      </c>
      <c r="T824" s="3" t="e">
        <f t="shared" ca="1" si="114"/>
        <v>#VALUE!</v>
      </c>
      <c r="U824" s="3" t="e">
        <f t="shared" ca="1" si="115"/>
        <v>#VALUE!</v>
      </c>
      <c r="V824" s="73"/>
      <c r="W824" s="9" t="str">
        <f t="shared" si="116"/>
        <v>OK</v>
      </c>
    </row>
    <row r="825" spans="1:23" x14ac:dyDescent="0.3">
      <c r="A825" s="44">
        <v>822</v>
      </c>
      <c r="B825" s="14">
        <v>9</v>
      </c>
      <c r="C825" s="4">
        <v>22</v>
      </c>
      <c r="D825" s="3" t="str">
        <f>VLOOKUP($C825,Overall!$K$5:$T$36,2)</f>
        <v>Normal</v>
      </c>
      <c r="E825" s="3">
        <f ca="1">VLOOKUP($C825,Overall!$K$5:$T$36,10)</f>
        <v>3.4028232635611926E+38</v>
      </c>
      <c r="F825" s="9" t="str">
        <f>VLOOKUP($C825,Overall!$K$5:$T$36,6)</f>
        <v>01111111011111111111111111111110</v>
      </c>
      <c r="G825" s="8">
        <v>30</v>
      </c>
      <c r="H825" s="3" t="str">
        <f>VLOOKUP($G825,Overall!$K$5:$T$36,2)</f>
        <v>Normal</v>
      </c>
      <c r="I825" s="3">
        <f ca="1">VLOOKUP($G825,Overall!$K$5:$T$36,10)</f>
        <v>-2.345678924830959E+38</v>
      </c>
      <c r="J825" s="62" t="str">
        <f>VLOOKUP($G825,Overall!$K$5:$T$36,6)</f>
        <v>11111111001100000111100000100010</v>
      </c>
      <c r="K825" s="8">
        <f t="shared" ca="1" si="108"/>
        <v>-7.9819308142599931E+76</v>
      </c>
      <c r="L825" s="62">
        <f>VLOOKUP($B825,Overall!$B$5:$I$13,8)</f>
        <v>0</v>
      </c>
      <c r="M825" s="58"/>
      <c r="N825" s="3" t="str">
        <f t="shared" si="109"/>
        <v/>
      </c>
      <c r="O825" s="3" t="str">
        <f t="shared" si="110"/>
        <v/>
      </c>
      <c r="P825" s="3" t="str">
        <f t="shared" si="111"/>
        <v/>
      </c>
      <c r="Q825" s="3">
        <f t="shared" si="112"/>
        <v>0</v>
      </c>
      <c r="R825" s="3">
        <f t="shared" si="113"/>
        <v>0</v>
      </c>
      <c r="S825" s="3" t="e" cm="1">
        <f t="array" aca="1" ref="S825" ca="1">SUMPRODUCT(MID($P825,ROW(INDIRECT("1:23")),1)*2^(-ROW(INDIRECT("1:23"))))</f>
        <v>#VALUE!</v>
      </c>
      <c r="T825" s="3" t="e">
        <f t="shared" ca="1" si="114"/>
        <v>#VALUE!</v>
      </c>
      <c r="U825" s="3" t="e">
        <f t="shared" ca="1" si="115"/>
        <v>#VALUE!</v>
      </c>
      <c r="V825" s="73"/>
      <c r="W825" s="9" t="str">
        <f t="shared" si="116"/>
        <v>OK</v>
      </c>
    </row>
    <row r="826" spans="1:23" x14ac:dyDescent="0.3">
      <c r="A826" s="44">
        <v>823</v>
      </c>
      <c r="B826" s="14">
        <v>9</v>
      </c>
      <c r="C826" s="4">
        <v>22</v>
      </c>
      <c r="D826" s="3" t="str">
        <f>VLOOKUP($C826,Overall!$K$5:$T$36,2)</f>
        <v>Normal</v>
      </c>
      <c r="E826" s="3">
        <f ca="1">VLOOKUP($C826,Overall!$K$5:$T$36,10)</f>
        <v>3.4028232635611926E+38</v>
      </c>
      <c r="F826" s="9" t="str">
        <f>VLOOKUP($C826,Overall!$K$5:$T$36,6)</f>
        <v>01111111011111111111111111111110</v>
      </c>
      <c r="G826" s="8">
        <v>31</v>
      </c>
      <c r="H826" s="3" t="str">
        <f>VLOOKUP($G826,Overall!$K$5:$T$36,2)</f>
        <v>Normal</v>
      </c>
      <c r="I826" s="3">
        <f ca="1">VLOOKUP($G826,Overall!$K$5:$T$36,10)</f>
        <v>-3.4028232635611926E+38</v>
      </c>
      <c r="J826" s="62" t="str">
        <f>VLOOKUP($G826,Overall!$K$5:$T$36,6)</f>
        <v>11111111011111111111111111111110</v>
      </c>
      <c r="K826" s="8">
        <f t="shared" ca="1" si="108"/>
        <v>-1.1579206163033245E+77</v>
      </c>
      <c r="L826" s="62">
        <f>VLOOKUP($B826,Overall!$B$5:$I$13,8)</f>
        <v>0</v>
      </c>
      <c r="M826" s="58"/>
      <c r="N826" s="3" t="str">
        <f t="shared" si="109"/>
        <v/>
      </c>
      <c r="O826" s="3" t="str">
        <f t="shared" si="110"/>
        <v/>
      </c>
      <c r="P826" s="3" t="str">
        <f t="shared" si="111"/>
        <v/>
      </c>
      <c r="Q826" s="3">
        <f t="shared" si="112"/>
        <v>0</v>
      </c>
      <c r="R826" s="3">
        <f t="shared" si="113"/>
        <v>0</v>
      </c>
      <c r="S826" s="3" t="e" cm="1">
        <f t="array" aca="1" ref="S826" ca="1">SUMPRODUCT(MID($P826,ROW(INDIRECT("1:23")),1)*2^(-ROW(INDIRECT("1:23"))))</f>
        <v>#VALUE!</v>
      </c>
      <c r="T826" s="3" t="e">
        <f t="shared" ca="1" si="114"/>
        <v>#VALUE!</v>
      </c>
      <c r="U826" s="3" t="e">
        <f t="shared" ca="1" si="115"/>
        <v>#VALUE!</v>
      </c>
      <c r="V826" s="73"/>
      <c r="W826" s="9" t="str">
        <f t="shared" si="116"/>
        <v>OK</v>
      </c>
    </row>
    <row r="827" spans="1:23" x14ac:dyDescent="0.3">
      <c r="A827" s="44">
        <v>824</v>
      </c>
      <c r="B827" s="14">
        <v>9</v>
      </c>
      <c r="C827" s="4">
        <v>22</v>
      </c>
      <c r="D827" s="3" t="str">
        <f>VLOOKUP($C827,Overall!$K$5:$T$36,2)</f>
        <v>Normal</v>
      </c>
      <c r="E827" s="3">
        <f ca="1">VLOOKUP($C827,Overall!$K$5:$T$36,10)</f>
        <v>3.4028232635611926E+38</v>
      </c>
      <c r="F827" s="9" t="str">
        <f>VLOOKUP($C827,Overall!$K$5:$T$36,6)</f>
        <v>01111111011111111111111111111110</v>
      </c>
      <c r="G827" s="8">
        <v>32</v>
      </c>
      <c r="H827" s="3" t="str">
        <f>VLOOKUP($G827,Overall!$K$5:$T$36,2)</f>
        <v>Normal</v>
      </c>
      <c r="I827" s="3">
        <f ca="1">VLOOKUP($G827,Overall!$K$5:$T$36,10)</f>
        <v>-3.4028234663852886E+38</v>
      </c>
      <c r="J827" s="62" t="str">
        <f>VLOOKUP($G827,Overall!$K$5:$T$36,6)</f>
        <v>11111111011111111111111111111111</v>
      </c>
      <c r="K827" s="8">
        <f t="shared" ca="1" si="108"/>
        <v>-1.1579206853207798E+77</v>
      </c>
      <c r="L827" s="62">
        <f>VLOOKUP($B827,Overall!$B$5:$I$13,8)</f>
        <v>0</v>
      </c>
      <c r="M827" s="58"/>
      <c r="N827" s="3" t="str">
        <f t="shared" si="109"/>
        <v/>
      </c>
      <c r="O827" s="3" t="str">
        <f t="shared" si="110"/>
        <v/>
      </c>
      <c r="P827" s="3" t="str">
        <f t="shared" si="111"/>
        <v/>
      </c>
      <c r="Q827" s="3">
        <f t="shared" si="112"/>
        <v>0</v>
      </c>
      <c r="R827" s="3">
        <f t="shared" si="113"/>
        <v>0</v>
      </c>
      <c r="S827" s="3" t="e" cm="1">
        <f t="array" aca="1" ref="S827" ca="1">SUMPRODUCT(MID($P827,ROW(INDIRECT("1:23")),1)*2^(-ROW(INDIRECT("1:23"))))</f>
        <v>#VALUE!</v>
      </c>
      <c r="T827" s="3" t="e">
        <f t="shared" ca="1" si="114"/>
        <v>#VALUE!</v>
      </c>
      <c r="U827" s="3" t="e">
        <f t="shared" ca="1" si="115"/>
        <v>#VALUE!</v>
      </c>
      <c r="V827" s="73"/>
      <c r="W827" s="9" t="str">
        <f t="shared" si="116"/>
        <v>OK</v>
      </c>
    </row>
    <row r="828" spans="1:23" x14ac:dyDescent="0.3">
      <c r="A828" s="44">
        <v>825</v>
      </c>
      <c r="B828" s="14">
        <v>9</v>
      </c>
      <c r="C828" s="4">
        <v>23</v>
      </c>
      <c r="D828" s="3" t="str">
        <f>VLOOKUP($C828,Overall!$K$5:$T$36,2)</f>
        <v>Normal</v>
      </c>
      <c r="E828" s="3">
        <f ca="1">VLOOKUP($C828,Overall!$K$5:$T$36,10)</f>
        <v>3.4028234663852886E+38</v>
      </c>
      <c r="F828" s="9" t="str">
        <f>VLOOKUP($C828,Overall!$K$5:$T$36,6)</f>
        <v>01111111011111111111111111111111</v>
      </c>
      <c r="G828" s="8">
        <v>13</v>
      </c>
      <c r="H828" s="3" t="str">
        <f>VLOOKUP($G828,Overall!$K$5:$T$36,2)</f>
        <v>Normal</v>
      </c>
      <c r="I828" s="3">
        <f ca="1">VLOOKUP($G828,Overall!$K$5:$T$36,10)</f>
        <v>0</v>
      </c>
      <c r="J828" s="62" t="str">
        <f>VLOOKUP($G828,Overall!$K$5:$T$36,6)</f>
        <v>00000000000000000000000000000000</v>
      </c>
      <c r="K828" s="8">
        <f t="shared" ca="1" si="108"/>
        <v>0</v>
      </c>
      <c r="L828" s="62">
        <f>VLOOKUP($B828,Overall!$B$5:$I$13,8)</f>
        <v>0</v>
      </c>
      <c r="M828" s="58"/>
      <c r="N828" s="3" t="str">
        <f t="shared" si="109"/>
        <v/>
      </c>
      <c r="O828" s="3" t="str">
        <f t="shared" si="110"/>
        <v/>
      </c>
      <c r="P828" s="3" t="str">
        <f t="shared" si="111"/>
        <v/>
      </c>
      <c r="Q828" s="3">
        <f t="shared" si="112"/>
        <v>0</v>
      </c>
      <c r="R828" s="3">
        <f t="shared" si="113"/>
        <v>0</v>
      </c>
      <c r="S828" s="3" t="e" cm="1">
        <f t="array" aca="1" ref="S828" ca="1">SUMPRODUCT(MID($P828,ROW(INDIRECT("1:23")),1)*2^(-ROW(INDIRECT("1:23"))))</f>
        <v>#VALUE!</v>
      </c>
      <c r="T828" s="3" t="e">
        <f t="shared" ca="1" si="114"/>
        <v>#VALUE!</v>
      </c>
      <c r="U828" s="3" t="e">
        <f t="shared" ca="1" si="115"/>
        <v>#VALUE!</v>
      </c>
      <c r="V828" s="73"/>
      <c r="W828" s="9" t="str">
        <f t="shared" si="116"/>
        <v>OK</v>
      </c>
    </row>
    <row r="829" spans="1:23" x14ac:dyDescent="0.3">
      <c r="A829" s="44">
        <v>826</v>
      </c>
      <c r="B829" s="14">
        <v>9</v>
      </c>
      <c r="C829" s="4">
        <v>23</v>
      </c>
      <c r="D829" s="3" t="str">
        <f>VLOOKUP($C829,Overall!$K$5:$T$36,2)</f>
        <v>Normal</v>
      </c>
      <c r="E829" s="3">
        <f ca="1">VLOOKUP($C829,Overall!$K$5:$T$36,10)</f>
        <v>3.4028234663852886E+38</v>
      </c>
      <c r="F829" s="9" t="str">
        <f>VLOOKUP($C829,Overall!$K$5:$T$36,6)</f>
        <v>01111111011111111111111111111111</v>
      </c>
      <c r="G829" s="8">
        <v>14</v>
      </c>
      <c r="H829" s="3" t="str">
        <f>VLOOKUP($G829,Overall!$K$5:$T$36,2)</f>
        <v>Normal</v>
      </c>
      <c r="I829" s="3">
        <f ca="1">VLOOKUP($G829,Overall!$K$5:$T$36,10)</f>
        <v>0</v>
      </c>
      <c r="J829" s="62" t="str">
        <f>VLOOKUP($G829,Overall!$K$5:$T$36,6)</f>
        <v>10000000000000000000000000000000</v>
      </c>
      <c r="K829" s="8">
        <f t="shared" ca="1" si="108"/>
        <v>0</v>
      </c>
      <c r="L829" s="62">
        <f>VLOOKUP($B829,Overall!$B$5:$I$13,8)</f>
        <v>0</v>
      </c>
      <c r="M829" s="58"/>
      <c r="N829" s="3" t="str">
        <f t="shared" si="109"/>
        <v/>
      </c>
      <c r="O829" s="3" t="str">
        <f t="shared" si="110"/>
        <v/>
      </c>
      <c r="P829" s="3" t="str">
        <f t="shared" si="111"/>
        <v/>
      </c>
      <c r="Q829" s="3">
        <f t="shared" si="112"/>
        <v>0</v>
      </c>
      <c r="R829" s="3">
        <f t="shared" si="113"/>
        <v>0</v>
      </c>
      <c r="S829" s="3" t="e" cm="1">
        <f t="array" aca="1" ref="S829" ca="1">SUMPRODUCT(MID($P829,ROW(INDIRECT("1:23")),1)*2^(-ROW(INDIRECT("1:23"))))</f>
        <v>#VALUE!</v>
      </c>
      <c r="T829" s="3" t="e">
        <f t="shared" ca="1" si="114"/>
        <v>#VALUE!</v>
      </c>
      <c r="U829" s="3" t="e">
        <f t="shared" ca="1" si="115"/>
        <v>#VALUE!</v>
      </c>
      <c r="V829" s="73"/>
      <c r="W829" s="9" t="str">
        <f t="shared" si="116"/>
        <v>OK</v>
      </c>
    </row>
    <row r="830" spans="1:23" x14ac:dyDescent="0.3">
      <c r="A830" s="44">
        <v>827</v>
      </c>
      <c r="B830" s="14">
        <v>9</v>
      </c>
      <c r="C830" s="4">
        <v>23</v>
      </c>
      <c r="D830" s="3" t="str">
        <f>VLOOKUP($C830,Overall!$K$5:$T$36,2)</f>
        <v>Normal</v>
      </c>
      <c r="E830" s="3">
        <f ca="1">VLOOKUP($C830,Overall!$K$5:$T$36,10)</f>
        <v>3.4028234663852886E+38</v>
      </c>
      <c r="F830" s="9" t="str">
        <f>VLOOKUP($C830,Overall!$K$5:$T$36,6)</f>
        <v>01111111011111111111111111111111</v>
      </c>
      <c r="G830" s="8">
        <v>15</v>
      </c>
      <c r="H830" s="3" t="str">
        <f>VLOOKUP($G830,Overall!$K$5:$T$36,2)</f>
        <v>Normal</v>
      </c>
      <c r="I830" s="3">
        <f ca="1">VLOOKUP($G830,Overall!$K$5:$T$36,10)</f>
        <v>1.1754943508222875E-38</v>
      </c>
      <c r="J830" s="62" t="str">
        <f>VLOOKUP($G830,Overall!$K$5:$T$36,6)</f>
        <v>00000000100000000000000000000000</v>
      </c>
      <c r="K830" s="8">
        <f t="shared" ca="1" si="108"/>
        <v>3.9999997615814209</v>
      </c>
      <c r="L830" s="62">
        <f>VLOOKUP($B830,Overall!$B$5:$I$13,8)</f>
        <v>0</v>
      </c>
      <c r="M830" s="58"/>
      <c r="N830" s="3" t="str">
        <f t="shared" si="109"/>
        <v/>
      </c>
      <c r="O830" s="3" t="str">
        <f t="shared" si="110"/>
        <v/>
      </c>
      <c r="P830" s="3" t="str">
        <f t="shared" si="111"/>
        <v/>
      </c>
      <c r="Q830" s="3">
        <f t="shared" si="112"/>
        <v>0</v>
      </c>
      <c r="R830" s="3">
        <f t="shared" si="113"/>
        <v>0</v>
      </c>
      <c r="S830" s="3" t="e" cm="1">
        <f t="array" aca="1" ref="S830" ca="1">SUMPRODUCT(MID($P830,ROW(INDIRECT("1:23")),1)*2^(-ROW(INDIRECT("1:23"))))</f>
        <v>#VALUE!</v>
      </c>
      <c r="T830" s="3" t="e">
        <f t="shared" ca="1" si="114"/>
        <v>#VALUE!</v>
      </c>
      <c r="U830" s="3" t="e">
        <f t="shared" ca="1" si="115"/>
        <v>#VALUE!</v>
      </c>
      <c r="V830" s="73"/>
      <c r="W830" s="9" t="str">
        <f t="shared" si="116"/>
        <v>OK</v>
      </c>
    </row>
    <row r="831" spans="1:23" x14ac:dyDescent="0.3">
      <c r="A831" s="44">
        <v>828</v>
      </c>
      <c r="B831" s="14">
        <v>9</v>
      </c>
      <c r="C831" s="4">
        <v>23</v>
      </c>
      <c r="D831" s="3" t="str">
        <f>VLOOKUP($C831,Overall!$K$5:$T$36,2)</f>
        <v>Normal</v>
      </c>
      <c r="E831" s="3">
        <f ca="1">VLOOKUP($C831,Overall!$K$5:$T$36,10)</f>
        <v>3.4028234663852886E+38</v>
      </c>
      <c r="F831" s="9" t="str">
        <f>VLOOKUP($C831,Overall!$K$5:$T$36,6)</f>
        <v>01111111011111111111111111111111</v>
      </c>
      <c r="G831" s="8">
        <v>16</v>
      </c>
      <c r="H831" s="3" t="str">
        <f>VLOOKUP($G831,Overall!$K$5:$T$36,2)</f>
        <v>Normal</v>
      </c>
      <c r="I831" s="3">
        <f ca="1">VLOOKUP($G831,Overall!$K$5:$T$36,10)</f>
        <v>1.1754944909521339E-38</v>
      </c>
      <c r="J831" s="62" t="str">
        <f>VLOOKUP($G831,Overall!$K$5:$T$36,6)</f>
        <v>00000000100000000000000000000001</v>
      </c>
      <c r="K831" s="8">
        <f t="shared" ca="1" si="108"/>
        <v>4.0000002384185507</v>
      </c>
      <c r="L831" s="62">
        <f>VLOOKUP($B831,Overall!$B$5:$I$13,8)</f>
        <v>0</v>
      </c>
      <c r="M831" s="58"/>
      <c r="N831" s="3" t="str">
        <f t="shared" si="109"/>
        <v/>
      </c>
      <c r="O831" s="3" t="str">
        <f t="shared" si="110"/>
        <v/>
      </c>
      <c r="P831" s="3" t="str">
        <f t="shared" si="111"/>
        <v/>
      </c>
      <c r="Q831" s="3">
        <f t="shared" si="112"/>
        <v>0</v>
      </c>
      <c r="R831" s="3">
        <f t="shared" si="113"/>
        <v>0</v>
      </c>
      <c r="S831" s="3" t="e" cm="1">
        <f t="array" aca="1" ref="S831" ca="1">SUMPRODUCT(MID($P831,ROW(INDIRECT("1:23")),1)*2^(-ROW(INDIRECT("1:23"))))</f>
        <v>#VALUE!</v>
      </c>
      <c r="T831" s="3" t="e">
        <f t="shared" ca="1" si="114"/>
        <v>#VALUE!</v>
      </c>
      <c r="U831" s="3" t="e">
        <f t="shared" ca="1" si="115"/>
        <v>#VALUE!</v>
      </c>
      <c r="V831" s="73"/>
      <c r="W831" s="9" t="str">
        <f t="shared" si="116"/>
        <v>OK</v>
      </c>
    </row>
    <row r="832" spans="1:23" x14ac:dyDescent="0.3">
      <c r="A832" s="44">
        <v>829</v>
      </c>
      <c r="B832" s="14">
        <v>9</v>
      </c>
      <c r="C832" s="4">
        <v>23</v>
      </c>
      <c r="D832" s="3" t="str">
        <f>VLOOKUP($C832,Overall!$K$5:$T$36,2)</f>
        <v>Normal</v>
      </c>
      <c r="E832" s="3">
        <f ca="1">VLOOKUP($C832,Overall!$K$5:$T$36,10)</f>
        <v>3.4028234663852886E+38</v>
      </c>
      <c r="F832" s="9" t="str">
        <f>VLOOKUP($C832,Overall!$K$5:$T$36,6)</f>
        <v>01111111011111111111111111111111</v>
      </c>
      <c r="G832" s="8">
        <v>17</v>
      </c>
      <c r="H832" s="3" t="str">
        <f>VLOOKUP($G832,Overall!$K$5:$T$36,2)</f>
        <v>Normal</v>
      </c>
      <c r="I832" s="3">
        <f ca="1">VLOOKUP($G832,Overall!$K$5:$T$36,10)</f>
        <v>0.5</v>
      </c>
      <c r="J832" s="62" t="str">
        <f>VLOOKUP($G832,Overall!$K$5:$T$36,6)</f>
        <v>00111111000000000000000000000000</v>
      </c>
      <c r="K832" s="8">
        <f t="shared" ca="1" si="108"/>
        <v>1.7014117331926443E+38</v>
      </c>
      <c r="L832" s="62">
        <f>VLOOKUP($B832,Overall!$B$5:$I$13,8)</f>
        <v>0</v>
      </c>
      <c r="M832" s="58"/>
      <c r="N832" s="3" t="str">
        <f t="shared" si="109"/>
        <v/>
      </c>
      <c r="O832" s="3" t="str">
        <f t="shared" si="110"/>
        <v/>
      </c>
      <c r="P832" s="3" t="str">
        <f t="shared" si="111"/>
        <v/>
      </c>
      <c r="Q832" s="3">
        <f t="shared" si="112"/>
        <v>0</v>
      </c>
      <c r="R832" s="3">
        <f t="shared" si="113"/>
        <v>0</v>
      </c>
      <c r="S832" s="3" t="e" cm="1">
        <f t="array" aca="1" ref="S832" ca="1">SUMPRODUCT(MID($P832,ROW(INDIRECT("1:23")),1)*2^(-ROW(INDIRECT("1:23"))))</f>
        <v>#VALUE!</v>
      </c>
      <c r="T832" s="3" t="e">
        <f t="shared" ca="1" si="114"/>
        <v>#VALUE!</v>
      </c>
      <c r="U832" s="3" t="e">
        <f t="shared" ca="1" si="115"/>
        <v>#VALUE!</v>
      </c>
      <c r="V832" s="73"/>
      <c r="W832" s="9" t="str">
        <f t="shared" si="116"/>
        <v>OK</v>
      </c>
    </row>
    <row r="833" spans="1:23" x14ac:dyDescent="0.3">
      <c r="A833" s="44">
        <v>830</v>
      </c>
      <c r="B833" s="14">
        <v>9</v>
      </c>
      <c r="C833" s="4">
        <v>23</v>
      </c>
      <c r="D833" s="3" t="str">
        <f>VLOOKUP($C833,Overall!$K$5:$T$36,2)</f>
        <v>Normal</v>
      </c>
      <c r="E833" s="3">
        <f ca="1">VLOOKUP($C833,Overall!$K$5:$T$36,10)</f>
        <v>3.4028234663852886E+38</v>
      </c>
      <c r="F833" s="9" t="str">
        <f>VLOOKUP($C833,Overall!$K$5:$T$36,6)</f>
        <v>01111111011111111111111111111111</v>
      </c>
      <c r="G833" s="8">
        <v>18</v>
      </c>
      <c r="H833" s="3" t="str">
        <f>VLOOKUP($G833,Overall!$K$5:$T$36,2)</f>
        <v>Normal</v>
      </c>
      <c r="I833" s="3">
        <f ca="1">VLOOKUP($G833,Overall!$K$5:$T$36,10)</f>
        <v>1</v>
      </c>
      <c r="J833" s="62" t="str">
        <f>VLOOKUP($G833,Overall!$K$5:$T$36,6)</f>
        <v>00111111100000000000000000000000</v>
      </c>
      <c r="K833" s="8">
        <f t="shared" ca="1" si="108"/>
        <v>3.4028234663852886E+38</v>
      </c>
      <c r="L833" s="62">
        <f>VLOOKUP($B833,Overall!$B$5:$I$13,8)</f>
        <v>0</v>
      </c>
      <c r="M833" s="58"/>
      <c r="N833" s="3" t="str">
        <f t="shared" si="109"/>
        <v/>
      </c>
      <c r="O833" s="3" t="str">
        <f t="shared" si="110"/>
        <v/>
      </c>
      <c r="P833" s="3" t="str">
        <f t="shared" si="111"/>
        <v/>
      </c>
      <c r="Q833" s="3">
        <f t="shared" si="112"/>
        <v>0</v>
      </c>
      <c r="R833" s="3">
        <f t="shared" si="113"/>
        <v>0</v>
      </c>
      <c r="S833" s="3" t="e" cm="1">
        <f t="array" aca="1" ref="S833" ca="1">SUMPRODUCT(MID($P833,ROW(INDIRECT("1:23")),1)*2^(-ROW(INDIRECT("1:23"))))</f>
        <v>#VALUE!</v>
      </c>
      <c r="T833" s="3" t="e">
        <f t="shared" ca="1" si="114"/>
        <v>#VALUE!</v>
      </c>
      <c r="U833" s="3" t="e">
        <f t="shared" ca="1" si="115"/>
        <v>#VALUE!</v>
      </c>
      <c r="V833" s="73"/>
      <c r="W833" s="9" t="str">
        <f t="shared" si="116"/>
        <v>OK</v>
      </c>
    </row>
    <row r="834" spans="1:23" x14ac:dyDescent="0.3">
      <c r="A834" s="44">
        <v>831</v>
      </c>
      <c r="B834" s="14">
        <v>9</v>
      </c>
      <c r="C834" s="4">
        <v>23</v>
      </c>
      <c r="D834" s="3" t="str">
        <f>VLOOKUP($C834,Overall!$K$5:$T$36,2)</f>
        <v>Normal</v>
      </c>
      <c r="E834" s="3">
        <f ca="1">VLOOKUP($C834,Overall!$K$5:$T$36,10)</f>
        <v>3.4028234663852886E+38</v>
      </c>
      <c r="F834" s="9" t="str">
        <f>VLOOKUP($C834,Overall!$K$5:$T$36,6)</f>
        <v>01111111011111111111111111111111</v>
      </c>
      <c r="G834" s="8">
        <v>19</v>
      </c>
      <c r="H834" s="3" t="str">
        <f>VLOOKUP($G834,Overall!$K$5:$T$36,2)</f>
        <v>Normal</v>
      </c>
      <c r="I834" s="3">
        <f ca="1">VLOOKUP($G834,Overall!$K$5:$T$36,10)</f>
        <v>1.5</v>
      </c>
      <c r="J834" s="62" t="str">
        <f>VLOOKUP($G834,Overall!$K$5:$T$36,6)</f>
        <v>00111111110000000000000000000000</v>
      </c>
      <c r="K834" s="8">
        <f t="shared" ca="1" si="108"/>
        <v>5.1042351995779329E+38</v>
      </c>
      <c r="L834" s="62">
        <f>VLOOKUP($B834,Overall!$B$5:$I$13,8)</f>
        <v>0</v>
      </c>
      <c r="M834" s="58"/>
      <c r="N834" s="3" t="str">
        <f t="shared" si="109"/>
        <v/>
      </c>
      <c r="O834" s="3" t="str">
        <f t="shared" si="110"/>
        <v/>
      </c>
      <c r="P834" s="3" t="str">
        <f t="shared" si="111"/>
        <v/>
      </c>
      <c r="Q834" s="3">
        <f t="shared" si="112"/>
        <v>0</v>
      </c>
      <c r="R834" s="3">
        <f t="shared" si="113"/>
        <v>0</v>
      </c>
      <c r="S834" s="3" t="e" cm="1">
        <f t="array" aca="1" ref="S834" ca="1">SUMPRODUCT(MID($P834,ROW(INDIRECT("1:23")),1)*2^(-ROW(INDIRECT("1:23"))))</f>
        <v>#VALUE!</v>
      </c>
      <c r="T834" s="3" t="e">
        <f t="shared" ca="1" si="114"/>
        <v>#VALUE!</v>
      </c>
      <c r="U834" s="3" t="e">
        <f t="shared" ca="1" si="115"/>
        <v>#VALUE!</v>
      </c>
      <c r="V834" s="73"/>
      <c r="W834" s="9" t="str">
        <f t="shared" si="116"/>
        <v>OK</v>
      </c>
    </row>
    <row r="835" spans="1:23" x14ac:dyDescent="0.3">
      <c r="A835" s="44">
        <v>832</v>
      </c>
      <c r="B835" s="14">
        <v>9</v>
      </c>
      <c r="C835" s="4">
        <v>23</v>
      </c>
      <c r="D835" s="3" t="str">
        <f>VLOOKUP($C835,Overall!$K$5:$T$36,2)</f>
        <v>Normal</v>
      </c>
      <c r="E835" s="3">
        <f ca="1">VLOOKUP($C835,Overall!$K$5:$T$36,10)</f>
        <v>3.4028234663852886E+38</v>
      </c>
      <c r="F835" s="9" t="str">
        <f>VLOOKUP($C835,Overall!$K$5:$T$36,6)</f>
        <v>01111111011111111111111111111111</v>
      </c>
      <c r="G835" s="8">
        <v>20</v>
      </c>
      <c r="H835" s="3" t="str">
        <f>VLOOKUP($G835,Overall!$K$5:$T$36,2)</f>
        <v>Normal</v>
      </c>
      <c r="I835" s="3">
        <f ca="1">VLOOKUP($G835,Overall!$K$5:$T$36,10)</f>
        <v>12345.6787109375</v>
      </c>
      <c r="J835" s="62" t="str">
        <f>VLOOKUP($G835,Overall!$K$5:$T$36,6)</f>
        <v>001000110010000001110011010110111</v>
      </c>
      <c r="K835" s="8">
        <f t="shared" ca="1" si="108"/>
        <v>4.2010165226031405E+42</v>
      </c>
      <c r="L835" s="62">
        <f>VLOOKUP($B835,Overall!$B$5:$I$13,8)</f>
        <v>0</v>
      </c>
      <c r="M835" s="58"/>
      <c r="N835" s="3" t="str">
        <f t="shared" si="109"/>
        <v/>
      </c>
      <c r="O835" s="3" t="str">
        <f t="shared" si="110"/>
        <v/>
      </c>
      <c r="P835" s="3" t="str">
        <f t="shared" si="111"/>
        <v/>
      </c>
      <c r="Q835" s="3">
        <f t="shared" si="112"/>
        <v>0</v>
      </c>
      <c r="R835" s="3">
        <f t="shared" si="113"/>
        <v>0</v>
      </c>
      <c r="S835" s="3" t="e" cm="1">
        <f t="array" aca="1" ref="S835" ca="1">SUMPRODUCT(MID($P835,ROW(INDIRECT("1:23")),1)*2^(-ROW(INDIRECT("1:23"))))</f>
        <v>#VALUE!</v>
      </c>
      <c r="T835" s="3" t="e">
        <f t="shared" ca="1" si="114"/>
        <v>#VALUE!</v>
      </c>
      <c r="U835" s="3" t="e">
        <f t="shared" ca="1" si="115"/>
        <v>#VALUE!</v>
      </c>
      <c r="V835" s="73"/>
      <c r="W835" s="9" t="str">
        <f t="shared" si="116"/>
        <v>OK</v>
      </c>
    </row>
    <row r="836" spans="1:23" x14ac:dyDescent="0.3">
      <c r="A836" s="44">
        <v>833</v>
      </c>
      <c r="B836" s="14">
        <v>9</v>
      </c>
      <c r="C836" s="4">
        <v>23</v>
      </c>
      <c r="D836" s="3" t="str">
        <f>VLOOKUP($C836,Overall!$K$5:$T$36,2)</f>
        <v>Normal</v>
      </c>
      <c r="E836" s="3">
        <f ca="1">VLOOKUP($C836,Overall!$K$5:$T$36,10)</f>
        <v>3.4028234663852886E+38</v>
      </c>
      <c r="F836" s="9" t="str">
        <f>VLOOKUP($C836,Overall!$K$5:$T$36,6)</f>
        <v>01111111011111111111111111111111</v>
      </c>
      <c r="G836" s="8">
        <v>21</v>
      </c>
      <c r="H836" s="3" t="str">
        <f>VLOOKUP($G836,Overall!$K$5:$T$36,2)</f>
        <v>Normal</v>
      </c>
      <c r="I836" s="3">
        <f ca="1">VLOOKUP($G836,Overall!$K$5:$T$36,10)</f>
        <v>2.345678924830959E+38</v>
      </c>
      <c r="J836" s="62" t="str">
        <f>VLOOKUP($G836,Overall!$K$5:$T$36,6)</f>
        <v>01111111001100000111100000100010</v>
      </c>
      <c r="K836" s="8">
        <f t="shared" ca="1" si="108"/>
        <v>7.9819312900202006E+76</v>
      </c>
      <c r="L836" s="62">
        <f>VLOOKUP($B836,Overall!$B$5:$I$13,8)</f>
        <v>0</v>
      </c>
      <c r="M836" s="58"/>
      <c r="N836" s="3" t="str">
        <f t="shared" si="109"/>
        <v/>
      </c>
      <c r="O836" s="3" t="str">
        <f t="shared" si="110"/>
        <v/>
      </c>
      <c r="P836" s="3" t="str">
        <f t="shared" si="111"/>
        <v/>
      </c>
      <c r="Q836" s="3">
        <f t="shared" si="112"/>
        <v>0</v>
      </c>
      <c r="R836" s="3">
        <f t="shared" si="113"/>
        <v>0</v>
      </c>
      <c r="S836" s="3" t="e" cm="1">
        <f t="array" aca="1" ref="S836" ca="1">SUMPRODUCT(MID($P836,ROW(INDIRECT("1:23")),1)*2^(-ROW(INDIRECT("1:23"))))</f>
        <v>#VALUE!</v>
      </c>
      <c r="T836" s="3" t="e">
        <f t="shared" ca="1" si="114"/>
        <v>#VALUE!</v>
      </c>
      <c r="U836" s="3" t="e">
        <f t="shared" ca="1" si="115"/>
        <v>#VALUE!</v>
      </c>
      <c r="V836" s="73"/>
      <c r="W836" s="9" t="str">
        <f t="shared" si="116"/>
        <v>OK</v>
      </c>
    </row>
    <row r="837" spans="1:23" x14ac:dyDescent="0.3">
      <c r="A837" s="44">
        <v>834</v>
      </c>
      <c r="B837" s="14">
        <v>9</v>
      </c>
      <c r="C837" s="4">
        <v>23</v>
      </c>
      <c r="D837" s="3" t="str">
        <f>VLOOKUP($C837,Overall!$K$5:$T$36,2)</f>
        <v>Normal</v>
      </c>
      <c r="E837" s="3">
        <f ca="1">VLOOKUP($C837,Overall!$K$5:$T$36,10)</f>
        <v>3.4028234663852886E+38</v>
      </c>
      <c r="F837" s="9" t="str">
        <f>VLOOKUP($C837,Overall!$K$5:$T$36,6)</f>
        <v>01111111011111111111111111111111</v>
      </c>
      <c r="G837" s="8">
        <v>22</v>
      </c>
      <c r="H837" s="3" t="str">
        <f>VLOOKUP($G837,Overall!$K$5:$T$36,2)</f>
        <v>Normal</v>
      </c>
      <c r="I837" s="3">
        <f ca="1">VLOOKUP($G837,Overall!$K$5:$T$36,10)</f>
        <v>3.4028232635611926E+38</v>
      </c>
      <c r="J837" s="62" t="str">
        <f>VLOOKUP($G837,Overall!$K$5:$T$36,6)</f>
        <v>01111111011111111111111111111110</v>
      </c>
      <c r="K837" s="8">
        <f t="shared" ref="K837:K900" ca="1" si="117">E837*I837</f>
        <v>1.1579206853207798E+77</v>
      </c>
      <c r="L837" s="62">
        <f>VLOOKUP($B837,Overall!$B$5:$I$13,8)</f>
        <v>0</v>
      </c>
      <c r="M837" s="58"/>
      <c r="N837" s="3" t="str">
        <f t="shared" ref="N837:N900" si="118">LEFT($M837,1)</f>
        <v/>
      </c>
      <c r="O837" s="3" t="str">
        <f t="shared" ref="O837:O900" si="119">MID($M837,2,8)</f>
        <v/>
      </c>
      <c r="P837" s="3" t="str">
        <f t="shared" ref="P837:P900" si="120">MID($M837,10,23)</f>
        <v/>
      </c>
      <c r="Q837" s="3">
        <f t="shared" ref="Q837:Q900" si="121">BIN2DEC($N837)</f>
        <v>0</v>
      </c>
      <c r="R837" s="3">
        <f t="shared" ref="R837:R900" si="122">BIN2DEC($O837)</f>
        <v>0</v>
      </c>
      <c r="S837" s="3" t="e" cm="1">
        <f t="array" aca="1" ref="S837" ca="1">SUMPRODUCT(MID($P837,ROW(INDIRECT("1:23")),1)*2^(-ROW(INDIRECT("1:23"))))</f>
        <v>#VALUE!</v>
      </c>
      <c r="T837" s="3" t="e">
        <f t="shared" ref="T837:T900" ca="1" si="123">IF($R837=0,
   (-1)^$Q837 * $S837 * 2^(-126),
   (-1)^$Q837 * (1 + $S837) * 2^($R837 - 127)
)</f>
        <v>#VALUE!</v>
      </c>
      <c r="U837" s="3" t="e">
        <f t="shared" ref="U837:U900" ca="1" si="124">$T837-$K837</f>
        <v>#VALUE!</v>
      </c>
      <c r="V837" s="73"/>
      <c r="W837" s="9" t="str">
        <f t="shared" ref="W837:W900" si="125">IF(L837=V837,"OK","NG")</f>
        <v>OK</v>
      </c>
    </row>
    <row r="838" spans="1:23" x14ac:dyDescent="0.3">
      <c r="A838" s="44">
        <v>835</v>
      </c>
      <c r="B838" s="14">
        <v>9</v>
      </c>
      <c r="C838" s="4">
        <v>23</v>
      </c>
      <c r="D838" s="3" t="str">
        <f>VLOOKUP($C838,Overall!$K$5:$T$36,2)</f>
        <v>Normal</v>
      </c>
      <c r="E838" s="3">
        <f ca="1">VLOOKUP($C838,Overall!$K$5:$T$36,10)</f>
        <v>3.4028234663852886E+38</v>
      </c>
      <c r="F838" s="9" t="str">
        <f>VLOOKUP($C838,Overall!$K$5:$T$36,6)</f>
        <v>01111111011111111111111111111111</v>
      </c>
      <c r="G838" s="8">
        <v>23</v>
      </c>
      <c r="H838" s="3" t="str">
        <f>VLOOKUP($G838,Overall!$K$5:$T$36,2)</f>
        <v>Normal</v>
      </c>
      <c r="I838" s="3">
        <f ca="1">VLOOKUP($G838,Overall!$K$5:$T$36,10)</f>
        <v>3.4028234663852886E+38</v>
      </c>
      <c r="J838" s="62" t="str">
        <f>VLOOKUP($G838,Overall!$K$5:$T$36,6)</f>
        <v>01111111011111111111111111111111</v>
      </c>
      <c r="K838" s="8">
        <f t="shared" ca="1" si="117"/>
        <v>1.1579207543382391E+77</v>
      </c>
      <c r="L838" s="62">
        <f>VLOOKUP($B838,Overall!$B$5:$I$13,8)</f>
        <v>0</v>
      </c>
      <c r="M838" s="58"/>
      <c r="N838" s="3" t="str">
        <f t="shared" si="118"/>
        <v/>
      </c>
      <c r="O838" s="3" t="str">
        <f t="shared" si="119"/>
        <v/>
      </c>
      <c r="P838" s="3" t="str">
        <f t="shared" si="120"/>
        <v/>
      </c>
      <c r="Q838" s="3">
        <f t="shared" si="121"/>
        <v>0</v>
      </c>
      <c r="R838" s="3">
        <f t="shared" si="122"/>
        <v>0</v>
      </c>
      <c r="S838" s="3" t="e" cm="1">
        <f t="array" aca="1" ref="S838" ca="1">SUMPRODUCT(MID($P838,ROW(INDIRECT("1:23")),1)*2^(-ROW(INDIRECT("1:23"))))</f>
        <v>#VALUE!</v>
      </c>
      <c r="T838" s="3" t="e">
        <f t="shared" ca="1" si="123"/>
        <v>#VALUE!</v>
      </c>
      <c r="U838" s="3" t="e">
        <f t="shared" ca="1" si="124"/>
        <v>#VALUE!</v>
      </c>
      <c r="V838" s="73"/>
      <c r="W838" s="9" t="str">
        <f t="shared" si="125"/>
        <v>OK</v>
      </c>
    </row>
    <row r="839" spans="1:23" x14ac:dyDescent="0.3">
      <c r="A839" s="44">
        <v>836</v>
      </c>
      <c r="B839" s="14">
        <v>9</v>
      </c>
      <c r="C839" s="4">
        <v>23</v>
      </c>
      <c r="D839" s="3" t="str">
        <f>VLOOKUP($C839,Overall!$K$5:$T$36,2)</f>
        <v>Normal</v>
      </c>
      <c r="E839" s="3">
        <f ca="1">VLOOKUP($C839,Overall!$K$5:$T$36,10)</f>
        <v>3.4028234663852886E+38</v>
      </c>
      <c r="F839" s="9" t="str">
        <f>VLOOKUP($C839,Overall!$K$5:$T$36,6)</f>
        <v>01111111011111111111111111111111</v>
      </c>
      <c r="G839" s="8">
        <v>24</v>
      </c>
      <c r="H839" s="3" t="str">
        <f>VLOOKUP($G839,Overall!$K$5:$T$36,2)</f>
        <v>Normal</v>
      </c>
      <c r="I839" s="3">
        <f ca="1">VLOOKUP($G839,Overall!$K$5:$T$36,10)</f>
        <v>-1.1754943508222875E-38</v>
      </c>
      <c r="J839" s="62" t="str">
        <f>VLOOKUP($G839,Overall!$K$5:$T$36,6)</f>
        <v>10000000100000000000000000000000</v>
      </c>
      <c r="K839" s="8">
        <f t="shared" ca="1" si="117"/>
        <v>-3.9999997615814209</v>
      </c>
      <c r="L839" s="62">
        <f>VLOOKUP($B839,Overall!$B$5:$I$13,8)</f>
        <v>0</v>
      </c>
      <c r="M839" s="58"/>
      <c r="N839" s="3" t="str">
        <f t="shared" si="118"/>
        <v/>
      </c>
      <c r="O839" s="3" t="str">
        <f t="shared" si="119"/>
        <v/>
      </c>
      <c r="P839" s="3" t="str">
        <f t="shared" si="120"/>
        <v/>
      </c>
      <c r="Q839" s="3">
        <f t="shared" si="121"/>
        <v>0</v>
      </c>
      <c r="R839" s="3">
        <f t="shared" si="122"/>
        <v>0</v>
      </c>
      <c r="S839" s="3" t="e" cm="1">
        <f t="array" aca="1" ref="S839" ca="1">SUMPRODUCT(MID($P839,ROW(INDIRECT("1:23")),1)*2^(-ROW(INDIRECT("1:23"))))</f>
        <v>#VALUE!</v>
      </c>
      <c r="T839" s="3" t="e">
        <f t="shared" ca="1" si="123"/>
        <v>#VALUE!</v>
      </c>
      <c r="U839" s="3" t="e">
        <f t="shared" ca="1" si="124"/>
        <v>#VALUE!</v>
      </c>
      <c r="V839" s="73"/>
      <c r="W839" s="9" t="str">
        <f t="shared" si="125"/>
        <v>OK</v>
      </c>
    </row>
    <row r="840" spans="1:23" x14ac:dyDescent="0.3">
      <c r="A840" s="44">
        <v>837</v>
      </c>
      <c r="B840" s="14">
        <v>9</v>
      </c>
      <c r="C840" s="4">
        <v>23</v>
      </c>
      <c r="D840" s="3" t="str">
        <f>VLOOKUP($C840,Overall!$K$5:$T$36,2)</f>
        <v>Normal</v>
      </c>
      <c r="E840" s="3">
        <f ca="1">VLOOKUP($C840,Overall!$K$5:$T$36,10)</f>
        <v>3.4028234663852886E+38</v>
      </c>
      <c r="F840" s="9" t="str">
        <f>VLOOKUP($C840,Overall!$K$5:$T$36,6)</f>
        <v>01111111011111111111111111111111</v>
      </c>
      <c r="G840" s="8">
        <v>25</v>
      </c>
      <c r="H840" s="3" t="str">
        <f>VLOOKUP($G840,Overall!$K$5:$T$36,2)</f>
        <v>Normal</v>
      </c>
      <c r="I840" s="3">
        <f ca="1">VLOOKUP($G840,Overall!$K$5:$T$36,10)</f>
        <v>-1.1754944909521339E-38</v>
      </c>
      <c r="J840" s="62" t="str">
        <f>VLOOKUP($G840,Overall!$K$5:$T$36,6)</f>
        <v>10000000100000000000000000000001</v>
      </c>
      <c r="K840" s="8">
        <f t="shared" ca="1" si="117"/>
        <v>-4.0000002384185507</v>
      </c>
      <c r="L840" s="62">
        <f>VLOOKUP($B840,Overall!$B$5:$I$13,8)</f>
        <v>0</v>
      </c>
      <c r="M840" s="58"/>
      <c r="N840" s="3" t="str">
        <f t="shared" si="118"/>
        <v/>
      </c>
      <c r="O840" s="3" t="str">
        <f t="shared" si="119"/>
        <v/>
      </c>
      <c r="P840" s="3" t="str">
        <f t="shared" si="120"/>
        <v/>
      </c>
      <c r="Q840" s="3">
        <f t="shared" si="121"/>
        <v>0</v>
      </c>
      <c r="R840" s="3">
        <f t="shared" si="122"/>
        <v>0</v>
      </c>
      <c r="S840" s="3" t="e" cm="1">
        <f t="array" aca="1" ref="S840" ca="1">SUMPRODUCT(MID($P840,ROW(INDIRECT("1:23")),1)*2^(-ROW(INDIRECT("1:23"))))</f>
        <v>#VALUE!</v>
      </c>
      <c r="T840" s="3" t="e">
        <f t="shared" ca="1" si="123"/>
        <v>#VALUE!</v>
      </c>
      <c r="U840" s="3" t="e">
        <f t="shared" ca="1" si="124"/>
        <v>#VALUE!</v>
      </c>
      <c r="V840" s="73"/>
      <c r="W840" s="9" t="str">
        <f t="shared" si="125"/>
        <v>OK</v>
      </c>
    </row>
    <row r="841" spans="1:23" x14ac:dyDescent="0.3">
      <c r="A841" s="44">
        <v>838</v>
      </c>
      <c r="B841" s="14">
        <v>9</v>
      </c>
      <c r="C841" s="4">
        <v>23</v>
      </c>
      <c r="D841" s="3" t="str">
        <f>VLOOKUP($C841,Overall!$K$5:$T$36,2)</f>
        <v>Normal</v>
      </c>
      <c r="E841" s="3">
        <f ca="1">VLOOKUP($C841,Overall!$K$5:$T$36,10)</f>
        <v>3.4028234663852886E+38</v>
      </c>
      <c r="F841" s="9" t="str">
        <f>VLOOKUP($C841,Overall!$K$5:$T$36,6)</f>
        <v>01111111011111111111111111111111</v>
      </c>
      <c r="G841" s="8">
        <v>26</v>
      </c>
      <c r="H841" s="3" t="str">
        <f>VLOOKUP($G841,Overall!$K$5:$T$36,2)</f>
        <v>Normal</v>
      </c>
      <c r="I841" s="3">
        <f ca="1">VLOOKUP($G841,Overall!$K$5:$T$36,10)</f>
        <v>-0.5</v>
      </c>
      <c r="J841" s="62" t="str">
        <f>VLOOKUP($G841,Overall!$K$5:$T$36,6)</f>
        <v>10111111000000000000000000000000</v>
      </c>
      <c r="K841" s="8">
        <f t="shared" ca="1" si="117"/>
        <v>-1.7014117331926443E+38</v>
      </c>
      <c r="L841" s="62">
        <f>VLOOKUP($B841,Overall!$B$5:$I$13,8)</f>
        <v>0</v>
      </c>
      <c r="M841" s="58"/>
      <c r="N841" s="3" t="str">
        <f t="shared" si="118"/>
        <v/>
      </c>
      <c r="O841" s="3" t="str">
        <f t="shared" si="119"/>
        <v/>
      </c>
      <c r="P841" s="3" t="str">
        <f t="shared" si="120"/>
        <v/>
      </c>
      <c r="Q841" s="3">
        <f t="shared" si="121"/>
        <v>0</v>
      </c>
      <c r="R841" s="3">
        <f t="shared" si="122"/>
        <v>0</v>
      </c>
      <c r="S841" s="3" t="e" cm="1">
        <f t="array" aca="1" ref="S841" ca="1">SUMPRODUCT(MID($P841,ROW(INDIRECT("1:23")),1)*2^(-ROW(INDIRECT("1:23"))))</f>
        <v>#VALUE!</v>
      </c>
      <c r="T841" s="3" t="e">
        <f t="shared" ca="1" si="123"/>
        <v>#VALUE!</v>
      </c>
      <c r="U841" s="3" t="e">
        <f t="shared" ca="1" si="124"/>
        <v>#VALUE!</v>
      </c>
      <c r="V841" s="73"/>
      <c r="W841" s="9" t="str">
        <f t="shared" si="125"/>
        <v>OK</v>
      </c>
    </row>
    <row r="842" spans="1:23" x14ac:dyDescent="0.3">
      <c r="A842" s="44">
        <v>839</v>
      </c>
      <c r="B842" s="14">
        <v>9</v>
      </c>
      <c r="C842" s="4">
        <v>23</v>
      </c>
      <c r="D842" s="3" t="str">
        <f>VLOOKUP($C842,Overall!$K$5:$T$36,2)</f>
        <v>Normal</v>
      </c>
      <c r="E842" s="3">
        <f ca="1">VLOOKUP($C842,Overall!$K$5:$T$36,10)</f>
        <v>3.4028234663852886E+38</v>
      </c>
      <c r="F842" s="9" t="str">
        <f>VLOOKUP($C842,Overall!$K$5:$T$36,6)</f>
        <v>01111111011111111111111111111111</v>
      </c>
      <c r="G842" s="8">
        <v>27</v>
      </c>
      <c r="H842" s="3" t="str">
        <f>VLOOKUP($G842,Overall!$K$5:$T$36,2)</f>
        <v>Normal</v>
      </c>
      <c r="I842" s="3">
        <f ca="1">VLOOKUP($G842,Overall!$K$5:$T$36,10)</f>
        <v>-1</v>
      </c>
      <c r="J842" s="62" t="str">
        <f>VLOOKUP($G842,Overall!$K$5:$T$36,6)</f>
        <v>10111111100000000000000000000000</v>
      </c>
      <c r="K842" s="8">
        <f t="shared" ca="1" si="117"/>
        <v>-3.4028234663852886E+38</v>
      </c>
      <c r="L842" s="62">
        <f>VLOOKUP($B842,Overall!$B$5:$I$13,8)</f>
        <v>0</v>
      </c>
      <c r="M842" s="58"/>
      <c r="N842" s="3" t="str">
        <f t="shared" si="118"/>
        <v/>
      </c>
      <c r="O842" s="3" t="str">
        <f t="shared" si="119"/>
        <v/>
      </c>
      <c r="P842" s="3" t="str">
        <f t="shared" si="120"/>
        <v/>
      </c>
      <c r="Q842" s="3">
        <f t="shared" si="121"/>
        <v>0</v>
      </c>
      <c r="R842" s="3">
        <f t="shared" si="122"/>
        <v>0</v>
      </c>
      <c r="S842" s="3" t="e" cm="1">
        <f t="array" aca="1" ref="S842" ca="1">SUMPRODUCT(MID($P842,ROW(INDIRECT("1:23")),1)*2^(-ROW(INDIRECT("1:23"))))</f>
        <v>#VALUE!</v>
      </c>
      <c r="T842" s="3" t="e">
        <f t="shared" ca="1" si="123"/>
        <v>#VALUE!</v>
      </c>
      <c r="U842" s="3" t="e">
        <f t="shared" ca="1" si="124"/>
        <v>#VALUE!</v>
      </c>
      <c r="V842" s="73"/>
      <c r="W842" s="9" t="str">
        <f t="shared" si="125"/>
        <v>OK</v>
      </c>
    </row>
    <row r="843" spans="1:23" x14ac:dyDescent="0.3">
      <c r="A843" s="44">
        <v>840</v>
      </c>
      <c r="B843" s="14">
        <v>9</v>
      </c>
      <c r="C843" s="4">
        <v>23</v>
      </c>
      <c r="D843" s="3" t="str">
        <f>VLOOKUP($C843,Overall!$K$5:$T$36,2)</f>
        <v>Normal</v>
      </c>
      <c r="E843" s="3">
        <f ca="1">VLOOKUP($C843,Overall!$K$5:$T$36,10)</f>
        <v>3.4028234663852886E+38</v>
      </c>
      <c r="F843" s="9" t="str">
        <f>VLOOKUP($C843,Overall!$K$5:$T$36,6)</f>
        <v>01111111011111111111111111111111</v>
      </c>
      <c r="G843" s="8">
        <v>28</v>
      </c>
      <c r="H843" s="3" t="str">
        <f>VLOOKUP($G843,Overall!$K$5:$T$36,2)</f>
        <v>Normal</v>
      </c>
      <c r="I843" s="3">
        <f ca="1">VLOOKUP($G843,Overall!$K$5:$T$36,10)</f>
        <v>-1.5</v>
      </c>
      <c r="J843" s="62" t="str">
        <f>VLOOKUP($G843,Overall!$K$5:$T$36,6)</f>
        <v>10111111110000000000000000000000</v>
      </c>
      <c r="K843" s="8">
        <f t="shared" ca="1" si="117"/>
        <v>-5.1042351995779329E+38</v>
      </c>
      <c r="L843" s="62">
        <f>VLOOKUP($B843,Overall!$B$5:$I$13,8)</f>
        <v>0</v>
      </c>
      <c r="M843" s="58"/>
      <c r="N843" s="3" t="str">
        <f t="shared" si="118"/>
        <v/>
      </c>
      <c r="O843" s="3" t="str">
        <f t="shared" si="119"/>
        <v/>
      </c>
      <c r="P843" s="3" t="str">
        <f t="shared" si="120"/>
        <v/>
      </c>
      <c r="Q843" s="3">
        <f t="shared" si="121"/>
        <v>0</v>
      </c>
      <c r="R843" s="3">
        <f t="shared" si="122"/>
        <v>0</v>
      </c>
      <c r="S843" s="3" t="e" cm="1">
        <f t="array" aca="1" ref="S843" ca="1">SUMPRODUCT(MID($P843,ROW(INDIRECT("1:23")),1)*2^(-ROW(INDIRECT("1:23"))))</f>
        <v>#VALUE!</v>
      </c>
      <c r="T843" s="3" t="e">
        <f t="shared" ca="1" si="123"/>
        <v>#VALUE!</v>
      </c>
      <c r="U843" s="3" t="e">
        <f t="shared" ca="1" si="124"/>
        <v>#VALUE!</v>
      </c>
      <c r="V843" s="73"/>
      <c r="W843" s="9" t="str">
        <f t="shared" si="125"/>
        <v>OK</v>
      </c>
    </row>
    <row r="844" spans="1:23" x14ac:dyDescent="0.3">
      <c r="A844" s="44">
        <v>841</v>
      </c>
      <c r="B844" s="14">
        <v>9</v>
      </c>
      <c r="C844" s="4">
        <v>23</v>
      </c>
      <c r="D844" s="3" t="str">
        <f>VLOOKUP($C844,Overall!$K$5:$T$36,2)</f>
        <v>Normal</v>
      </c>
      <c r="E844" s="3">
        <f ca="1">VLOOKUP($C844,Overall!$K$5:$T$36,10)</f>
        <v>3.4028234663852886E+38</v>
      </c>
      <c r="F844" s="9" t="str">
        <f>VLOOKUP($C844,Overall!$K$5:$T$36,6)</f>
        <v>01111111011111111111111111111111</v>
      </c>
      <c r="G844" s="8">
        <v>29</v>
      </c>
      <c r="H844" s="3" t="str">
        <f>VLOOKUP($G844,Overall!$K$5:$T$36,2)</f>
        <v>Normal</v>
      </c>
      <c r="I844" s="3">
        <f ca="1">VLOOKUP($G844,Overall!$K$5:$T$36,10)</f>
        <v>-12345.6787109375</v>
      </c>
      <c r="J844" s="62" t="str">
        <f>VLOOKUP($G844,Overall!$K$5:$T$36,6)</f>
        <v>101000110010000001110011010110111</v>
      </c>
      <c r="K844" s="8">
        <f t="shared" ca="1" si="117"/>
        <v>-4.2010165226031405E+42</v>
      </c>
      <c r="L844" s="62">
        <f>VLOOKUP($B844,Overall!$B$5:$I$13,8)</f>
        <v>0</v>
      </c>
      <c r="M844" s="58"/>
      <c r="N844" s="3" t="str">
        <f t="shared" si="118"/>
        <v/>
      </c>
      <c r="O844" s="3" t="str">
        <f t="shared" si="119"/>
        <v/>
      </c>
      <c r="P844" s="3" t="str">
        <f t="shared" si="120"/>
        <v/>
      </c>
      <c r="Q844" s="3">
        <f t="shared" si="121"/>
        <v>0</v>
      </c>
      <c r="R844" s="3">
        <f t="shared" si="122"/>
        <v>0</v>
      </c>
      <c r="S844" s="3" t="e" cm="1">
        <f t="array" aca="1" ref="S844" ca="1">SUMPRODUCT(MID($P844,ROW(INDIRECT("1:23")),1)*2^(-ROW(INDIRECT("1:23"))))</f>
        <v>#VALUE!</v>
      </c>
      <c r="T844" s="3" t="e">
        <f t="shared" ca="1" si="123"/>
        <v>#VALUE!</v>
      </c>
      <c r="U844" s="3" t="e">
        <f t="shared" ca="1" si="124"/>
        <v>#VALUE!</v>
      </c>
      <c r="V844" s="73"/>
      <c r="W844" s="9" t="str">
        <f t="shared" si="125"/>
        <v>OK</v>
      </c>
    </row>
    <row r="845" spans="1:23" x14ac:dyDescent="0.3">
      <c r="A845" s="44">
        <v>842</v>
      </c>
      <c r="B845" s="14">
        <v>9</v>
      </c>
      <c r="C845" s="4">
        <v>23</v>
      </c>
      <c r="D845" s="3" t="str">
        <f>VLOOKUP($C845,Overall!$K$5:$T$36,2)</f>
        <v>Normal</v>
      </c>
      <c r="E845" s="3">
        <f ca="1">VLOOKUP($C845,Overall!$K$5:$T$36,10)</f>
        <v>3.4028234663852886E+38</v>
      </c>
      <c r="F845" s="9" t="str">
        <f>VLOOKUP($C845,Overall!$K$5:$T$36,6)</f>
        <v>01111111011111111111111111111111</v>
      </c>
      <c r="G845" s="8">
        <v>30</v>
      </c>
      <c r="H845" s="3" t="str">
        <f>VLOOKUP($G845,Overall!$K$5:$T$36,2)</f>
        <v>Normal</v>
      </c>
      <c r="I845" s="3">
        <f ca="1">VLOOKUP($G845,Overall!$K$5:$T$36,10)</f>
        <v>-2.345678924830959E+38</v>
      </c>
      <c r="J845" s="62" t="str">
        <f>VLOOKUP($G845,Overall!$K$5:$T$36,6)</f>
        <v>11111111001100000111100000100010</v>
      </c>
      <c r="K845" s="8">
        <f t="shared" ca="1" si="117"/>
        <v>-7.9819312900202006E+76</v>
      </c>
      <c r="L845" s="62">
        <f>VLOOKUP($B845,Overall!$B$5:$I$13,8)</f>
        <v>0</v>
      </c>
      <c r="M845" s="58"/>
      <c r="N845" s="3" t="str">
        <f t="shared" si="118"/>
        <v/>
      </c>
      <c r="O845" s="3" t="str">
        <f t="shared" si="119"/>
        <v/>
      </c>
      <c r="P845" s="3" t="str">
        <f t="shared" si="120"/>
        <v/>
      </c>
      <c r="Q845" s="3">
        <f t="shared" si="121"/>
        <v>0</v>
      </c>
      <c r="R845" s="3">
        <f t="shared" si="122"/>
        <v>0</v>
      </c>
      <c r="S845" s="3" t="e" cm="1">
        <f t="array" aca="1" ref="S845" ca="1">SUMPRODUCT(MID($P845,ROW(INDIRECT("1:23")),1)*2^(-ROW(INDIRECT("1:23"))))</f>
        <v>#VALUE!</v>
      </c>
      <c r="T845" s="3" t="e">
        <f t="shared" ca="1" si="123"/>
        <v>#VALUE!</v>
      </c>
      <c r="U845" s="3" t="e">
        <f t="shared" ca="1" si="124"/>
        <v>#VALUE!</v>
      </c>
      <c r="V845" s="73"/>
      <c r="W845" s="9" t="str">
        <f t="shared" si="125"/>
        <v>OK</v>
      </c>
    </row>
    <row r="846" spans="1:23" x14ac:dyDescent="0.3">
      <c r="A846" s="44">
        <v>843</v>
      </c>
      <c r="B846" s="14">
        <v>9</v>
      </c>
      <c r="C846" s="4">
        <v>23</v>
      </c>
      <c r="D846" s="3" t="str">
        <f>VLOOKUP($C846,Overall!$K$5:$T$36,2)</f>
        <v>Normal</v>
      </c>
      <c r="E846" s="3">
        <f ca="1">VLOOKUP($C846,Overall!$K$5:$T$36,10)</f>
        <v>3.4028234663852886E+38</v>
      </c>
      <c r="F846" s="9" t="str">
        <f>VLOOKUP($C846,Overall!$K$5:$T$36,6)</f>
        <v>01111111011111111111111111111111</v>
      </c>
      <c r="G846" s="8">
        <v>31</v>
      </c>
      <c r="H846" s="3" t="str">
        <f>VLOOKUP($G846,Overall!$K$5:$T$36,2)</f>
        <v>Normal</v>
      </c>
      <c r="I846" s="3">
        <f ca="1">VLOOKUP($G846,Overall!$K$5:$T$36,10)</f>
        <v>-3.4028232635611926E+38</v>
      </c>
      <c r="J846" s="62" t="str">
        <f>VLOOKUP($G846,Overall!$K$5:$T$36,6)</f>
        <v>11111111011111111111111111111110</v>
      </c>
      <c r="K846" s="8">
        <f t="shared" ca="1" si="117"/>
        <v>-1.1579206853207798E+77</v>
      </c>
      <c r="L846" s="62">
        <f>VLOOKUP($B846,Overall!$B$5:$I$13,8)</f>
        <v>0</v>
      </c>
      <c r="M846" s="58"/>
      <c r="N846" s="3" t="str">
        <f t="shared" si="118"/>
        <v/>
      </c>
      <c r="O846" s="3" t="str">
        <f t="shared" si="119"/>
        <v/>
      </c>
      <c r="P846" s="3" t="str">
        <f t="shared" si="120"/>
        <v/>
      </c>
      <c r="Q846" s="3">
        <f t="shared" si="121"/>
        <v>0</v>
      </c>
      <c r="R846" s="3">
        <f t="shared" si="122"/>
        <v>0</v>
      </c>
      <c r="S846" s="3" t="e" cm="1">
        <f t="array" aca="1" ref="S846" ca="1">SUMPRODUCT(MID($P846,ROW(INDIRECT("1:23")),1)*2^(-ROW(INDIRECT("1:23"))))</f>
        <v>#VALUE!</v>
      </c>
      <c r="T846" s="3" t="e">
        <f t="shared" ca="1" si="123"/>
        <v>#VALUE!</v>
      </c>
      <c r="U846" s="3" t="e">
        <f t="shared" ca="1" si="124"/>
        <v>#VALUE!</v>
      </c>
      <c r="V846" s="73"/>
      <c r="W846" s="9" t="str">
        <f t="shared" si="125"/>
        <v>OK</v>
      </c>
    </row>
    <row r="847" spans="1:23" x14ac:dyDescent="0.3">
      <c r="A847" s="44">
        <v>844</v>
      </c>
      <c r="B847" s="14">
        <v>9</v>
      </c>
      <c r="C847" s="4">
        <v>23</v>
      </c>
      <c r="D847" s="3" t="str">
        <f>VLOOKUP($C847,Overall!$K$5:$T$36,2)</f>
        <v>Normal</v>
      </c>
      <c r="E847" s="3">
        <f ca="1">VLOOKUP($C847,Overall!$K$5:$T$36,10)</f>
        <v>3.4028234663852886E+38</v>
      </c>
      <c r="F847" s="9" t="str">
        <f>VLOOKUP($C847,Overall!$K$5:$T$36,6)</f>
        <v>01111111011111111111111111111111</v>
      </c>
      <c r="G847" s="8">
        <v>32</v>
      </c>
      <c r="H847" s="3" t="str">
        <f>VLOOKUP($G847,Overall!$K$5:$T$36,2)</f>
        <v>Normal</v>
      </c>
      <c r="I847" s="3">
        <f ca="1">VLOOKUP($G847,Overall!$K$5:$T$36,10)</f>
        <v>-3.4028234663852886E+38</v>
      </c>
      <c r="J847" s="62" t="str">
        <f>VLOOKUP($G847,Overall!$K$5:$T$36,6)</f>
        <v>11111111011111111111111111111111</v>
      </c>
      <c r="K847" s="8">
        <f t="shared" ca="1" si="117"/>
        <v>-1.1579207543382391E+77</v>
      </c>
      <c r="L847" s="62">
        <f>VLOOKUP($B847,Overall!$B$5:$I$13,8)</f>
        <v>0</v>
      </c>
      <c r="M847" s="58"/>
      <c r="N847" s="3" t="str">
        <f t="shared" si="118"/>
        <v/>
      </c>
      <c r="O847" s="3" t="str">
        <f t="shared" si="119"/>
        <v/>
      </c>
      <c r="P847" s="3" t="str">
        <f t="shared" si="120"/>
        <v/>
      </c>
      <c r="Q847" s="3">
        <f t="shared" si="121"/>
        <v>0</v>
      </c>
      <c r="R847" s="3">
        <f t="shared" si="122"/>
        <v>0</v>
      </c>
      <c r="S847" s="3" t="e" cm="1">
        <f t="array" aca="1" ref="S847" ca="1">SUMPRODUCT(MID($P847,ROW(INDIRECT("1:23")),1)*2^(-ROW(INDIRECT("1:23"))))</f>
        <v>#VALUE!</v>
      </c>
      <c r="T847" s="3" t="e">
        <f t="shared" ca="1" si="123"/>
        <v>#VALUE!</v>
      </c>
      <c r="U847" s="3" t="e">
        <f t="shared" ca="1" si="124"/>
        <v>#VALUE!</v>
      </c>
      <c r="V847" s="73"/>
      <c r="W847" s="9" t="str">
        <f t="shared" si="125"/>
        <v>OK</v>
      </c>
    </row>
    <row r="848" spans="1:23" x14ac:dyDescent="0.3">
      <c r="A848" s="44">
        <v>845</v>
      </c>
      <c r="B848" s="14">
        <v>9</v>
      </c>
      <c r="C848" s="4">
        <v>24</v>
      </c>
      <c r="D848" s="3" t="str">
        <f>VLOOKUP($C848,Overall!$K$5:$T$36,2)</f>
        <v>Normal</v>
      </c>
      <c r="E848" s="3">
        <f ca="1">VLOOKUP($C848,Overall!$K$5:$T$36,10)</f>
        <v>-1.1754943508222875E-38</v>
      </c>
      <c r="F848" s="9" t="str">
        <f>VLOOKUP($C848,Overall!$K$5:$T$36,6)</f>
        <v>10000000100000000000000000000000</v>
      </c>
      <c r="G848" s="8">
        <v>13</v>
      </c>
      <c r="H848" s="3" t="str">
        <f>VLOOKUP($G848,Overall!$K$5:$T$36,2)</f>
        <v>Normal</v>
      </c>
      <c r="I848" s="3">
        <f ca="1">VLOOKUP($G848,Overall!$K$5:$T$36,10)</f>
        <v>0</v>
      </c>
      <c r="J848" s="62" t="str">
        <f>VLOOKUP($G848,Overall!$K$5:$T$36,6)</f>
        <v>00000000000000000000000000000000</v>
      </c>
      <c r="K848" s="8">
        <f t="shared" ca="1" si="117"/>
        <v>0</v>
      </c>
      <c r="L848" s="62">
        <f>VLOOKUP($B848,Overall!$B$5:$I$13,8)</f>
        <v>0</v>
      </c>
      <c r="M848" s="58"/>
      <c r="N848" s="3" t="str">
        <f t="shared" si="118"/>
        <v/>
      </c>
      <c r="O848" s="3" t="str">
        <f t="shared" si="119"/>
        <v/>
      </c>
      <c r="P848" s="3" t="str">
        <f t="shared" si="120"/>
        <v/>
      </c>
      <c r="Q848" s="3">
        <f t="shared" si="121"/>
        <v>0</v>
      </c>
      <c r="R848" s="3">
        <f t="shared" si="122"/>
        <v>0</v>
      </c>
      <c r="S848" s="3" t="e" cm="1">
        <f t="array" aca="1" ref="S848" ca="1">SUMPRODUCT(MID($P848,ROW(INDIRECT("1:23")),1)*2^(-ROW(INDIRECT("1:23"))))</f>
        <v>#VALUE!</v>
      </c>
      <c r="T848" s="3" t="e">
        <f t="shared" ca="1" si="123"/>
        <v>#VALUE!</v>
      </c>
      <c r="U848" s="3" t="e">
        <f t="shared" ca="1" si="124"/>
        <v>#VALUE!</v>
      </c>
      <c r="V848" s="73"/>
      <c r="W848" s="9" t="str">
        <f t="shared" si="125"/>
        <v>OK</v>
      </c>
    </row>
    <row r="849" spans="1:23" x14ac:dyDescent="0.3">
      <c r="A849" s="44">
        <v>846</v>
      </c>
      <c r="B849" s="14">
        <v>9</v>
      </c>
      <c r="C849" s="4">
        <v>24</v>
      </c>
      <c r="D849" s="3" t="str">
        <f>VLOOKUP($C849,Overall!$K$5:$T$36,2)</f>
        <v>Normal</v>
      </c>
      <c r="E849" s="3">
        <f ca="1">VLOOKUP($C849,Overall!$K$5:$T$36,10)</f>
        <v>-1.1754943508222875E-38</v>
      </c>
      <c r="F849" s="9" t="str">
        <f>VLOOKUP($C849,Overall!$K$5:$T$36,6)</f>
        <v>10000000100000000000000000000000</v>
      </c>
      <c r="G849" s="8">
        <v>14</v>
      </c>
      <c r="H849" s="3" t="str">
        <f>VLOOKUP($G849,Overall!$K$5:$T$36,2)</f>
        <v>Normal</v>
      </c>
      <c r="I849" s="3">
        <f ca="1">VLOOKUP($G849,Overall!$K$5:$T$36,10)</f>
        <v>0</v>
      </c>
      <c r="J849" s="62" t="str">
        <f>VLOOKUP($G849,Overall!$K$5:$T$36,6)</f>
        <v>10000000000000000000000000000000</v>
      </c>
      <c r="K849" s="8">
        <f t="shared" ca="1" si="117"/>
        <v>0</v>
      </c>
      <c r="L849" s="62">
        <f>VLOOKUP($B849,Overall!$B$5:$I$13,8)</f>
        <v>0</v>
      </c>
      <c r="M849" s="58"/>
      <c r="N849" s="3" t="str">
        <f t="shared" si="118"/>
        <v/>
      </c>
      <c r="O849" s="3" t="str">
        <f t="shared" si="119"/>
        <v/>
      </c>
      <c r="P849" s="3" t="str">
        <f t="shared" si="120"/>
        <v/>
      </c>
      <c r="Q849" s="3">
        <f t="shared" si="121"/>
        <v>0</v>
      </c>
      <c r="R849" s="3">
        <f t="shared" si="122"/>
        <v>0</v>
      </c>
      <c r="S849" s="3" t="e" cm="1">
        <f t="array" aca="1" ref="S849" ca="1">SUMPRODUCT(MID($P849,ROW(INDIRECT("1:23")),1)*2^(-ROW(INDIRECT("1:23"))))</f>
        <v>#VALUE!</v>
      </c>
      <c r="T849" s="3" t="e">
        <f t="shared" ca="1" si="123"/>
        <v>#VALUE!</v>
      </c>
      <c r="U849" s="3" t="e">
        <f t="shared" ca="1" si="124"/>
        <v>#VALUE!</v>
      </c>
      <c r="V849" s="73"/>
      <c r="W849" s="9" t="str">
        <f t="shared" si="125"/>
        <v>OK</v>
      </c>
    </row>
    <row r="850" spans="1:23" x14ac:dyDescent="0.3">
      <c r="A850" s="44">
        <v>847</v>
      </c>
      <c r="B850" s="14">
        <v>9</v>
      </c>
      <c r="C850" s="4">
        <v>24</v>
      </c>
      <c r="D850" s="3" t="str">
        <f>VLOOKUP($C850,Overall!$K$5:$T$36,2)</f>
        <v>Normal</v>
      </c>
      <c r="E850" s="3">
        <f ca="1">VLOOKUP($C850,Overall!$K$5:$T$36,10)</f>
        <v>-1.1754943508222875E-38</v>
      </c>
      <c r="F850" s="9" t="str">
        <f>VLOOKUP($C850,Overall!$K$5:$T$36,6)</f>
        <v>10000000100000000000000000000000</v>
      </c>
      <c r="G850" s="8">
        <v>15</v>
      </c>
      <c r="H850" s="3" t="str">
        <f>VLOOKUP($G850,Overall!$K$5:$T$36,2)</f>
        <v>Normal</v>
      </c>
      <c r="I850" s="3">
        <f ca="1">VLOOKUP($G850,Overall!$K$5:$T$36,10)</f>
        <v>1.1754943508222875E-38</v>
      </c>
      <c r="J850" s="62" t="str">
        <f>VLOOKUP($G850,Overall!$K$5:$T$36,6)</f>
        <v>00000000100000000000000000000000</v>
      </c>
      <c r="K850" s="8">
        <f t="shared" ca="1" si="117"/>
        <v>-1.3817869688151111E-76</v>
      </c>
      <c r="L850" s="62">
        <f>VLOOKUP($B850,Overall!$B$5:$I$13,8)</f>
        <v>0</v>
      </c>
      <c r="M850" s="58"/>
      <c r="N850" s="3" t="str">
        <f t="shared" si="118"/>
        <v/>
      </c>
      <c r="O850" s="3" t="str">
        <f t="shared" si="119"/>
        <v/>
      </c>
      <c r="P850" s="3" t="str">
        <f t="shared" si="120"/>
        <v/>
      </c>
      <c r="Q850" s="3">
        <f t="shared" si="121"/>
        <v>0</v>
      </c>
      <c r="R850" s="3">
        <f t="shared" si="122"/>
        <v>0</v>
      </c>
      <c r="S850" s="3" t="e" cm="1">
        <f t="array" aca="1" ref="S850" ca="1">SUMPRODUCT(MID($P850,ROW(INDIRECT("1:23")),1)*2^(-ROW(INDIRECT("1:23"))))</f>
        <v>#VALUE!</v>
      </c>
      <c r="T850" s="3" t="e">
        <f t="shared" ca="1" si="123"/>
        <v>#VALUE!</v>
      </c>
      <c r="U850" s="3" t="e">
        <f t="shared" ca="1" si="124"/>
        <v>#VALUE!</v>
      </c>
      <c r="V850" s="73"/>
      <c r="W850" s="9" t="str">
        <f t="shared" si="125"/>
        <v>OK</v>
      </c>
    </row>
    <row r="851" spans="1:23" x14ac:dyDescent="0.3">
      <c r="A851" s="44">
        <v>848</v>
      </c>
      <c r="B851" s="14">
        <v>9</v>
      </c>
      <c r="C851" s="4">
        <v>24</v>
      </c>
      <c r="D851" s="3" t="str">
        <f>VLOOKUP($C851,Overall!$K$5:$T$36,2)</f>
        <v>Normal</v>
      </c>
      <c r="E851" s="3">
        <f ca="1">VLOOKUP($C851,Overall!$K$5:$T$36,10)</f>
        <v>-1.1754943508222875E-38</v>
      </c>
      <c r="F851" s="9" t="str">
        <f>VLOOKUP($C851,Overall!$K$5:$T$36,6)</f>
        <v>10000000100000000000000000000000</v>
      </c>
      <c r="G851" s="8">
        <v>16</v>
      </c>
      <c r="H851" s="3" t="str">
        <f>VLOOKUP($G851,Overall!$K$5:$T$36,2)</f>
        <v>Normal</v>
      </c>
      <c r="I851" s="3">
        <f ca="1">VLOOKUP($G851,Overall!$K$5:$T$36,10)</f>
        <v>1.1754944909521339E-38</v>
      </c>
      <c r="J851" s="62" t="str">
        <f>VLOOKUP($G851,Overall!$K$5:$T$36,6)</f>
        <v>00000000100000000000000000000001</v>
      </c>
      <c r="K851" s="8">
        <f t="shared" ca="1" si="117"/>
        <v>-1.381787133536954E-76</v>
      </c>
      <c r="L851" s="62">
        <f>VLOOKUP($B851,Overall!$B$5:$I$13,8)</f>
        <v>0</v>
      </c>
      <c r="M851" s="58"/>
      <c r="N851" s="3" t="str">
        <f t="shared" si="118"/>
        <v/>
      </c>
      <c r="O851" s="3" t="str">
        <f t="shared" si="119"/>
        <v/>
      </c>
      <c r="P851" s="3" t="str">
        <f t="shared" si="120"/>
        <v/>
      </c>
      <c r="Q851" s="3">
        <f t="shared" si="121"/>
        <v>0</v>
      </c>
      <c r="R851" s="3">
        <f t="shared" si="122"/>
        <v>0</v>
      </c>
      <c r="S851" s="3" t="e" cm="1">
        <f t="array" aca="1" ref="S851" ca="1">SUMPRODUCT(MID($P851,ROW(INDIRECT("1:23")),1)*2^(-ROW(INDIRECT("1:23"))))</f>
        <v>#VALUE!</v>
      </c>
      <c r="T851" s="3" t="e">
        <f t="shared" ca="1" si="123"/>
        <v>#VALUE!</v>
      </c>
      <c r="U851" s="3" t="e">
        <f t="shared" ca="1" si="124"/>
        <v>#VALUE!</v>
      </c>
      <c r="V851" s="73"/>
      <c r="W851" s="9" t="str">
        <f t="shared" si="125"/>
        <v>OK</v>
      </c>
    </row>
    <row r="852" spans="1:23" x14ac:dyDescent="0.3">
      <c r="A852" s="44">
        <v>849</v>
      </c>
      <c r="B852" s="14">
        <v>9</v>
      </c>
      <c r="C852" s="4">
        <v>24</v>
      </c>
      <c r="D852" s="3" t="str">
        <f>VLOOKUP($C852,Overall!$K$5:$T$36,2)</f>
        <v>Normal</v>
      </c>
      <c r="E852" s="3">
        <f ca="1">VLOOKUP($C852,Overall!$K$5:$T$36,10)</f>
        <v>-1.1754943508222875E-38</v>
      </c>
      <c r="F852" s="9" t="str">
        <f>VLOOKUP($C852,Overall!$K$5:$T$36,6)</f>
        <v>10000000100000000000000000000000</v>
      </c>
      <c r="G852" s="8">
        <v>17</v>
      </c>
      <c r="H852" s="3" t="str">
        <f>VLOOKUP($G852,Overall!$K$5:$T$36,2)</f>
        <v>Normal</v>
      </c>
      <c r="I852" s="3">
        <f ca="1">VLOOKUP($G852,Overall!$K$5:$T$36,10)</f>
        <v>0.5</v>
      </c>
      <c r="J852" s="62" t="str">
        <f>VLOOKUP($G852,Overall!$K$5:$T$36,6)</f>
        <v>00111111000000000000000000000000</v>
      </c>
      <c r="K852" s="8">
        <f t="shared" ca="1" si="117"/>
        <v>-5.8774717541114375E-39</v>
      </c>
      <c r="L852" s="62">
        <f>VLOOKUP($B852,Overall!$B$5:$I$13,8)</f>
        <v>0</v>
      </c>
      <c r="M852" s="58"/>
      <c r="N852" s="3" t="str">
        <f t="shared" si="118"/>
        <v/>
      </c>
      <c r="O852" s="3" t="str">
        <f t="shared" si="119"/>
        <v/>
      </c>
      <c r="P852" s="3" t="str">
        <f t="shared" si="120"/>
        <v/>
      </c>
      <c r="Q852" s="3">
        <f t="shared" si="121"/>
        <v>0</v>
      </c>
      <c r="R852" s="3">
        <f t="shared" si="122"/>
        <v>0</v>
      </c>
      <c r="S852" s="3" t="e" cm="1">
        <f t="array" aca="1" ref="S852" ca="1">SUMPRODUCT(MID($P852,ROW(INDIRECT("1:23")),1)*2^(-ROW(INDIRECT("1:23"))))</f>
        <v>#VALUE!</v>
      </c>
      <c r="T852" s="3" t="e">
        <f t="shared" ca="1" si="123"/>
        <v>#VALUE!</v>
      </c>
      <c r="U852" s="3" t="e">
        <f t="shared" ca="1" si="124"/>
        <v>#VALUE!</v>
      </c>
      <c r="V852" s="73"/>
      <c r="W852" s="9" t="str">
        <f t="shared" si="125"/>
        <v>OK</v>
      </c>
    </row>
    <row r="853" spans="1:23" x14ac:dyDescent="0.3">
      <c r="A853" s="44">
        <v>850</v>
      </c>
      <c r="B853" s="14">
        <v>9</v>
      </c>
      <c r="C853" s="4">
        <v>24</v>
      </c>
      <c r="D853" s="3" t="str">
        <f>VLOOKUP($C853,Overall!$K$5:$T$36,2)</f>
        <v>Normal</v>
      </c>
      <c r="E853" s="3">
        <f ca="1">VLOOKUP($C853,Overall!$K$5:$T$36,10)</f>
        <v>-1.1754943508222875E-38</v>
      </c>
      <c r="F853" s="9" t="str">
        <f>VLOOKUP($C853,Overall!$K$5:$T$36,6)</f>
        <v>10000000100000000000000000000000</v>
      </c>
      <c r="G853" s="8">
        <v>18</v>
      </c>
      <c r="H853" s="3" t="str">
        <f>VLOOKUP($G853,Overall!$K$5:$T$36,2)</f>
        <v>Normal</v>
      </c>
      <c r="I853" s="3">
        <f ca="1">VLOOKUP($G853,Overall!$K$5:$T$36,10)</f>
        <v>1</v>
      </c>
      <c r="J853" s="62" t="str">
        <f>VLOOKUP($G853,Overall!$K$5:$T$36,6)</f>
        <v>00111111100000000000000000000000</v>
      </c>
      <c r="K853" s="8">
        <f t="shared" ca="1" si="117"/>
        <v>-1.1754943508222875E-38</v>
      </c>
      <c r="L853" s="62">
        <f>VLOOKUP($B853,Overall!$B$5:$I$13,8)</f>
        <v>0</v>
      </c>
      <c r="M853" s="58"/>
      <c r="N853" s="3" t="str">
        <f t="shared" si="118"/>
        <v/>
      </c>
      <c r="O853" s="3" t="str">
        <f t="shared" si="119"/>
        <v/>
      </c>
      <c r="P853" s="3" t="str">
        <f t="shared" si="120"/>
        <v/>
      </c>
      <c r="Q853" s="3">
        <f t="shared" si="121"/>
        <v>0</v>
      </c>
      <c r="R853" s="3">
        <f t="shared" si="122"/>
        <v>0</v>
      </c>
      <c r="S853" s="3" t="e" cm="1">
        <f t="array" aca="1" ref="S853" ca="1">SUMPRODUCT(MID($P853,ROW(INDIRECT("1:23")),1)*2^(-ROW(INDIRECT("1:23"))))</f>
        <v>#VALUE!</v>
      </c>
      <c r="T853" s="3" t="e">
        <f t="shared" ca="1" si="123"/>
        <v>#VALUE!</v>
      </c>
      <c r="U853" s="3" t="e">
        <f t="shared" ca="1" si="124"/>
        <v>#VALUE!</v>
      </c>
      <c r="V853" s="73"/>
      <c r="W853" s="9" t="str">
        <f t="shared" si="125"/>
        <v>OK</v>
      </c>
    </row>
    <row r="854" spans="1:23" x14ac:dyDescent="0.3">
      <c r="A854" s="44">
        <v>851</v>
      </c>
      <c r="B854" s="14">
        <v>9</v>
      </c>
      <c r="C854" s="4">
        <v>24</v>
      </c>
      <c r="D854" s="3" t="str">
        <f>VLOOKUP($C854,Overall!$K$5:$T$36,2)</f>
        <v>Normal</v>
      </c>
      <c r="E854" s="3">
        <f ca="1">VLOOKUP($C854,Overall!$K$5:$T$36,10)</f>
        <v>-1.1754943508222875E-38</v>
      </c>
      <c r="F854" s="9" t="str">
        <f>VLOOKUP($C854,Overall!$K$5:$T$36,6)</f>
        <v>10000000100000000000000000000000</v>
      </c>
      <c r="G854" s="8">
        <v>19</v>
      </c>
      <c r="H854" s="3" t="str">
        <f>VLOOKUP($G854,Overall!$K$5:$T$36,2)</f>
        <v>Normal</v>
      </c>
      <c r="I854" s="3">
        <f ca="1">VLOOKUP($G854,Overall!$K$5:$T$36,10)</f>
        <v>1.5</v>
      </c>
      <c r="J854" s="62" t="str">
        <f>VLOOKUP($G854,Overall!$K$5:$T$36,6)</f>
        <v>00111111110000000000000000000000</v>
      </c>
      <c r="K854" s="8">
        <f t="shared" ca="1" si="117"/>
        <v>-1.7632415262334313E-38</v>
      </c>
      <c r="L854" s="62">
        <f>VLOOKUP($B854,Overall!$B$5:$I$13,8)</f>
        <v>0</v>
      </c>
      <c r="M854" s="58"/>
      <c r="N854" s="3" t="str">
        <f t="shared" si="118"/>
        <v/>
      </c>
      <c r="O854" s="3" t="str">
        <f t="shared" si="119"/>
        <v/>
      </c>
      <c r="P854" s="3" t="str">
        <f t="shared" si="120"/>
        <v/>
      </c>
      <c r="Q854" s="3">
        <f t="shared" si="121"/>
        <v>0</v>
      </c>
      <c r="R854" s="3">
        <f t="shared" si="122"/>
        <v>0</v>
      </c>
      <c r="S854" s="3" t="e" cm="1">
        <f t="array" aca="1" ref="S854" ca="1">SUMPRODUCT(MID($P854,ROW(INDIRECT("1:23")),1)*2^(-ROW(INDIRECT("1:23"))))</f>
        <v>#VALUE!</v>
      </c>
      <c r="T854" s="3" t="e">
        <f t="shared" ca="1" si="123"/>
        <v>#VALUE!</v>
      </c>
      <c r="U854" s="3" t="e">
        <f t="shared" ca="1" si="124"/>
        <v>#VALUE!</v>
      </c>
      <c r="V854" s="73"/>
      <c r="W854" s="9" t="str">
        <f t="shared" si="125"/>
        <v>OK</v>
      </c>
    </row>
    <row r="855" spans="1:23" x14ac:dyDescent="0.3">
      <c r="A855" s="44">
        <v>852</v>
      </c>
      <c r="B855" s="14">
        <v>9</v>
      </c>
      <c r="C855" s="4">
        <v>24</v>
      </c>
      <c r="D855" s="3" t="str">
        <f>VLOOKUP($C855,Overall!$K$5:$T$36,2)</f>
        <v>Normal</v>
      </c>
      <c r="E855" s="3">
        <f ca="1">VLOOKUP($C855,Overall!$K$5:$T$36,10)</f>
        <v>-1.1754943508222875E-38</v>
      </c>
      <c r="F855" s="9" t="str">
        <f>VLOOKUP($C855,Overall!$K$5:$T$36,6)</f>
        <v>10000000100000000000000000000000</v>
      </c>
      <c r="G855" s="8">
        <v>20</v>
      </c>
      <c r="H855" s="3" t="str">
        <f>VLOOKUP($G855,Overall!$K$5:$T$36,2)</f>
        <v>Normal</v>
      </c>
      <c r="I855" s="3">
        <f ca="1">VLOOKUP($G855,Overall!$K$5:$T$36,10)</f>
        <v>12345.6787109375</v>
      </c>
      <c r="J855" s="62" t="str">
        <f>VLOOKUP($G855,Overall!$K$5:$T$36,6)</f>
        <v>001000110010000001110011010110111</v>
      </c>
      <c r="K855" s="8">
        <f t="shared" ca="1" si="117"/>
        <v>-1.4512275581774012E-34</v>
      </c>
      <c r="L855" s="62">
        <f>VLOOKUP($B855,Overall!$B$5:$I$13,8)</f>
        <v>0</v>
      </c>
      <c r="M855" s="58"/>
      <c r="N855" s="3" t="str">
        <f t="shared" si="118"/>
        <v/>
      </c>
      <c r="O855" s="3" t="str">
        <f t="shared" si="119"/>
        <v/>
      </c>
      <c r="P855" s="3" t="str">
        <f t="shared" si="120"/>
        <v/>
      </c>
      <c r="Q855" s="3">
        <f t="shared" si="121"/>
        <v>0</v>
      </c>
      <c r="R855" s="3">
        <f t="shared" si="122"/>
        <v>0</v>
      </c>
      <c r="S855" s="3" t="e" cm="1">
        <f t="array" aca="1" ref="S855" ca="1">SUMPRODUCT(MID($P855,ROW(INDIRECT("1:23")),1)*2^(-ROW(INDIRECT("1:23"))))</f>
        <v>#VALUE!</v>
      </c>
      <c r="T855" s="3" t="e">
        <f t="shared" ca="1" si="123"/>
        <v>#VALUE!</v>
      </c>
      <c r="U855" s="3" t="e">
        <f t="shared" ca="1" si="124"/>
        <v>#VALUE!</v>
      </c>
      <c r="V855" s="73"/>
      <c r="W855" s="9" t="str">
        <f t="shared" si="125"/>
        <v>OK</v>
      </c>
    </row>
    <row r="856" spans="1:23" x14ac:dyDescent="0.3">
      <c r="A856" s="44">
        <v>853</v>
      </c>
      <c r="B856" s="14">
        <v>9</v>
      </c>
      <c r="C856" s="4">
        <v>24</v>
      </c>
      <c r="D856" s="3" t="str">
        <f>VLOOKUP($C856,Overall!$K$5:$T$36,2)</f>
        <v>Normal</v>
      </c>
      <c r="E856" s="3">
        <f ca="1">VLOOKUP($C856,Overall!$K$5:$T$36,10)</f>
        <v>-1.1754943508222875E-38</v>
      </c>
      <c r="F856" s="9" t="str">
        <f>VLOOKUP($C856,Overall!$K$5:$T$36,6)</f>
        <v>10000000100000000000000000000000</v>
      </c>
      <c r="G856" s="8">
        <v>21</v>
      </c>
      <c r="H856" s="3" t="str">
        <f>VLOOKUP($G856,Overall!$K$5:$T$36,2)</f>
        <v>Normal</v>
      </c>
      <c r="I856" s="3">
        <f ca="1">VLOOKUP($G856,Overall!$K$5:$T$36,10)</f>
        <v>2.345678924830959E+38</v>
      </c>
      <c r="J856" s="62" t="str">
        <f>VLOOKUP($G856,Overall!$K$5:$T$36,6)</f>
        <v>01111111001100000111100000100010</v>
      </c>
      <c r="K856" s="8">
        <f t="shared" ca="1" si="117"/>
        <v>-2.7573323249816895</v>
      </c>
      <c r="L856" s="62">
        <f>VLOOKUP($B856,Overall!$B$5:$I$13,8)</f>
        <v>0</v>
      </c>
      <c r="M856" s="58"/>
      <c r="N856" s="3" t="str">
        <f t="shared" si="118"/>
        <v/>
      </c>
      <c r="O856" s="3" t="str">
        <f t="shared" si="119"/>
        <v/>
      </c>
      <c r="P856" s="3" t="str">
        <f t="shared" si="120"/>
        <v/>
      </c>
      <c r="Q856" s="3">
        <f t="shared" si="121"/>
        <v>0</v>
      </c>
      <c r="R856" s="3">
        <f t="shared" si="122"/>
        <v>0</v>
      </c>
      <c r="S856" s="3" t="e" cm="1">
        <f t="array" aca="1" ref="S856" ca="1">SUMPRODUCT(MID($P856,ROW(INDIRECT("1:23")),1)*2^(-ROW(INDIRECT("1:23"))))</f>
        <v>#VALUE!</v>
      </c>
      <c r="T856" s="3" t="e">
        <f t="shared" ca="1" si="123"/>
        <v>#VALUE!</v>
      </c>
      <c r="U856" s="3" t="e">
        <f t="shared" ca="1" si="124"/>
        <v>#VALUE!</v>
      </c>
      <c r="V856" s="73"/>
      <c r="W856" s="9" t="str">
        <f t="shared" si="125"/>
        <v>OK</v>
      </c>
    </row>
    <row r="857" spans="1:23" x14ac:dyDescent="0.3">
      <c r="A857" s="44">
        <v>854</v>
      </c>
      <c r="B857" s="14">
        <v>9</v>
      </c>
      <c r="C857" s="4">
        <v>24</v>
      </c>
      <c r="D857" s="3" t="str">
        <f>VLOOKUP($C857,Overall!$K$5:$T$36,2)</f>
        <v>Normal</v>
      </c>
      <c r="E857" s="3">
        <f ca="1">VLOOKUP($C857,Overall!$K$5:$T$36,10)</f>
        <v>-1.1754943508222875E-38</v>
      </c>
      <c r="F857" s="9" t="str">
        <f>VLOOKUP($C857,Overall!$K$5:$T$36,6)</f>
        <v>10000000100000000000000000000000</v>
      </c>
      <c r="G857" s="8">
        <v>22</v>
      </c>
      <c r="H857" s="3" t="str">
        <f>VLOOKUP($G857,Overall!$K$5:$T$36,2)</f>
        <v>Normal</v>
      </c>
      <c r="I857" s="3">
        <f ca="1">VLOOKUP($G857,Overall!$K$5:$T$36,10)</f>
        <v>3.4028232635611926E+38</v>
      </c>
      <c r="J857" s="62" t="str">
        <f>VLOOKUP($G857,Overall!$K$5:$T$36,6)</f>
        <v>01111111011111111111111111111110</v>
      </c>
      <c r="K857" s="8">
        <f t="shared" ca="1" si="117"/>
        <v>-3.9999995231628418</v>
      </c>
      <c r="L857" s="62">
        <f>VLOOKUP($B857,Overall!$B$5:$I$13,8)</f>
        <v>0</v>
      </c>
      <c r="M857" s="58"/>
      <c r="N857" s="3" t="str">
        <f t="shared" si="118"/>
        <v/>
      </c>
      <c r="O857" s="3" t="str">
        <f t="shared" si="119"/>
        <v/>
      </c>
      <c r="P857" s="3" t="str">
        <f t="shared" si="120"/>
        <v/>
      </c>
      <c r="Q857" s="3">
        <f t="shared" si="121"/>
        <v>0</v>
      </c>
      <c r="R857" s="3">
        <f t="shared" si="122"/>
        <v>0</v>
      </c>
      <c r="S857" s="3" t="e" cm="1">
        <f t="array" aca="1" ref="S857" ca="1">SUMPRODUCT(MID($P857,ROW(INDIRECT("1:23")),1)*2^(-ROW(INDIRECT("1:23"))))</f>
        <v>#VALUE!</v>
      </c>
      <c r="T857" s="3" t="e">
        <f t="shared" ca="1" si="123"/>
        <v>#VALUE!</v>
      </c>
      <c r="U857" s="3" t="e">
        <f t="shared" ca="1" si="124"/>
        <v>#VALUE!</v>
      </c>
      <c r="V857" s="73"/>
      <c r="W857" s="9" t="str">
        <f t="shared" si="125"/>
        <v>OK</v>
      </c>
    </row>
    <row r="858" spans="1:23" x14ac:dyDescent="0.3">
      <c r="A858" s="44">
        <v>855</v>
      </c>
      <c r="B858" s="14">
        <v>9</v>
      </c>
      <c r="C858" s="4">
        <v>24</v>
      </c>
      <c r="D858" s="3" t="str">
        <f>VLOOKUP($C858,Overall!$K$5:$T$36,2)</f>
        <v>Normal</v>
      </c>
      <c r="E858" s="3">
        <f ca="1">VLOOKUP($C858,Overall!$K$5:$T$36,10)</f>
        <v>-1.1754943508222875E-38</v>
      </c>
      <c r="F858" s="9" t="str">
        <f>VLOOKUP($C858,Overall!$K$5:$T$36,6)</f>
        <v>10000000100000000000000000000000</v>
      </c>
      <c r="G858" s="8">
        <v>23</v>
      </c>
      <c r="H858" s="3" t="str">
        <f>VLOOKUP($G858,Overall!$K$5:$T$36,2)</f>
        <v>Normal</v>
      </c>
      <c r="I858" s="3">
        <f ca="1">VLOOKUP($G858,Overall!$K$5:$T$36,10)</f>
        <v>3.4028234663852886E+38</v>
      </c>
      <c r="J858" s="62" t="str">
        <f>VLOOKUP($G858,Overall!$K$5:$T$36,6)</f>
        <v>01111111011111111111111111111111</v>
      </c>
      <c r="K858" s="8">
        <f t="shared" ca="1" si="117"/>
        <v>-3.9999997615814209</v>
      </c>
      <c r="L858" s="62">
        <f>VLOOKUP($B858,Overall!$B$5:$I$13,8)</f>
        <v>0</v>
      </c>
      <c r="M858" s="58"/>
      <c r="N858" s="3" t="str">
        <f t="shared" si="118"/>
        <v/>
      </c>
      <c r="O858" s="3" t="str">
        <f t="shared" si="119"/>
        <v/>
      </c>
      <c r="P858" s="3" t="str">
        <f t="shared" si="120"/>
        <v/>
      </c>
      <c r="Q858" s="3">
        <f t="shared" si="121"/>
        <v>0</v>
      </c>
      <c r="R858" s="3">
        <f t="shared" si="122"/>
        <v>0</v>
      </c>
      <c r="S858" s="3" t="e" cm="1">
        <f t="array" aca="1" ref="S858" ca="1">SUMPRODUCT(MID($P858,ROW(INDIRECT("1:23")),1)*2^(-ROW(INDIRECT("1:23"))))</f>
        <v>#VALUE!</v>
      </c>
      <c r="T858" s="3" t="e">
        <f t="shared" ca="1" si="123"/>
        <v>#VALUE!</v>
      </c>
      <c r="U858" s="3" t="e">
        <f t="shared" ca="1" si="124"/>
        <v>#VALUE!</v>
      </c>
      <c r="V858" s="73"/>
      <c r="W858" s="9" t="str">
        <f t="shared" si="125"/>
        <v>OK</v>
      </c>
    </row>
    <row r="859" spans="1:23" x14ac:dyDescent="0.3">
      <c r="A859" s="44">
        <v>856</v>
      </c>
      <c r="B859" s="14">
        <v>9</v>
      </c>
      <c r="C859" s="4">
        <v>24</v>
      </c>
      <c r="D859" s="3" t="str">
        <f>VLOOKUP($C859,Overall!$K$5:$T$36,2)</f>
        <v>Normal</v>
      </c>
      <c r="E859" s="3">
        <f ca="1">VLOOKUP($C859,Overall!$K$5:$T$36,10)</f>
        <v>-1.1754943508222875E-38</v>
      </c>
      <c r="F859" s="9" t="str">
        <f>VLOOKUP($C859,Overall!$K$5:$T$36,6)</f>
        <v>10000000100000000000000000000000</v>
      </c>
      <c r="G859" s="8">
        <v>24</v>
      </c>
      <c r="H859" s="3" t="str">
        <f>VLOOKUP($G859,Overall!$K$5:$T$36,2)</f>
        <v>Normal</v>
      </c>
      <c r="I859" s="3">
        <f ca="1">VLOOKUP($G859,Overall!$K$5:$T$36,10)</f>
        <v>-1.1754943508222875E-38</v>
      </c>
      <c r="J859" s="62" t="str">
        <f>VLOOKUP($G859,Overall!$K$5:$T$36,6)</f>
        <v>10000000100000000000000000000000</v>
      </c>
      <c r="K859" s="8">
        <f t="shared" ca="1" si="117"/>
        <v>1.3817869688151111E-76</v>
      </c>
      <c r="L859" s="62">
        <f>VLOOKUP($B859,Overall!$B$5:$I$13,8)</f>
        <v>0</v>
      </c>
      <c r="M859" s="58"/>
      <c r="N859" s="3" t="str">
        <f t="shared" si="118"/>
        <v/>
      </c>
      <c r="O859" s="3" t="str">
        <f t="shared" si="119"/>
        <v/>
      </c>
      <c r="P859" s="3" t="str">
        <f t="shared" si="120"/>
        <v/>
      </c>
      <c r="Q859" s="3">
        <f t="shared" si="121"/>
        <v>0</v>
      </c>
      <c r="R859" s="3">
        <f t="shared" si="122"/>
        <v>0</v>
      </c>
      <c r="S859" s="3" t="e" cm="1">
        <f t="array" aca="1" ref="S859" ca="1">SUMPRODUCT(MID($P859,ROW(INDIRECT("1:23")),1)*2^(-ROW(INDIRECT("1:23"))))</f>
        <v>#VALUE!</v>
      </c>
      <c r="T859" s="3" t="e">
        <f t="shared" ca="1" si="123"/>
        <v>#VALUE!</v>
      </c>
      <c r="U859" s="3" t="e">
        <f t="shared" ca="1" si="124"/>
        <v>#VALUE!</v>
      </c>
      <c r="V859" s="73"/>
      <c r="W859" s="9" t="str">
        <f t="shared" si="125"/>
        <v>OK</v>
      </c>
    </row>
    <row r="860" spans="1:23" x14ac:dyDescent="0.3">
      <c r="A860" s="44">
        <v>857</v>
      </c>
      <c r="B860" s="14">
        <v>9</v>
      </c>
      <c r="C860" s="4">
        <v>24</v>
      </c>
      <c r="D860" s="3" t="str">
        <f>VLOOKUP($C860,Overall!$K$5:$T$36,2)</f>
        <v>Normal</v>
      </c>
      <c r="E860" s="3">
        <f ca="1">VLOOKUP($C860,Overall!$K$5:$T$36,10)</f>
        <v>-1.1754943508222875E-38</v>
      </c>
      <c r="F860" s="9" t="str">
        <f>VLOOKUP($C860,Overall!$K$5:$T$36,6)</f>
        <v>10000000100000000000000000000000</v>
      </c>
      <c r="G860" s="8">
        <v>25</v>
      </c>
      <c r="H860" s="3" t="str">
        <f>VLOOKUP($G860,Overall!$K$5:$T$36,2)</f>
        <v>Normal</v>
      </c>
      <c r="I860" s="3">
        <f ca="1">VLOOKUP($G860,Overall!$K$5:$T$36,10)</f>
        <v>-1.1754944909521339E-38</v>
      </c>
      <c r="J860" s="62" t="str">
        <f>VLOOKUP($G860,Overall!$K$5:$T$36,6)</f>
        <v>10000000100000000000000000000001</v>
      </c>
      <c r="K860" s="8">
        <f t="shared" ca="1" si="117"/>
        <v>1.381787133536954E-76</v>
      </c>
      <c r="L860" s="62">
        <f>VLOOKUP($B860,Overall!$B$5:$I$13,8)</f>
        <v>0</v>
      </c>
      <c r="M860" s="58"/>
      <c r="N860" s="3" t="str">
        <f t="shared" si="118"/>
        <v/>
      </c>
      <c r="O860" s="3" t="str">
        <f t="shared" si="119"/>
        <v/>
      </c>
      <c r="P860" s="3" t="str">
        <f t="shared" si="120"/>
        <v/>
      </c>
      <c r="Q860" s="3">
        <f t="shared" si="121"/>
        <v>0</v>
      </c>
      <c r="R860" s="3">
        <f t="shared" si="122"/>
        <v>0</v>
      </c>
      <c r="S860" s="3" t="e" cm="1">
        <f t="array" aca="1" ref="S860" ca="1">SUMPRODUCT(MID($P860,ROW(INDIRECT("1:23")),1)*2^(-ROW(INDIRECT("1:23"))))</f>
        <v>#VALUE!</v>
      </c>
      <c r="T860" s="3" t="e">
        <f t="shared" ca="1" si="123"/>
        <v>#VALUE!</v>
      </c>
      <c r="U860" s="3" t="e">
        <f t="shared" ca="1" si="124"/>
        <v>#VALUE!</v>
      </c>
      <c r="V860" s="73"/>
      <c r="W860" s="9" t="str">
        <f t="shared" si="125"/>
        <v>OK</v>
      </c>
    </row>
    <row r="861" spans="1:23" x14ac:dyDescent="0.3">
      <c r="A861" s="44">
        <v>858</v>
      </c>
      <c r="B861" s="14">
        <v>9</v>
      </c>
      <c r="C861" s="4">
        <v>24</v>
      </c>
      <c r="D861" s="3" t="str">
        <f>VLOOKUP($C861,Overall!$K$5:$T$36,2)</f>
        <v>Normal</v>
      </c>
      <c r="E861" s="3">
        <f ca="1">VLOOKUP($C861,Overall!$K$5:$T$36,10)</f>
        <v>-1.1754943508222875E-38</v>
      </c>
      <c r="F861" s="9" t="str">
        <f>VLOOKUP($C861,Overall!$K$5:$T$36,6)</f>
        <v>10000000100000000000000000000000</v>
      </c>
      <c r="G861" s="8">
        <v>26</v>
      </c>
      <c r="H861" s="3" t="str">
        <f>VLOOKUP($G861,Overall!$K$5:$T$36,2)</f>
        <v>Normal</v>
      </c>
      <c r="I861" s="3">
        <f ca="1">VLOOKUP($G861,Overall!$K$5:$T$36,10)</f>
        <v>-0.5</v>
      </c>
      <c r="J861" s="62" t="str">
        <f>VLOOKUP($G861,Overall!$K$5:$T$36,6)</f>
        <v>10111111000000000000000000000000</v>
      </c>
      <c r="K861" s="8">
        <f t="shared" ca="1" si="117"/>
        <v>5.8774717541114375E-39</v>
      </c>
      <c r="L861" s="62">
        <f>VLOOKUP($B861,Overall!$B$5:$I$13,8)</f>
        <v>0</v>
      </c>
      <c r="M861" s="58"/>
      <c r="N861" s="3" t="str">
        <f t="shared" si="118"/>
        <v/>
      </c>
      <c r="O861" s="3" t="str">
        <f t="shared" si="119"/>
        <v/>
      </c>
      <c r="P861" s="3" t="str">
        <f t="shared" si="120"/>
        <v/>
      </c>
      <c r="Q861" s="3">
        <f t="shared" si="121"/>
        <v>0</v>
      </c>
      <c r="R861" s="3">
        <f t="shared" si="122"/>
        <v>0</v>
      </c>
      <c r="S861" s="3" t="e" cm="1">
        <f t="array" aca="1" ref="S861" ca="1">SUMPRODUCT(MID($P861,ROW(INDIRECT("1:23")),1)*2^(-ROW(INDIRECT("1:23"))))</f>
        <v>#VALUE!</v>
      </c>
      <c r="T861" s="3" t="e">
        <f t="shared" ca="1" si="123"/>
        <v>#VALUE!</v>
      </c>
      <c r="U861" s="3" t="e">
        <f t="shared" ca="1" si="124"/>
        <v>#VALUE!</v>
      </c>
      <c r="V861" s="73"/>
      <c r="W861" s="9" t="str">
        <f t="shared" si="125"/>
        <v>OK</v>
      </c>
    </row>
    <row r="862" spans="1:23" x14ac:dyDescent="0.3">
      <c r="A862" s="44">
        <v>859</v>
      </c>
      <c r="B862" s="14">
        <v>9</v>
      </c>
      <c r="C862" s="4">
        <v>24</v>
      </c>
      <c r="D862" s="3" t="str">
        <f>VLOOKUP($C862,Overall!$K$5:$T$36,2)</f>
        <v>Normal</v>
      </c>
      <c r="E862" s="3">
        <f ca="1">VLOOKUP($C862,Overall!$K$5:$T$36,10)</f>
        <v>-1.1754943508222875E-38</v>
      </c>
      <c r="F862" s="9" t="str">
        <f>VLOOKUP($C862,Overall!$K$5:$T$36,6)</f>
        <v>10000000100000000000000000000000</v>
      </c>
      <c r="G862" s="8">
        <v>27</v>
      </c>
      <c r="H862" s="3" t="str">
        <f>VLOOKUP($G862,Overall!$K$5:$T$36,2)</f>
        <v>Normal</v>
      </c>
      <c r="I862" s="3">
        <f ca="1">VLOOKUP($G862,Overall!$K$5:$T$36,10)</f>
        <v>-1</v>
      </c>
      <c r="J862" s="62" t="str">
        <f>VLOOKUP($G862,Overall!$K$5:$T$36,6)</f>
        <v>10111111100000000000000000000000</v>
      </c>
      <c r="K862" s="8">
        <f t="shared" ca="1" si="117"/>
        <v>1.1754943508222875E-38</v>
      </c>
      <c r="L862" s="62">
        <f>VLOOKUP($B862,Overall!$B$5:$I$13,8)</f>
        <v>0</v>
      </c>
      <c r="M862" s="58"/>
      <c r="N862" s="3" t="str">
        <f t="shared" si="118"/>
        <v/>
      </c>
      <c r="O862" s="3" t="str">
        <f t="shared" si="119"/>
        <v/>
      </c>
      <c r="P862" s="3" t="str">
        <f t="shared" si="120"/>
        <v/>
      </c>
      <c r="Q862" s="3">
        <f t="shared" si="121"/>
        <v>0</v>
      </c>
      <c r="R862" s="3">
        <f t="shared" si="122"/>
        <v>0</v>
      </c>
      <c r="S862" s="3" t="e" cm="1">
        <f t="array" aca="1" ref="S862" ca="1">SUMPRODUCT(MID($P862,ROW(INDIRECT("1:23")),1)*2^(-ROW(INDIRECT("1:23"))))</f>
        <v>#VALUE!</v>
      </c>
      <c r="T862" s="3" t="e">
        <f t="shared" ca="1" si="123"/>
        <v>#VALUE!</v>
      </c>
      <c r="U862" s="3" t="e">
        <f t="shared" ca="1" si="124"/>
        <v>#VALUE!</v>
      </c>
      <c r="V862" s="73"/>
      <c r="W862" s="9" t="str">
        <f t="shared" si="125"/>
        <v>OK</v>
      </c>
    </row>
    <row r="863" spans="1:23" x14ac:dyDescent="0.3">
      <c r="A863" s="44">
        <v>860</v>
      </c>
      <c r="B863" s="14">
        <v>9</v>
      </c>
      <c r="C863" s="4">
        <v>24</v>
      </c>
      <c r="D863" s="3" t="str">
        <f>VLOOKUP($C863,Overall!$K$5:$T$36,2)</f>
        <v>Normal</v>
      </c>
      <c r="E863" s="3">
        <f ca="1">VLOOKUP($C863,Overall!$K$5:$T$36,10)</f>
        <v>-1.1754943508222875E-38</v>
      </c>
      <c r="F863" s="9" t="str">
        <f>VLOOKUP($C863,Overall!$K$5:$T$36,6)</f>
        <v>10000000100000000000000000000000</v>
      </c>
      <c r="G863" s="8">
        <v>28</v>
      </c>
      <c r="H863" s="3" t="str">
        <f>VLOOKUP($G863,Overall!$K$5:$T$36,2)</f>
        <v>Normal</v>
      </c>
      <c r="I863" s="3">
        <f ca="1">VLOOKUP($G863,Overall!$K$5:$T$36,10)</f>
        <v>-1.5</v>
      </c>
      <c r="J863" s="62" t="str">
        <f>VLOOKUP($G863,Overall!$K$5:$T$36,6)</f>
        <v>10111111110000000000000000000000</v>
      </c>
      <c r="K863" s="8">
        <f t="shared" ca="1" si="117"/>
        <v>1.7632415262334313E-38</v>
      </c>
      <c r="L863" s="62">
        <f>VLOOKUP($B863,Overall!$B$5:$I$13,8)</f>
        <v>0</v>
      </c>
      <c r="M863" s="58"/>
      <c r="N863" s="3" t="str">
        <f t="shared" si="118"/>
        <v/>
      </c>
      <c r="O863" s="3" t="str">
        <f t="shared" si="119"/>
        <v/>
      </c>
      <c r="P863" s="3" t="str">
        <f t="shared" si="120"/>
        <v/>
      </c>
      <c r="Q863" s="3">
        <f t="shared" si="121"/>
        <v>0</v>
      </c>
      <c r="R863" s="3">
        <f t="shared" si="122"/>
        <v>0</v>
      </c>
      <c r="S863" s="3" t="e" cm="1">
        <f t="array" aca="1" ref="S863" ca="1">SUMPRODUCT(MID($P863,ROW(INDIRECT("1:23")),1)*2^(-ROW(INDIRECT("1:23"))))</f>
        <v>#VALUE!</v>
      </c>
      <c r="T863" s="3" t="e">
        <f t="shared" ca="1" si="123"/>
        <v>#VALUE!</v>
      </c>
      <c r="U863" s="3" t="e">
        <f t="shared" ca="1" si="124"/>
        <v>#VALUE!</v>
      </c>
      <c r="V863" s="73"/>
      <c r="W863" s="9" t="str">
        <f t="shared" si="125"/>
        <v>OK</v>
      </c>
    </row>
    <row r="864" spans="1:23" x14ac:dyDescent="0.3">
      <c r="A864" s="44">
        <v>861</v>
      </c>
      <c r="B864" s="14">
        <v>9</v>
      </c>
      <c r="C864" s="4">
        <v>24</v>
      </c>
      <c r="D864" s="3" t="str">
        <f>VLOOKUP($C864,Overall!$K$5:$T$36,2)</f>
        <v>Normal</v>
      </c>
      <c r="E864" s="3">
        <f ca="1">VLOOKUP($C864,Overall!$K$5:$T$36,10)</f>
        <v>-1.1754943508222875E-38</v>
      </c>
      <c r="F864" s="9" t="str">
        <f>VLOOKUP($C864,Overall!$K$5:$T$36,6)</f>
        <v>10000000100000000000000000000000</v>
      </c>
      <c r="G864" s="8">
        <v>29</v>
      </c>
      <c r="H864" s="3" t="str">
        <f>VLOOKUP($G864,Overall!$K$5:$T$36,2)</f>
        <v>Normal</v>
      </c>
      <c r="I864" s="3">
        <f ca="1">VLOOKUP($G864,Overall!$K$5:$T$36,10)</f>
        <v>-12345.6787109375</v>
      </c>
      <c r="J864" s="62" t="str">
        <f>VLOOKUP($G864,Overall!$K$5:$T$36,6)</f>
        <v>101000110010000001110011010110111</v>
      </c>
      <c r="K864" s="8">
        <f t="shared" ca="1" si="117"/>
        <v>1.4512275581774012E-34</v>
      </c>
      <c r="L864" s="62">
        <f>VLOOKUP($B864,Overall!$B$5:$I$13,8)</f>
        <v>0</v>
      </c>
      <c r="M864" s="58"/>
      <c r="N864" s="3" t="str">
        <f t="shared" si="118"/>
        <v/>
      </c>
      <c r="O864" s="3" t="str">
        <f t="shared" si="119"/>
        <v/>
      </c>
      <c r="P864" s="3" t="str">
        <f t="shared" si="120"/>
        <v/>
      </c>
      <c r="Q864" s="3">
        <f t="shared" si="121"/>
        <v>0</v>
      </c>
      <c r="R864" s="3">
        <f t="shared" si="122"/>
        <v>0</v>
      </c>
      <c r="S864" s="3" t="e" cm="1">
        <f t="array" aca="1" ref="S864" ca="1">SUMPRODUCT(MID($P864,ROW(INDIRECT("1:23")),1)*2^(-ROW(INDIRECT("1:23"))))</f>
        <v>#VALUE!</v>
      </c>
      <c r="T864" s="3" t="e">
        <f t="shared" ca="1" si="123"/>
        <v>#VALUE!</v>
      </c>
      <c r="U864" s="3" t="e">
        <f t="shared" ca="1" si="124"/>
        <v>#VALUE!</v>
      </c>
      <c r="V864" s="73"/>
      <c r="W864" s="9" t="str">
        <f t="shared" si="125"/>
        <v>OK</v>
      </c>
    </row>
    <row r="865" spans="1:23" x14ac:dyDescent="0.3">
      <c r="A865" s="44">
        <v>862</v>
      </c>
      <c r="B865" s="14">
        <v>9</v>
      </c>
      <c r="C865" s="4">
        <v>24</v>
      </c>
      <c r="D865" s="3" t="str">
        <f>VLOOKUP($C865,Overall!$K$5:$T$36,2)</f>
        <v>Normal</v>
      </c>
      <c r="E865" s="3">
        <f ca="1">VLOOKUP($C865,Overall!$K$5:$T$36,10)</f>
        <v>-1.1754943508222875E-38</v>
      </c>
      <c r="F865" s="9" t="str">
        <f>VLOOKUP($C865,Overall!$K$5:$T$36,6)</f>
        <v>10000000100000000000000000000000</v>
      </c>
      <c r="G865" s="8">
        <v>30</v>
      </c>
      <c r="H865" s="3" t="str">
        <f>VLOOKUP($G865,Overall!$K$5:$T$36,2)</f>
        <v>Normal</v>
      </c>
      <c r="I865" s="3">
        <f ca="1">VLOOKUP($G865,Overall!$K$5:$T$36,10)</f>
        <v>-2.345678924830959E+38</v>
      </c>
      <c r="J865" s="62" t="str">
        <f>VLOOKUP($G865,Overall!$K$5:$T$36,6)</f>
        <v>11111111001100000111100000100010</v>
      </c>
      <c r="K865" s="8">
        <f t="shared" ca="1" si="117"/>
        <v>2.7573323249816895</v>
      </c>
      <c r="L865" s="62">
        <f>VLOOKUP($B865,Overall!$B$5:$I$13,8)</f>
        <v>0</v>
      </c>
      <c r="M865" s="58"/>
      <c r="N865" s="3" t="str">
        <f t="shared" si="118"/>
        <v/>
      </c>
      <c r="O865" s="3" t="str">
        <f t="shared" si="119"/>
        <v/>
      </c>
      <c r="P865" s="3" t="str">
        <f t="shared" si="120"/>
        <v/>
      </c>
      <c r="Q865" s="3">
        <f t="shared" si="121"/>
        <v>0</v>
      </c>
      <c r="R865" s="3">
        <f t="shared" si="122"/>
        <v>0</v>
      </c>
      <c r="S865" s="3" t="e" cm="1">
        <f t="array" aca="1" ref="S865" ca="1">SUMPRODUCT(MID($P865,ROW(INDIRECT("1:23")),1)*2^(-ROW(INDIRECT("1:23"))))</f>
        <v>#VALUE!</v>
      </c>
      <c r="T865" s="3" t="e">
        <f t="shared" ca="1" si="123"/>
        <v>#VALUE!</v>
      </c>
      <c r="U865" s="3" t="e">
        <f t="shared" ca="1" si="124"/>
        <v>#VALUE!</v>
      </c>
      <c r="V865" s="73"/>
      <c r="W865" s="9" t="str">
        <f t="shared" si="125"/>
        <v>OK</v>
      </c>
    </row>
    <row r="866" spans="1:23" x14ac:dyDescent="0.3">
      <c r="A866" s="44">
        <v>863</v>
      </c>
      <c r="B866" s="14">
        <v>9</v>
      </c>
      <c r="C866" s="4">
        <v>24</v>
      </c>
      <c r="D866" s="3" t="str">
        <f>VLOOKUP($C866,Overall!$K$5:$T$36,2)</f>
        <v>Normal</v>
      </c>
      <c r="E866" s="3">
        <f ca="1">VLOOKUP($C866,Overall!$K$5:$T$36,10)</f>
        <v>-1.1754943508222875E-38</v>
      </c>
      <c r="F866" s="9" t="str">
        <f>VLOOKUP($C866,Overall!$K$5:$T$36,6)</f>
        <v>10000000100000000000000000000000</v>
      </c>
      <c r="G866" s="8">
        <v>31</v>
      </c>
      <c r="H866" s="3" t="str">
        <f>VLOOKUP($G866,Overall!$K$5:$T$36,2)</f>
        <v>Normal</v>
      </c>
      <c r="I866" s="3">
        <f ca="1">VLOOKUP($G866,Overall!$K$5:$T$36,10)</f>
        <v>-3.4028232635611926E+38</v>
      </c>
      <c r="J866" s="62" t="str">
        <f>VLOOKUP($G866,Overall!$K$5:$T$36,6)</f>
        <v>11111111011111111111111111111110</v>
      </c>
      <c r="K866" s="8">
        <f t="shared" ca="1" si="117"/>
        <v>3.9999995231628418</v>
      </c>
      <c r="L866" s="62">
        <f>VLOOKUP($B866,Overall!$B$5:$I$13,8)</f>
        <v>0</v>
      </c>
      <c r="M866" s="58"/>
      <c r="N866" s="3" t="str">
        <f t="shared" si="118"/>
        <v/>
      </c>
      <c r="O866" s="3" t="str">
        <f t="shared" si="119"/>
        <v/>
      </c>
      <c r="P866" s="3" t="str">
        <f t="shared" si="120"/>
        <v/>
      </c>
      <c r="Q866" s="3">
        <f t="shared" si="121"/>
        <v>0</v>
      </c>
      <c r="R866" s="3">
        <f t="shared" si="122"/>
        <v>0</v>
      </c>
      <c r="S866" s="3" t="e" cm="1">
        <f t="array" aca="1" ref="S866" ca="1">SUMPRODUCT(MID($P866,ROW(INDIRECT("1:23")),1)*2^(-ROW(INDIRECT("1:23"))))</f>
        <v>#VALUE!</v>
      </c>
      <c r="T866" s="3" t="e">
        <f t="shared" ca="1" si="123"/>
        <v>#VALUE!</v>
      </c>
      <c r="U866" s="3" t="e">
        <f t="shared" ca="1" si="124"/>
        <v>#VALUE!</v>
      </c>
      <c r="V866" s="73"/>
      <c r="W866" s="9" t="str">
        <f t="shared" si="125"/>
        <v>OK</v>
      </c>
    </row>
    <row r="867" spans="1:23" x14ac:dyDescent="0.3">
      <c r="A867" s="44">
        <v>864</v>
      </c>
      <c r="B867" s="14">
        <v>9</v>
      </c>
      <c r="C867" s="4">
        <v>24</v>
      </c>
      <c r="D867" s="3" t="str">
        <f>VLOOKUP($C867,Overall!$K$5:$T$36,2)</f>
        <v>Normal</v>
      </c>
      <c r="E867" s="3">
        <f ca="1">VLOOKUP($C867,Overall!$K$5:$T$36,10)</f>
        <v>-1.1754943508222875E-38</v>
      </c>
      <c r="F867" s="9" t="str">
        <f>VLOOKUP($C867,Overall!$K$5:$T$36,6)</f>
        <v>10000000100000000000000000000000</v>
      </c>
      <c r="G867" s="8">
        <v>32</v>
      </c>
      <c r="H867" s="3" t="str">
        <f>VLOOKUP($G867,Overall!$K$5:$T$36,2)</f>
        <v>Normal</v>
      </c>
      <c r="I867" s="3">
        <f ca="1">VLOOKUP($G867,Overall!$K$5:$T$36,10)</f>
        <v>-3.4028234663852886E+38</v>
      </c>
      <c r="J867" s="62" t="str">
        <f>VLOOKUP($G867,Overall!$K$5:$T$36,6)</f>
        <v>11111111011111111111111111111111</v>
      </c>
      <c r="K867" s="8">
        <f t="shared" ca="1" si="117"/>
        <v>3.9999997615814209</v>
      </c>
      <c r="L867" s="62">
        <f>VLOOKUP($B867,Overall!$B$5:$I$13,8)</f>
        <v>0</v>
      </c>
      <c r="M867" s="58"/>
      <c r="N867" s="3" t="str">
        <f t="shared" si="118"/>
        <v/>
      </c>
      <c r="O867" s="3" t="str">
        <f t="shared" si="119"/>
        <v/>
      </c>
      <c r="P867" s="3" t="str">
        <f t="shared" si="120"/>
        <v/>
      </c>
      <c r="Q867" s="3">
        <f t="shared" si="121"/>
        <v>0</v>
      </c>
      <c r="R867" s="3">
        <f t="shared" si="122"/>
        <v>0</v>
      </c>
      <c r="S867" s="3" t="e" cm="1">
        <f t="array" aca="1" ref="S867" ca="1">SUMPRODUCT(MID($P867,ROW(INDIRECT("1:23")),1)*2^(-ROW(INDIRECT("1:23"))))</f>
        <v>#VALUE!</v>
      </c>
      <c r="T867" s="3" t="e">
        <f t="shared" ca="1" si="123"/>
        <v>#VALUE!</v>
      </c>
      <c r="U867" s="3" t="e">
        <f t="shared" ca="1" si="124"/>
        <v>#VALUE!</v>
      </c>
      <c r="V867" s="73"/>
      <c r="W867" s="9" t="str">
        <f t="shared" si="125"/>
        <v>OK</v>
      </c>
    </row>
    <row r="868" spans="1:23" x14ac:dyDescent="0.3">
      <c r="A868" s="44">
        <v>865</v>
      </c>
      <c r="B868" s="14">
        <v>9</v>
      </c>
      <c r="C868" s="4">
        <v>25</v>
      </c>
      <c r="D868" s="3" t="str">
        <f>VLOOKUP($C868,Overall!$K$5:$T$36,2)</f>
        <v>Normal</v>
      </c>
      <c r="E868" s="3">
        <f ca="1">VLOOKUP($C868,Overall!$K$5:$T$36,10)</f>
        <v>-1.1754944909521339E-38</v>
      </c>
      <c r="F868" s="9" t="str">
        <f>VLOOKUP($C868,Overall!$K$5:$T$36,6)</f>
        <v>10000000100000000000000000000001</v>
      </c>
      <c r="G868" s="8">
        <v>13</v>
      </c>
      <c r="H868" s="3" t="str">
        <f>VLOOKUP($G868,Overall!$K$5:$T$36,2)</f>
        <v>Normal</v>
      </c>
      <c r="I868" s="3">
        <f ca="1">VLOOKUP($G868,Overall!$K$5:$T$36,10)</f>
        <v>0</v>
      </c>
      <c r="J868" s="62" t="str">
        <f>VLOOKUP($G868,Overall!$K$5:$T$36,6)</f>
        <v>00000000000000000000000000000000</v>
      </c>
      <c r="K868" s="8">
        <f t="shared" ca="1" si="117"/>
        <v>0</v>
      </c>
      <c r="L868" s="62">
        <f>VLOOKUP($B868,Overall!$B$5:$I$13,8)</f>
        <v>0</v>
      </c>
      <c r="M868" s="58"/>
      <c r="N868" s="3" t="str">
        <f t="shared" si="118"/>
        <v/>
      </c>
      <c r="O868" s="3" t="str">
        <f t="shared" si="119"/>
        <v/>
      </c>
      <c r="P868" s="3" t="str">
        <f t="shared" si="120"/>
        <v/>
      </c>
      <c r="Q868" s="3">
        <f t="shared" si="121"/>
        <v>0</v>
      </c>
      <c r="R868" s="3">
        <f t="shared" si="122"/>
        <v>0</v>
      </c>
      <c r="S868" s="3" t="e" cm="1">
        <f t="array" aca="1" ref="S868" ca="1">SUMPRODUCT(MID($P868,ROW(INDIRECT("1:23")),1)*2^(-ROW(INDIRECT("1:23"))))</f>
        <v>#VALUE!</v>
      </c>
      <c r="T868" s="3" t="e">
        <f t="shared" ca="1" si="123"/>
        <v>#VALUE!</v>
      </c>
      <c r="U868" s="3" t="e">
        <f t="shared" ca="1" si="124"/>
        <v>#VALUE!</v>
      </c>
      <c r="V868" s="73"/>
      <c r="W868" s="9" t="str">
        <f t="shared" si="125"/>
        <v>OK</v>
      </c>
    </row>
    <row r="869" spans="1:23" x14ac:dyDescent="0.3">
      <c r="A869" s="44">
        <v>866</v>
      </c>
      <c r="B869" s="14">
        <v>9</v>
      </c>
      <c r="C869" s="4">
        <v>25</v>
      </c>
      <c r="D869" s="3" t="str">
        <f>VLOOKUP($C869,Overall!$K$5:$T$36,2)</f>
        <v>Normal</v>
      </c>
      <c r="E869" s="3">
        <f ca="1">VLOOKUP($C869,Overall!$K$5:$T$36,10)</f>
        <v>-1.1754944909521339E-38</v>
      </c>
      <c r="F869" s="9" t="str">
        <f>VLOOKUP($C869,Overall!$K$5:$T$36,6)</f>
        <v>10000000100000000000000000000001</v>
      </c>
      <c r="G869" s="8">
        <v>14</v>
      </c>
      <c r="H869" s="3" t="str">
        <f>VLOOKUP($G869,Overall!$K$5:$T$36,2)</f>
        <v>Normal</v>
      </c>
      <c r="I869" s="3">
        <f ca="1">VLOOKUP($G869,Overall!$K$5:$T$36,10)</f>
        <v>0</v>
      </c>
      <c r="J869" s="62" t="str">
        <f>VLOOKUP($G869,Overall!$K$5:$T$36,6)</f>
        <v>10000000000000000000000000000000</v>
      </c>
      <c r="K869" s="8">
        <f t="shared" ca="1" si="117"/>
        <v>0</v>
      </c>
      <c r="L869" s="62">
        <f>VLOOKUP($B869,Overall!$B$5:$I$13,8)</f>
        <v>0</v>
      </c>
      <c r="M869" s="58"/>
      <c r="N869" s="3" t="str">
        <f t="shared" si="118"/>
        <v/>
      </c>
      <c r="O869" s="3" t="str">
        <f t="shared" si="119"/>
        <v/>
      </c>
      <c r="P869" s="3" t="str">
        <f t="shared" si="120"/>
        <v/>
      </c>
      <c r="Q869" s="3">
        <f t="shared" si="121"/>
        <v>0</v>
      </c>
      <c r="R869" s="3">
        <f t="shared" si="122"/>
        <v>0</v>
      </c>
      <c r="S869" s="3" t="e" cm="1">
        <f t="array" aca="1" ref="S869" ca="1">SUMPRODUCT(MID($P869,ROW(INDIRECT("1:23")),1)*2^(-ROW(INDIRECT("1:23"))))</f>
        <v>#VALUE!</v>
      </c>
      <c r="T869" s="3" t="e">
        <f t="shared" ca="1" si="123"/>
        <v>#VALUE!</v>
      </c>
      <c r="U869" s="3" t="e">
        <f t="shared" ca="1" si="124"/>
        <v>#VALUE!</v>
      </c>
      <c r="V869" s="73"/>
      <c r="W869" s="9" t="str">
        <f t="shared" si="125"/>
        <v>OK</v>
      </c>
    </row>
    <row r="870" spans="1:23" x14ac:dyDescent="0.3">
      <c r="A870" s="44">
        <v>867</v>
      </c>
      <c r="B870" s="14">
        <v>9</v>
      </c>
      <c r="C870" s="4">
        <v>25</v>
      </c>
      <c r="D870" s="3" t="str">
        <f>VLOOKUP($C870,Overall!$K$5:$T$36,2)</f>
        <v>Normal</v>
      </c>
      <c r="E870" s="3">
        <f ca="1">VLOOKUP($C870,Overall!$K$5:$T$36,10)</f>
        <v>-1.1754944909521339E-38</v>
      </c>
      <c r="F870" s="9" t="str">
        <f>VLOOKUP($C870,Overall!$K$5:$T$36,6)</f>
        <v>10000000100000000000000000000001</v>
      </c>
      <c r="G870" s="8">
        <v>15</v>
      </c>
      <c r="H870" s="3" t="str">
        <f>VLOOKUP($G870,Overall!$K$5:$T$36,2)</f>
        <v>Normal</v>
      </c>
      <c r="I870" s="3">
        <f ca="1">VLOOKUP($G870,Overall!$K$5:$T$36,10)</f>
        <v>1.1754943508222875E-38</v>
      </c>
      <c r="J870" s="62" t="str">
        <f>VLOOKUP($G870,Overall!$K$5:$T$36,6)</f>
        <v>00000000100000000000000000000000</v>
      </c>
      <c r="K870" s="8">
        <f t="shared" ca="1" si="117"/>
        <v>-1.381787133536954E-76</v>
      </c>
      <c r="L870" s="62">
        <f>VLOOKUP($B870,Overall!$B$5:$I$13,8)</f>
        <v>0</v>
      </c>
      <c r="M870" s="58"/>
      <c r="N870" s="3" t="str">
        <f t="shared" si="118"/>
        <v/>
      </c>
      <c r="O870" s="3" t="str">
        <f t="shared" si="119"/>
        <v/>
      </c>
      <c r="P870" s="3" t="str">
        <f t="shared" si="120"/>
        <v/>
      </c>
      <c r="Q870" s="3">
        <f t="shared" si="121"/>
        <v>0</v>
      </c>
      <c r="R870" s="3">
        <f t="shared" si="122"/>
        <v>0</v>
      </c>
      <c r="S870" s="3" t="e" cm="1">
        <f t="array" aca="1" ref="S870" ca="1">SUMPRODUCT(MID($P870,ROW(INDIRECT("1:23")),1)*2^(-ROW(INDIRECT("1:23"))))</f>
        <v>#VALUE!</v>
      </c>
      <c r="T870" s="3" t="e">
        <f t="shared" ca="1" si="123"/>
        <v>#VALUE!</v>
      </c>
      <c r="U870" s="3" t="e">
        <f t="shared" ca="1" si="124"/>
        <v>#VALUE!</v>
      </c>
      <c r="V870" s="73"/>
      <c r="W870" s="9" t="str">
        <f t="shared" si="125"/>
        <v>OK</v>
      </c>
    </row>
    <row r="871" spans="1:23" x14ac:dyDescent="0.3">
      <c r="A871" s="44">
        <v>868</v>
      </c>
      <c r="B871" s="14">
        <v>9</v>
      </c>
      <c r="C871" s="4">
        <v>25</v>
      </c>
      <c r="D871" s="3" t="str">
        <f>VLOOKUP($C871,Overall!$K$5:$T$36,2)</f>
        <v>Normal</v>
      </c>
      <c r="E871" s="3">
        <f ca="1">VLOOKUP($C871,Overall!$K$5:$T$36,10)</f>
        <v>-1.1754944909521339E-38</v>
      </c>
      <c r="F871" s="9" t="str">
        <f>VLOOKUP($C871,Overall!$K$5:$T$36,6)</f>
        <v>10000000100000000000000000000001</v>
      </c>
      <c r="G871" s="8">
        <v>16</v>
      </c>
      <c r="H871" s="3" t="str">
        <f>VLOOKUP($G871,Overall!$K$5:$T$36,2)</f>
        <v>Normal</v>
      </c>
      <c r="I871" s="3">
        <f ca="1">VLOOKUP($G871,Overall!$K$5:$T$36,10)</f>
        <v>1.1754944909521339E-38</v>
      </c>
      <c r="J871" s="62" t="str">
        <f>VLOOKUP($G871,Overall!$K$5:$T$36,6)</f>
        <v>00000000100000000000000000000001</v>
      </c>
      <c r="K871" s="8">
        <f t="shared" ca="1" si="117"/>
        <v>-1.3817872982588165E-76</v>
      </c>
      <c r="L871" s="62">
        <f>VLOOKUP($B871,Overall!$B$5:$I$13,8)</f>
        <v>0</v>
      </c>
      <c r="M871" s="58"/>
      <c r="N871" s="3" t="str">
        <f t="shared" si="118"/>
        <v/>
      </c>
      <c r="O871" s="3" t="str">
        <f t="shared" si="119"/>
        <v/>
      </c>
      <c r="P871" s="3" t="str">
        <f t="shared" si="120"/>
        <v/>
      </c>
      <c r="Q871" s="3">
        <f t="shared" si="121"/>
        <v>0</v>
      </c>
      <c r="R871" s="3">
        <f t="shared" si="122"/>
        <v>0</v>
      </c>
      <c r="S871" s="3" t="e" cm="1">
        <f t="array" aca="1" ref="S871" ca="1">SUMPRODUCT(MID($P871,ROW(INDIRECT("1:23")),1)*2^(-ROW(INDIRECT("1:23"))))</f>
        <v>#VALUE!</v>
      </c>
      <c r="T871" s="3" t="e">
        <f t="shared" ca="1" si="123"/>
        <v>#VALUE!</v>
      </c>
      <c r="U871" s="3" t="e">
        <f t="shared" ca="1" si="124"/>
        <v>#VALUE!</v>
      </c>
      <c r="V871" s="73"/>
      <c r="W871" s="9" t="str">
        <f t="shared" si="125"/>
        <v>OK</v>
      </c>
    </row>
    <row r="872" spans="1:23" x14ac:dyDescent="0.3">
      <c r="A872" s="44">
        <v>869</v>
      </c>
      <c r="B872" s="14">
        <v>9</v>
      </c>
      <c r="C872" s="4">
        <v>25</v>
      </c>
      <c r="D872" s="3" t="str">
        <f>VLOOKUP($C872,Overall!$K$5:$T$36,2)</f>
        <v>Normal</v>
      </c>
      <c r="E872" s="3">
        <f ca="1">VLOOKUP($C872,Overall!$K$5:$T$36,10)</f>
        <v>-1.1754944909521339E-38</v>
      </c>
      <c r="F872" s="9" t="str">
        <f>VLOOKUP($C872,Overall!$K$5:$T$36,6)</f>
        <v>10000000100000000000000000000001</v>
      </c>
      <c r="G872" s="8">
        <v>17</v>
      </c>
      <c r="H872" s="3" t="str">
        <f>VLOOKUP($G872,Overall!$K$5:$T$36,2)</f>
        <v>Normal</v>
      </c>
      <c r="I872" s="3">
        <f ca="1">VLOOKUP($G872,Overall!$K$5:$T$36,10)</f>
        <v>0.5</v>
      </c>
      <c r="J872" s="62" t="str">
        <f>VLOOKUP($G872,Overall!$K$5:$T$36,6)</f>
        <v>00111111000000000000000000000000</v>
      </c>
      <c r="K872" s="8">
        <f t="shared" ca="1" si="117"/>
        <v>-5.8774724547606697E-39</v>
      </c>
      <c r="L872" s="62">
        <f>VLOOKUP($B872,Overall!$B$5:$I$13,8)</f>
        <v>0</v>
      </c>
      <c r="M872" s="58"/>
      <c r="N872" s="3" t="str">
        <f t="shared" si="118"/>
        <v/>
      </c>
      <c r="O872" s="3" t="str">
        <f t="shared" si="119"/>
        <v/>
      </c>
      <c r="P872" s="3" t="str">
        <f t="shared" si="120"/>
        <v/>
      </c>
      <c r="Q872" s="3">
        <f t="shared" si="121"/>
        <v>0</v>
      </c>
      <c r="R872" s="3">
        <f t="shared" si="122"/>
        <v>0</v>
      </c>
      <c r="S872" s="3" t="e" cm="1">
        <f t="array" aca="1" ref="S872" ca="1">SUMPRODUCT(MID($P872,ROW(INDIRECT("1:23")),1)*2^(-ROW(INDIRECT("1:23"))))</f>
        <v>#VALUE!</v>
      </c>
      <c r="T872" s="3" t="e">
        <f t="shared" ca="1" si="123"/>
        <v>#VALUE!</v>
      </c>
      <c r="U872" s="3" t="e">
        <f t="shared" ca="1" si="124"/>
        <v>#VALUE!</v>
      </c>
      <c r="V872" s="73"/>
      <c r="W872" s="9" t="str">
        <f t="shared" si="125"/>
        <v>OK</v>
      </c>
    </row>
    <row r="873" spans="1:23" x14ac:dyDescent="0.3">
      <c r="A873" s="44">
        <v>870</v>
      </c>
      <c r="B873" s="14">
        <v>9</v>
      </c>
      <c r="C873" s="4">
        <v>25</v>
      </c>
      <c r="D873" s="3" t="str">
        <f>VLOOKUP($C873,Overall!$K$5:$T$36,2)</f>
        <v>Normal</v>
      </c>
      <c r="E873" s="3">
        <f ca="1">VLOOKUP($C873,Overall!$K$5:$T$36,10)</f>
        <v>-1.1754944909521339E-38</v>
      </c>
      <c r="F873" s="9" t="str">
        <f>VLOOKUP($C873,Overall!$K$5:$T$36,6)</f>
        <v>10000000100000000000000000000001</v>
      </c>
      <c r="G873" s="8">
        <v>18</v>
      </c>
      <c r="H873" s="3" t="str">
        <f>VLOOKUP($G873,Overall!$K$5:$T$36,2)</f>
        <v>Normal</v>
      </c>
      <c r="I873" s="3">
        <f ca="1">VLOOKUP($G873,Overall!$K$5:$T$36,10)</f>
        <v>1</v>
      </c>
      <c r="J873" s="62" t="str">
        <f>VLOOKUP($G873,Overall!$K$5:$T$36,6)</f>
        <v>00111111100000000000000000000000</v>
      </c>
      <c r="K873" s="8">
        <f t="shared" ca="1" si="117"/>
        <v>-1.1754944909521339E-38</v>
      </c>
      <c r="L873" s="62">
        <f>VLOOKUP($B873,Overall!$B$5:$I$13,8)</f>
        <v>0</v>
      </c>
      <c r="M873" s="58"/>
      <c r="N873" s="3" t="str">
        <f t="shared" si="118"/>
        <v/>
      </c>
      <c r="O873" s="3" t="str">
        <f t="shared" si="119"/>
        <v/>
      </c>
      <c r="P873" s="3" t="str">
        <f t="shared" si="120"/>
        <v/>
      </c>
      <c r="Q873" s="3">
        <f t="shared" si="121"/>
        <v>0</v>
      </c>
      <c r="R873" s="3">
        <f t="shared" si="122"/>
        <v>0</v>
      </c>
      <c r="S873" s="3" t="e" cm="1">
        <f t="array" aca="1" ref="S873" ca="1">SUMPRODUCT(MID($P873,ROW(INDIRECT("1:23")),1)*2^(-ROW(INDIRECT("1:23"))))</f>
        <v>#VALUE!</v>
      </c>
      <c r="T873" s="3" t="e">
        <f t="shared" ca="1" si="123"/>
        <v>#VALUE!</v>
      </c>
      <c r="U873" s="3" t="e">
        <f t="shared" ca="1" si="124"/>
        <v>#VALUE!</v>
      </c>
      <c r="V873" s="73"/>
      <c r="W873" s="9" t="str">
        <f t="shared" si="125"/>
        <v>OK</v>
      </c>
    </row>
    <row r="874" spans="1:23" x14ac:dyDescent="0.3">
      <c r="A874" s="44">
        <v>871</v>
      </c>
      <c r="B874" s="14">
        <v>9</v>
      </c>
      <c r="C874" s="4">
        <v>25</v>
      </c>
      <c r="D874" s="3" t="str">
        <f>VLOOKUP($C874,Overall!$K$5:$T$36,2)</f>
        <v>Normal</v>
      </c>
      <c r="E874" s="3">
        <f ca="1">VLOOKUP($C874,Overall!$K$5:$T$36,10)</f>
        <v>-1.1754944909521339E-38</v>
      </c>
      <c r="F874" s="9" t="str">
        <f>VLOOKUP($C874,Overall!$K$5:$T$36,6)</f>
        <v>10000000100000000000000000000001</v>
      </c>
      <c r="G874" s="8">
        <v>19</v>
      </c>
      <c r="H874" s="3" t="str">
        <f>VLOOKUP($G874,Overall!$K$5:$T$36,2)</f>
        <v>Normal</v>
      </c>
      <c r="I874" s="3">
        <f ca="1">VLOOKUP($G874,Overall!$K$5:$T$36,10)</f>
        <v>1.5</v>
      </c>
      <c r="J874" s="62" t="str">
        <f>VLOOKUP($G874,Overall!$K$5:$T$36,6)</f>
        <v>00111111110000000000000000000000</v>
      </c>
      <c r="K874" s="8">
        <f t="shared" ca="1" si="117"/>
        <v>-1.7632417364282009E-38</v>
      </c>
      <c r="L874" s="62">
        <f>VLOOKUP($B874,Overall!$B$5:$I$13,8)</f>
        <v>0</v>
      </c>
      <c r="M874" s="58"/>
      <c r="N874" s="3" t="str">
        <f t="shared" si="118"/>
        <v/>
      </c>
      <c r="O874" s="3" t="str">
        <f t="shared" si="119"/>
        <v/>
      </c>
      <c r="P874" s="3" t="str">
        <f t="shared" si="120"/>
        <v/>
      </c>
      <c r="Q874" s="3">
        <f t="shared" si="121"/>
        <v>0</v>
      </c>
      <c r="R874" s="3">
        <f t="shared" si="122"/>
        <v>0</v>
      </c>
      <c r="S874" s="3" t="e" cm="1">
        <f t="array" aca="1" ref="S874" ca="1">SUMPRODUCT(MID($P874,ROW(INDIRECT("1:23")),1)*2^(-ROW(INDIRECT("1:23"))))</f>
        <v>#VALUE!</v>
      </c>
      <c r="T874" s="3" t="e">
        <f t="shared" ca="1" si="123"/>
        <v>#VALUE!</v>
      </c>
      <c r="U874" s="3" t="e">
        <f t="shared" ca="1" si="124"/>
        <v>#VALUE!</v>
      </c>
      <c r="V874" s="73"/>
      <c r="W874" s="9" t="str">
        <f t="shared" si="125"/>
        <v>OK</v>
      </c>
    </row>
    <row r="875" spans="1:23" x14ac:dyDescent="0.3">
      <c r="A875" s="44">
        <v>872</v>
      </c>
      <c r="B875" s="14">
        <v>9</v>
      </c>
      <c r="C875" s="4">
        <v>25</v>
      </c>
      <c r="D875" s="3" t="str">
        <f>VLOOKUP($C875,Overall!$K$5:$T$36,2)</f>
        <v>Normal</v>
      </c>
      <c r="E875" s="3">
        <f ca="1">VLOOKUP($C875,Overall!$K$5:$T$36,10)</f>
        <v>-1.1754944909521339E-38</v>
      </c>
      <c r="F875" s="9" t="str">
        <f>VLOOKUP($C875,Overall!$K$5:$T$36,6)</f>
        <v>10000000100000000000000000000001</v>
      </c>
      <c r="G875" s="8">
        <v>20</v>
      </c>
      <c r="H875" s="3" t="str">
        <f>VLOOKUP($G875,Overall!$K$5:$T$36,2)</f>
        <v>Normal</v>
      </c>
      <c r="I875" s="3">
        <f ca="1">VLOOKUP($G875,Overall!$K$5:$T$36,10)</f>
        <v>12345.6787109375</v>
      </c>
      <c r="J875" s="62" t="str">
        <f>VLOOKUP($G875,Overall!$K$5:$T$36,6)</f>
        <v>001000110010000001110011010110111</v>
      </c>
      <c r="K875" s="8">
        <f t="shared" ca="1" si="117"/>
        <v>-1.4512277311772074E-34</v>
      </c>
      <c r="L875" s="62">
        <f>VLOOKUP($B875,Overall!$B$5:$I$13,8)</f>
        <v>0</v>
      </c>
      <c r="M875" s="58"/>
      <c r="N875" s="3" t="str">
        <f t="shared" si="118"/>
        <v/>
      </c>
      <c r="O875" s="3" t="str">
        <f t="shared" si="119"/>
        <v/>
      </c>
      <c r="P875" s="3" t="str">
        <f t="shared" si="120"/>
        <v/>
      </c>
      <c r="Q875" s="3">
        <f t="shared" si="121"/>
        <v>0</v>
      </c>
      <c r="R875" s="3">
        <f t="shared" si="122"/>
        <v>0</v>
      </c>
      <c r="S875" s="3" t="e" cm="1">
        <f t="array" aca="1" ref="S875" ca="1">SUMPRODUCT(MID($P875,ROW(INDIRECT("1:23")),1)*2^(-ROW(INDIRECT("1:23"))))</f>
        <v>#VALUE!</v>
      </c>
      <c r="T875" s="3" t="e">
        <f t="shared" ca="1" si="123"/>
        <v>#VALUE!</v>
      </c>
      <c r="U875" s="3" t="e">
        <f t="shared" ca="1" si="124"/>
        <v>#VALUE!</v>
      </c>
      <c r="V875" s="73"/>
      <c r="W875" s="9" t="str">
        <f t="shared" si="125"/>
        <v>OK</v>
      </c>
    </row>
    <row r="876" spans="1:23" x14ac:dyDescent="0.3">
      <c r="A876" s="44">
        <v>873</v>
      </c>
      <c r="B876" s="14">
        <v>9</v>
      </c>
      <c r="C876" s="4">
        <v>25</v>
      </c>
      <c r="D876" s="3" t="str">
        <f>VLOOKUP($C876,Overall!$K$5:$T$36,2)</f>
        <v>Normal</v>
      </c>
      <c r="E876" s="3">
        <f ca="1">VLOOKUP($C876,Overall!$K$5:$T$36,10)</f>
        <v>-1.1754944909521339E-38</v>
      </c>
      <c r="F876" s="9" t="str">
        <f>VLOOKUP($C876,Overall!$K$5:$T$36,6)</f>
        <v>10000000100000000000000000000001</v>
      </c>
      <c r="G876" s="8">
        <v>21</v>
      </c>
      <c r="H876" s="3" t="str">
        <f>VLOOKUP($G876,Overall!$K$5:$T$36,2)</f>
        <v>Normal</v>
      </c>
      <c r="I876" s="3">
        <f ca="1">VLOOKUP($G876,Overall!$K$5:$T$36,10)</f>
        <v>2.345678924830959E+38</v>
      </c>
      <c r="J876" s="62" t="str">
        <f>VLOOKUP($G876,Overall!$K$5:$T$36,6)</f>
        <v>01111111001100000111100000100010</v>
      </c>
      <c r="K876" s="8">
        <f t="shared" ca="1" si="117"/>
        <v>-2.757332653681317</v>
      </c>
      <c r="L876" s="62">
        <f>VLOOKUP($B876,Overall!$B$5:$I$13,8)</f>
        <v>0</v>
      </c>
      <c r="M876" s="58"/>
      <c r="N876" s="3" t="str">
        <f t="shared" si="118"/>
        <v/>
      </c>
      <c r="O876" s="3" t="str">
        <f t="shared" si="119"/>
        <v/>
      </c>
      <c r="P876" s="3" t="str">
        <f t="shared" si="120"/>
        <v/>
      </c>
      <c r="Q876" s="3">
        <f t="shared" si="121"/>
        <v>0</v>
      </c>
      <c r="R876" s="3">
        <f t="shared" si="122"/>
        <v>0</v>
      </c>
      <c r="S876" s="3" t="e" cm="1">
        <f t="array" aca="1" ref="S876" ca="1">SUMPRODUCT(MID($P876,ROW(INDIRECT("1:23")),1)*2^(-ROW(INDIRECT("1:23"))))</f>
        <v>#VALUE!</v>
      </c>
      <c r="T876" s="3" t="e">
        <f t="shared" ca="1" si="123"/>
        <v>#VALUE!</v>
      </c>
      <c r="U876" s="3" t="e">
        <f t="shared" ca="1" si="124"/>
        <v>#VALUE!</v>
      </c>
      <c r="V876" s="73"/>
      <c r="W876" s="9" t="str">
        <f t="shared" si="125"/>
        <v>OK</v>
      </c>
    </row>
    <row r="877" spans="1:23" x14ac:dyDescent="0.3">
      <c r="A877" s="44">
        <v>874</v>
      </c>
      <c r="B877" s="14">
        <v>9</v>
      </c>
      <c r="C877" s="4">
        <v>25</v>
      </c>
      <c r="D877" s="3" t="str">
        <f>VLOOKUP($C877,Overall!$K$5:$T$36,2)</f>
        <v>Normal</v>
      </c>
      <c r="E877" s="3">
        <f ca="1">VLOOKUP($C877,Overall!$K$5:$T$36,10)</f>
        <v>-1.1754944909521339E-38</v>
      </c>
      <c r="F877" s="9" t="str">
        <f>VLOOKUP($C877,Overall!$K$5:$T$36,6)</f>
        <v>10000000100000000000000000000001</v>
      </c>
      <c r="G877" s="8">
        <v>22</v>
      </c>
      <c r="H877" s="3" t="str">
        <f>VLOOKUP($G877,Overall!$K$5:$T$36,2)</f>
        <v>Normal</v>
      </c>
      <c r="I877" s="3">
        <f ca="1">VLOOKUP($G877,Overall!$K$5:$T$36,10)</f>
        <v>3.4028232635611926E+38</v>
      </c>
      <c r="J877" s="62" t="str">
        <f>VLOOKUP($G877,Overall!$K$5:$T$36,6)</f>
        <v>01111111011111111111111111111110</v>
      </c>
      <c r="K877" s="8">
        <f t="shared" ca="1" si="117"/>
        <v>-3.9999999999999432</v>
      </c>
      <c r="L877" s="62">
        <f>VLOOKUP($B877,Overall!$B$5:$I$13,8)</f>
        <v>0</v>
      </c>
      <c r="M877" s="58"/>
      <c r="N877" s="3" t="str">
        <f t="shared" si="118"/>
        <v/>
      </c>
      <c r="O877" s="3" t="str">
        <f t="shared" si="119"/>
        <v/>
      </c>
      <c r="P877" s="3" t="str">
        <f t="shared" si="120"/>
        <v/>
      </c>
      <c r="Q877" s="3">
        <f t="shared" si="121"/>
        <v>0</v>
      </c>
      <c r="R877" s="3">
        <f t="shared" si="122"/>
        <v>0</v>
      </c>
      <c r="S877" s="3" t="e" cm="1">
        <f t="array" aca="1" ref="S877" ca="1">SUMPRODUCT(MID($P877,ROW(INDIRECT("1:23")),1)*2^(-ROW(INDIRECT("1:23"))))</f>
        <v>#VALUE!</v>
      </c>
      <c r="T877" s="3" t="e">
        <f t="shared" ca="1" si="123"/>
        <v>#VALUE!</v>
      </c>
      <c r="U877" s="3" t="e">
        <f t="shared" ca="1" si="124"/>
        <v>#VALUE!</v>
      </c>
      <c r="V877" s="73"/>
      <c r="W877" s="9" t="str">
        <f t="shared" si="125"/>
        <v>OK</v>
      </c>
    </row>
    <row r="878" spans="1:23" x14ac:dyDescent="0.3">
      <c r="A878" s="44">
        <v>875</v>
      </c>
      <c r="B878" s="14">
        <v>9</v>
      </c>
      <c r="C878" s="4">
        <v>25</v>
      </c>
      <c r="D878" s="3" t="str">
        <f>VLOOKUP($C878,Overall!$K$5:$T$36,2)</f>
        <v>Normal</v>
      </c>
      <c r="E878" s="3">
        <f ca="1">VLOOKUP($C878,Overall!$K$5:$T$36,10)</f>
        <v>-1.1754944909521339E-38</v>
      </c>
      <c r="F878" s="9" t="str">
        <f>VLOOKUP($C878,Overall!$K$5:$T$36,6)</f>
        <v>10000000100000000000000000000001</v>
      </c>
      <c r="G878" s="8">
        <v>23</v>
      </c>
      <c r="H878" s="3" t="str">
        <f>VLOOKUP($G878,Overall!$K$5:$T$36,2)</f>
        <v>Normal</v>
      </c>
      <c r="I878" s="3">
        <f ca="1">VLOOKUP($G878,Overall!$K$5:$T$36,10)</f>
        <v>3.4028234663852886E+38</v>
      </c>
      <c r="J878" s="62" t="str">
        <f>VLOOKUP($G878,Overall!$K$5:$T$36,6)</f>
        <v>01111111011111111111111111111111</v>
      </c>
      <c r="K878" s="8">
        <f t="shared" ca="1" si="117"/>
        <v>-4.0000002384185507</v>
      </c>
      <c r="L878" s="62">
        <f>VLOOKUP($B878,Overall!$B$5:$I$13,8)</f>
        <v>0</v>
      </c>
      <c r="M878" s="58"/>
      <c r="N878" s="3" t="str">
        <f t="shared" si="118"/>
        <v/>
      </c>
      <c r="O878" s="3" t="str">
        <f t="shared" si="119"/>
        <v/>
      </c>
      <c r="P878" s="3" t="str">
        <f t="shared" si="120"/>
        <v/>
      </c>
      <c r="Q878" s="3">
        <f t="shared" si="121"/>
        <v>0</v>
      </c>
      <c r="R878" s="3">
        <f t="shared" si="122"/>
        <v>0</v>
      </c>
      <c r="S878" s="3" t="e" cm="1">
        <f t="array" aca="1" ref="S878" ca="1">SUMPRODUCT(MID($P878,ROW(INDIRECT("1:23")),1)*2^(-ROW(INDIRECT("1:23"))))</f>
        <v>#VALUE!</v>
      </c>
      <c r="T878" s="3" t="e">
        <f t="shared" ca="1" si="123"/>
        <v>#VALUE!</v>
      </c>
      <c r="U878" s="3" t="e">
        <f t="shared" ca="1" si="124"/>
        <v>#VALUE!</v>
      </c>
      <c r="V878" s="73"/>
      <c r="W878" s="9" t="str">
        <f t="shared" si="125"/>
        <v>OK</v>
      </c>
    </row>
    <row r="879" spans="1:23" x14ac:dyDescent="0.3">
      <c r="A879" s="44">
        <v>876</v>
      </c>
      <c r="B879" s="14">
        <v>9</v>
      </c>
      <c r="C879" s="4">
        <v>25</v>
      </c>
      <c r="D879" s="3" t="str">
        <f>VLOOKUP($C879,Overall!$K$5:$T$36,2)</f>
        <v>Normal</v>
      </c>
      <c r="E879" s="3">
        <f ca="1">VLOOKUP($C879,Overall!$K$5:$T$36,10)</f>
        <v>-1.1754944909521339E-38</v>
      </c>
      <c r="F879" s="9" t="str">
        <f>VLOOKUP($C879,Overall!$K$5:$T$36,6)</f>
        <v>10000000100000000000000000000001</v>
      </c>
      <c r="G879" s="8">
        <v>24</v>
      </c>
      <c r="H879" s="3" t="str">
        <f>VLOOKUP($G879,Overall!$K$5:$T$36,2)</f>
        <v>Normal</v>
      </c>
      <c r="I879" s="3">
        <f ca="1">VLOOKUP($G879,Overall!$K$5:$T$36,10)</f>
        <v>-1.1754943508222875E-38</v>
      </c>
      <c r="J879" s="62" t="str">
        <f>VLOOKUP($G879,Overall!$K$5:$T$36,6)</f>
        <v>10000000100000000000000000000000</v>
      </c>
      <c r="K879" s="8">
        <f t="shared" ca="1" si="117"/>
        <v>1.381787133536954E-76</v>
      </c>
      <c r="L879" s="62">
        <f>VLOOKUP($B879,Overall!$B$5:$I$13,8)</f>
        <v>0</v>
      </c>
      <c r="M879" s="58"/>
      <c r="N879" s="3" t="str">
        <f t="shared" si="118"/>
        <v/>
      </c>
      <c r="O879" s="3" t="str">
        <f t="shared" si="119"/>
        <v/>
      </c>
      <c r="P879" s="3" t="str">
        <f t="shared" si="120"/>
        <v/>
      </c>
      <c r="Q879" s="3">
        <f t="shared" si="121"/>
        <v>0</v>
      </c>
      <c r="R879" s="3">
        <f t="shared" si="122"/>
        <v>0</v>
      </c>
      <c r="S879" s="3" t="e" cm="1">
        <f t="array" aca="1" ref="S879" ca="1">SUMPRODUCT(MID($P879,ROW(INDIRECT("1:23")),1)*2^(-ROW(INDIRECT("1:23"))))</f>
        <v>#VALUE!</v>
      </c>
      <c r="T879" s="3" t="e">
        <f t="shared" ca="1" si="123"/>
        <v>#VALUE!</v>
      </c>
      <c r="U879" s="3" t="e">
        <f t="shared" ca="1" si="124"/>
        <v>#VALUE!</v>
      </c>
      <c r="V879" s="73"/>
      <c r="W879" s="9" t="str">
        <f t="shared" si="125"/>
        <v>OK</v>
      </c>
    </row>
    <row r="880" spans="1:23" x14ac:dyDescent="0.3">
      <c r="A880" s="44">
        <v>877</v>
      </c>
      <c r="B880" s="14">
        <v>9</v>
      </c>
      <c r="C880" s="4">
        <v>25</v>
      </c>
      <c r="D880" s="3" t="str">
        <f>VLOOKUP($C880,Overall!$K$5:$T$36,2)</f>
        <v>Normal</v>
      </c>
      <c r="E880" s="3">
        <f ca="1">VLOOKUP($C880,Overall!$K$5:$T$36,10)</f>
        <v>-1.1754944909521339E-38</v>
      </c>
      <c r="F880" s="9" t="str">
        <f>VLOOKUP($C880,Overall!$K$5:$T$36,6)</f>
        <v>10000000100000000000000000000001</v>
      </c>
      <c r="G880" s="8">
        <v>25</v>
      </c>
      <c r="H880" s="3" t="str">
        <f>VLOOKUP($G880,Overall!$K$5:$T$36,2)</f>
        <v>Normal</v>
      </c>
      <c r="I880" s="3">
        <f ca="1">VLOOKUP($G880,Overall!$K$5:$T$36,10)</f>
        <v>-1.1754944909521339E-38</v>
      </c>
      <c r="J880" s="62" t="str">
        <f>VLOOKUP($G880,Overall!$K$5:$T$36,6)</f>
        <v>10000000100000000000000000000001</v>
      </c>
      <c r="K880" s="8">
        <f t="shared" ca="1" si="117"/>
        <v>1.3817872982588165E-76</v>
      </c>
      <c r="L880" s="62">
        <f>VLOOKUP($B880,Overall!$B$5:$I$13,8)</f>
        <v>0</v>
      </c>
      <c r="M880" s="58"/>
      <c r="N880" s="3" t="str">
        <f t="shared" si="118"/>
        <v/>
      </c>
      <c r="O880" s="3" t="str">
        <f t="shared" si="119"/>
        <v/>
      </c>
      <c r="P880" s="3" t="str">
        <f t="shared" si="120"/>
        <v/>
      </c>
      <c r="Q880" s="3">
        <f t="shared" si="121"/>
        <v>0</v>
      </c>
      <c r="R880" s="3">
        <f t="shared" si="122"/>
        <v>0</v>
      </c>
      <c r="S880" s="3" t="e" cm="1">
        <f t="array" aca="1" ref="S880" ca="1">SUMPRODUCT(MID($P880,ROW(INDIRECT("1:23")),1)*2^(-ROW(INDIRECT("1:23"))))</f>
        <v>#VALUE!</v>
      </c>
      <c r="T880" s="3" t="e">
        <f t="shared" ca="1" si="123"/>
        <v>#VALUE!</v>
      </c>
      <c r="U880" s="3" t="e">
        <f t="shared" ca="1" si="124"/>
        <v>#VALUE!</v>
      </c>
      <c r="V880" s="73"/>
      <c r="W880" s="9" t="str">
        <f t="shared" si="125"/>
        <v>OK</v>
      </c>
    </row>
    <row r="881" spans="1:23" x14ac:dyDescent="0.3">
      <c r="A881" s="44">
        <v>878</v>
      </c>
      <c r="B881" s="14">
        <v>9</v>
      </c>
      <c r="C881" s="4">
        <v>25</v>
      </c>
      <c r="D881" s="3" t="str">
        <f>VLOOKUP($C881,Overall!$K$5:$T$36,2)</f>
        <v>Normal</v>
      </c>
      <c r="E881" s="3">
        <f ca="1">VLOOKUP($C881,Overall!$K$5:$T$36,10)</f>
        <v>-1.1754944909521339E-38</v>
      </c>
      <c r="F881" s="9" t="str">
        <f>VLOOKUP($C881,Overall!$K$5:$T$36,6)</f>
        <v>10000000100000000000000000000001</v>
      </c>
      <c r="G881" s="8">
        <v>26</v>
      </c>
      <c r="H881" s="3" t="str">
        <f>VLOOKUP($G881,Overall!$K$5:$T$36,2)</f>
        <v>Normal</v>
      </c>
      <c r="I881" s="3">
        <f ca="1">VLOOKUP($G881,Overall!$K$5:$T$36,10)</f>
        <v>-0.5</v>
      </c>
      <c r="J881" s="62" t="str">
        <f>VLOOKUP($G881,Overall!$K$5:$T$36,6)</f>
        <v>10111111000000000000000000000000</v>
      </c>
      <c r="K881" s="8">
        <f t="shared" ca="1" si="117"/>
        <v>5.8774724547606697E-39</v>
      </c>
      <c r="L881" s="62">
        <f>VLOOKUP($B881,Overall!$B$5:$I$13,8)</f>
        <v>0</v>
      </c>
      <c r="M881" s="58"/>
      <c r="N881" s="3" t="str">
        <f t="shared" si="118"/>
        <v/>
      </c>
      <c r="O881" s="3" t="str">
        <f t="shared" si="119"/>
        <v/>
      </c>
      <c r="P881" s="3" t="str">
        <f t="shared" si="120"/>
        <v/>
      </c>
      <c r="Q881" s="3">
        <f t="shared" si="121"/>
        <v>0</v>
      </c>
      <c r="R881" s="3">
        <f t="shared" si="122"/>
        <v>0</v>
      </c>
      <c r="S881" s="3" t="e" cm="1">
        <f t="array" aca="1" ref="S881" ca="1">SUMPRODUCT(MID($P881,ROW(INDIRECT("1:23")),1)*2^(-ROW(INDIRECT("1:23"))))</f>
        <v>#VALUE!</v>
      </c>
      <c r="T881" s="3" t="e">
        <f t="shared" ca="1" si="123"/>
        <v>#VALUE!</v>
      </c>
      <c r="U881" s="3" t="e">
        <f t="shared" ca="1" si="124"/>
        <v>#VALUE!</v>
      </c>
      <c r="V881" s="73"/>
      <c r="W881" s="9" t="str">
        <f t="shared" si="125"/>
        <v>OK</v>
      </c>
    </row>
    <row r="882" spans="1:23" x14ac:dyDescent="0.3">
      <c r="A882" s="44">
        <v>879</v>
      </c>
      <c r="B882" s="14">
        <v>9</v>
      </c>
      <c r="C882" s="4">
        <v>25</v>
      </c>
      <c r="D882" s="3" t="str">
        <f>VLOOKUP($C882,Overall!$K$5:$T$36,2)</f>
        <v>Normal</v>
      </c>
      <c r="E882" s="3">
        <f ca="1">VLOOKUP($C882,Overall!$K$5:$T$36,10)</f>
        <v>-1.1754944909521339E-38</v>
      </c>
      <c r="F882" s="9" t="str">
        <f>VLOOKUP($C882,Overall!$K$5:$T$36,6)</f>
        <v>10000000100000000000000000000001</v>
      </c>
      <c r="G882" s="8">
        <v>27</v>
      </c>
      <c r="H882" s="3" t="str">
        <f>VLOOKUP($G882,Overall!$K$5:$T$36,2)</f>
        <v>Normal</v>
      </c>
      <c r="I882" s="3">
        <f ca="1">VLOOKUP($G882,Overall!$K$5:$T$36,10)</f>
        <v>-1</v>
      </c>
      <c r="J882" s="62" t="str">
        <f>VLOOKUP($G882,Overall!$K$5:$T$36,6)</f>
        <v>10111111100000000000000000000000</v>
      </c>
      <c r="K882" s="8">
        <f t="shared" ca="1" si="117"/>
        <v>1.1754944909521339E-38</v>
      </c>
      <c r="L882" s="62">
        <f>VLOOKUP($B882,Overall!$B$5:$I$13,8)</f>
        <v>0</v>
      </c>
      <c r="M882" s="58"/>
      <c r="N882" s="3" t="str">
        <f t="shared" si="118"/>
        <v/>
      </c>
      <c r="O882" s="3" t="str">
        <f t="shared" si="119"/>
        <v/>
      </c>
      <c r="P882" s="3" t="str">
        <f t="shared" si="120"/>
        <v/>
      </c>
      <c r="Q882" s="3">
        <f t="shared" si="121"/>
        <v>0</v>
      </c>
      <c r="R882" s="3">
        <f t="shared" si="122"/>
        <v>0</v>
      </c>
      <c r="S882" s="3" t="e" cm="1">
        <f t="array" aca="1" ref="S882" ca="1">SUMPRODUCT(MID($P882,ROW(INDIRECT("1:23")),1)*2^(-ROW(INDIRECT("1:23"))))</f>
        <v>#VALUE!</v>
      </c>
      <c r="T882" s="3" t="e">
        <f t="shared" ca="1" si="123"/>
        <v>#VALUE!</v>
      </c>
      <c r="U882" s="3" t="e">
        <f t="shared" ca="1" si="124"/>
        <v>#VALUE!</v>
      </c>
      <c r="V882" s="73"/>
      <c r="W882" s="9" t="str">
        <f t="shared" si="125"/>
        <v>OK</v>
      </c>
    </row>
    <row r="883" spans="1:23" x14ac:dyDescent="0.3">
      <c r="A883" s="44">
        <v>880</v>
      </c>
      <c r="B883" s="14">
        <v>9</v>
      </c>
      <c r="C883" s="4">
        <v>25</v>
      </c>
      <c r="D883" s="3" t="str">
        <f>VLOOKUP($C883,Overall!$K$5:$T$36,2)</f>
        <v>Normal</v>
      </c>
      <c r="E883" s="3">
        <f ca="1">VLOOKUP($C883,Overall!$K$5:$T$36,10)</f>
        <v>-1.1754944909521339E-38</v>
      </c>
      <c r="F883" s="9" t="str">
        <f>VLOOKUP($C883,Overall!$K$5:$T$36,6)</f>
        <v>10000000100000000000000000000001</v>
      </c>
      <c r="G883" s="8">
        <v>28</v>
      </c>
      <c r="H883" s="3" t="str">
        <f>VLOOKUP($G883,Overall!$K$5:$T$36,2)</f>
        <v>Normal</v>
      </c>
      <c r="I883" s="3">
        <f ca="1">VLOOKUP($G883,Overall!$K$5:$T$36,10)</f>
        <v>-1.5</v>
      </c>
      <c r="J883" s="62" t="str">
        <f>VLOOKUP($G883,Overall!$K$5:$T$36,6)</f>
        <v>10111111110000000000000000000000</v>
      </c>
      <c r="K883" s="8">
        <f t="shared" ca="1" si="117"/>
        <v>1.7632417364282009E-38</v>
      </c>
      <c r="L883" s="62">
        <f>VLOOKUP($B883,Overall!$B$5:$I$13,8)</f>
        <v>0</v>
      </c>
      <c r="M883" s="58"/>
      <c r="N883" s="3" t="str">
        <f t="shared" si="118"/>
        <v/>
      </c>
      <c r="O883" s="3" t="str">
        <f t="shared" si="119"/>
        <v/>
      </c>
      <c r="P883" s="3" t="str">
        <f t="shared" si="120"/>
        <v/>
      </c>
      <c r="Q883" s="3">
        <f t="shared" si="121"/>
        <v>0</v>
      </c>
      <c r="R883" s="3">
        <f t="shared" si="122"/>
        <v>0</v>
      </c>
      <c r="S883" s="3" t="e" cm="1">
        <f t="array" aca="1" ref="S883" ca="1">SUMPRODUCT(MID($P883,ROW(INDIRECT("1:23")),1)*2^(-ROW(INDIRECT("1:23"))))</f>
        <v>#VALUE!</v>
      </c>
      <c r="T883" s="3" t="e">
        <f t="shared" ca="1" si="123"/>
        <v>#VALUE!</v>
      </c>
      <c r="U883" s="3" t="e">
        <f t="shared" ca="1" si="124"/>
        <v>#VALUE!</v>
      </c>
      <c r="V883" s="73"/>
      <c r="W883" s="9" t="str">
        <f t="shared" si="125"/>
        <v>OK</v>
      </c>
    </row>
    <row r="884" spans="1:23" x14ac:dyDescent="0.3">
      <c r="A884" s="44">
        <v>881</v>
      </c>
      <c r="B884" s="14">
        <v>9</v>
      </c>
      <c r="C884" s="4">
        <v>25</v>
      </c>
      <c r="D884" s="3" t="str">
        <f>VLOOKUP($C884,Overall!$K$5:$T$36,2)</f>
        <v>Normal</v>
      </c>
      <c r="E884" s="3">
        <f ca="1">VLOOKUP($C884,Overall!$K$5:$T$36,10)</f>
        <v>-1.1754944909521339E-38</v>
      </c>
      <c r="F884" s="9" t="str">
        <f>VLOOKUP($C884,Overall!$K$5:$T$36,6)</f>
        <v>10000000100000000000000000000001</v>
      </c>
      <c r="G884" s="8">
        <v>29</v>
      </c>
      <c r="H884" s="3" t="str">
        <f>VLOOKUP($G884,Overall!$K$5:$T$36,2)</f>
        <v>Normal</v>
      </c>
      <c r="I884" s="3">
        <f ca="1">VLOOKUP($G884,Overall!$K$5:$T$36,10)</f>
        <v>-12345.6787109375</v>
      </c>
      <c r="J884" s="62" t="str">
        <f>VLOOKUP($G884,Overall!$K$5:$T$36,6)</f>
        <v>101000110010000001110011010110111</v>
      </c>
      <c r="K884" s="8">
        <f t="shared" ca="1" si="117"/>
        <v>1.4512277311772074E-34</v>
      </c>
      <c r="L884" s="62">
        <f>VLOOKUP($B884,Overall!$B$5:$I$13,8)</f>
        <v>0</v>
      </c>
      <c r="M884" s="58"/>
      <c r="N884" s="3" t="str">
        <f t="shared" si="118"/>
        <v/>
      </c>
      <c r="O884" s="3" t="str">
        <f t="shared" si="119"/>
        <v/>
      </c>
      <c r="P884" s="3" t="str">
        <f t="shared" si="120"/>
        <v/>
      </c>
      <c r="Q884" s="3">
        <f t="shared" si="121"/>
        <v>0</v>
      </c>
      <c r="R884" s="3">
        <f t="shared" si="122"/>
        <v>0</v>
      </c>
      <c r="S884" s="3" t="e" cm="1">
        <f t="array" aca="1" ref="S884" ca="1">SUMPRODUCT(MID($P884,ROW(INDIRECT("1:23")),1)*2^(-ROW(INDIRECT("1:23"))))</f>
        <v>#VALUE!</v>
      </c>
      <c r="T884" s="3" t="e">
        <f t="shared" ca="1" si="123"/>
        <v>#VALUE!</v>
      </c>
      <c r="U884" s="3" t="e">
        <f t="shared" ca="1" si="124"/>
        <v>#VALUE!</v>
      </c>
      <c r="V884" s="73"/>
      <c r="W884" s="9" t="str">
        <f t="shared" si="125"/>
        <v>OK</v>
      </c>
    </row>
    <row r="885" spans="1:23" x14ac:dyDescent="0.3">
      <c r="A885" s="44">
        <v>882</v>
      </c>
      <c r="B885" s="14">
        <v>9</v>
      </c>
      <c r="C885" s="4">
        <v>25</v>
      </c>
      <c r="D885" s="3" t="str">
        <f>VLOOKUP($C885,Overall!$K$5:$T$36,2)</f>
        <v>Normal</v>
      </c>
      <c r="E885" s="3">
        <f ca="1">VLOOKUP($C885,Overall!$K$5:$T$36,10)</f>
        <v>-1.1754944909521339E-38</v>
      </c>
      <c r="F885" s="9" t="str">
        <f>VLOOKUP($C885,Overall!$K$5:$T$36,6)</f>
        <v>10000000100000000000000000000001</v>
      </c>
      <c r="G885" s="8">
        <v>30</v>
      </c>
      <c r="H885" s="3" t="str">
        <f>VLOOKUP($G885,Overall!$K$5:$T$36,2)</f>
        <v>Normal</v>
      </c>
      <c r="I885" s="3">
        <f ca="1">VLOOKUP($G885,Overall!$K$5:$T$36,10)</f>
        <v>-2.345678924830959E+38</v>
      </c>
      <c r="J885" s="62" t="str">
        <f>VLOOKUP($G885,Overall!$K$5:$T$36,6)</f>
        <v>11111111001100000111100000100010</v>
      </c>
      <c r="K885" s="8">
        <f t="shared" ca="1" si="117"/>
        <v>2.757332653681317</v>
      </c>
      <c r="L885" s="62">
        <f>VLOOKUP($B885,Overall!$B$5:$I$13,8)</f>
        <v>0</v>
      </c>
      <c r="M885" s="58"/>
      <c r="N885" s="3" t="str">
        <f t="shared" si="118"/>
        <v/>
      </c>
      <c r="O885" s="3" t="str">
        <f t="shared" si="119"/>
        <v/>
      </c>
      <c r="P885" s="3" t="str">
        <f t="shared" si="120"/>
        <v/>
      </c>
      <c r="Q885" s="3">
        <f t="shared" si="121"/>
        <v>0</v>
      </c>
      <c r="R885" s="3">
        <f t="shared" si="122"/>
        <v>0</v>
      </c>
      <c r="S885" s="3" t="e" cm="1">
        <f t="array" aca="1" ref="S885" ca="1">SUMPRODUCT(MID($P885,ROW(INDIRECT("1:23")),1)*2^(-ROW(INDIRECT("1:23"))))</f>
        <v>#VALUE!</v>
      </c>
      <c r="T885" s="3" t="e">
        <f t="shared" ca="1" si="123"/>
        <v>#VALUE!</v>
      </c>
      <c r="U885" s="3" t="e">
        <f t="shared" ca="1" si="124"/>
        <v>#VALUE!</v>
      </c>
      <c r="V885" s="73"/>
      <c r="W885" s="9" t="str">
        <f t="shared" si="125"/>
        <v>OK</v>
      </c>
    </row>
    <row r="886" spans="1:23" x14ac:dyDescent="0.3">
      <c r="A886" s="44">
        <v>883</v>
      </c>
      <c r="B886" s="14">
        <v>9</v>
      </c>
      <c r="C886" s="4">
        <v>25</v>
      </c>
      <c r="D886" s="3" t="str">
        <f>VLOOKUP($C886,Overall!$K$5:$T$36,2)</f>
        <v>Normal</v>
      </c>
      <c r="E886" s="3">
        <f ca="1">VLOOKUP($C886,Overall!$K$5:$T$36,10)</f>
        <v>-1.1754944909521339E-38</v>
      </c>
      <c r="F886" s="9" t="str">
        <f>VLOOKUP($C886,Overall!$K$5:$T$36,6)</f>
        <v>10000000100000000000000000000001</v>
      </c>
      <c r="G886" s="8">
        <v>31</v>
      </c>
      <c r="H886" s="3" t="str">
        <f>VLOOKUP($G886,Overall!$K$5:$T$36,2)</f>
        <v>Normal</v>
      </c>
      <c r="I886" s="3">
        <f ca="1">VLOOKUP($G886,Overall!$K$5:$T$36,10)</f>
        <v>-3.4028232635611926E+38</v>
      </c>
      <c r="J886" s="62" t="str">
        <f>VLOOKUP($G886,Overall!$K$5:$T$36,6)</f>
        <v>11111111011111111111111111111110</v>
      </c>
      <c r="K886" s="8">
        <f t="shared" ca="1" si="117"/>
        <v>3.9999999999999432</v>
      </c>
      <c r="L886" s="62">
        <f>VLOOKUP($B886,Overall!$B$5:$I$13,8)</f>
        <v>0</v>
      </c>
      <c r="M886" s="58"/>
      <c r="N886" s="3" t="str">
        <f t="shared" si="118"/>
        <v/>
      </c>
      <c r="O886" s="3" t="str">
        <f t="shared" si="119"/>
        <v/>
      </c>
      <c r="P886" s="3" t="str">
        <f t="shared" si="120"/>
        <v/>
      </c>
      <c r="Q886" s="3">
        <f t="shared" si="121"/>
        <v>0</v>
      </c>
      <c r="R886" s="3">
        <f t="shared" si="122"/>
        <v>0</v>
      </c>
      <c r="S886" s="3" t="e" cm="1">
        <f t="array" aca="1" ref="S886" ca="1">SUMPRODUCT(MID($P886,ROW(INDIRECT("1:23")),1)*2^(-ROW(INDIRECT("1:23"))))</f>
        <v>#VALUE!</v>
      </c>
      <c r="T886" s="3" t="e">
        <f t="shared" ca="1" si="123"/>
        <v>#VALUE!</v>
      </c>
      <c r="U886" s="3" t="e">
        <f t="shared" ca="1" si="124"/>
        <v>#VALUE!</v>
      </c>
      <c r="V886" s="73"/>
      <c r="W886" s="9" t="str">
        <f t="shared" si="125"/>
        <v>OK</v>
      </c>
    </row>
    <row r="887" spans="1:23" x14ac:dyDescent="0.3">
      <c r="A887" s="44">
        <v>884</v>
      </c>
      <c r="B887" s="14">
        <v>9</v>
      </c>
      <c r="C887" s="4">
        <v>25</v>
      </c>
      <c r="D887" s="3" t="str">
        <f>VLOOKUP($C887,Overall!$K$5:$T$36,2)</f>
        <v>Normal</v>
      </c>
      <c r="E887" s="3">
        <f ca="1">VLOOKUP($C887,Overall!$K$5:$T$36,10)</f>
        <v>-1.1754944909521339E-38</v>
      </c>
      <c r="F887" s="9" t="str">
        <f>VLOOKUP($C887,Overall!$K$5:$T$36,6)</f>
        <v>10000000100000000000000000000001</v>
      </c>
      <c r="G887" s="8">
        <v>32</v>
      </c>
      <c r="H887" s="3" t="str">
        <f>VLOOKUP($G887,Overall!$K$5:$T$36,2)</f>
        <v>Normal</v>
      </c>
      <c r="I887" s="3">
        <f ca="1">VLOOKUP($G887,Overall!$K$5:$T$36,10)</f>
        <v>-3.4028234663852886E+38</v>
      </c>
      <c r="J887" s="62" t="str">
        <f>VLOOKUP($G887,Overall!$K$5:$T$36,6)</f>
        <v>11111111011111111111111111111111</v>
      </c>
      <c r="K887" s="8">
        <f t="shared" ca="1" si="117"/>
        <v>4.0000002384185507</v>
      </c>
      <c r="L887" s="62">
        <f>VLOOKUP($B887,Overall!$B$5:$I$13,8)</f>
        <v>0</v>
      </c>
      <c r="M887" s="58"/>
      <c r="N887" s="3" t="str">
        <f t="shared" si="118"/>
        <v/>
      </c>
      <c r="O887" s="3" t="str">
        <f t="shared" si="119"/>
        <v/>
      </c>
      <c r="P887" s="3" t="str">
        <f t="shared" si="120"/>
        <v/>
      </c>
      <c r="Q887" s="3">
        <f t="shared" si="121"/>
        <v>0</v>
      </c>
      <c r="R887" s="3">
        <f t="shared" si="122"/>
        <v>0</v>
      </c>
      <c r="S887" s="3" t="e" cm="1">
        <f t="array" aca="1" ref="S887" ca="1">SUMPRODUCT(MID($P887,ROW(INDIRECT("1:23")),1)*2^(-ROW(INDIRECT("1:23"))))</f>
        <v>#VALUE!</v>
      </c>
      <c r="T887" s="3" t="e">
        <f t="shared" ca="1" si="123"/>
        <v>#VALUE!</v>
      </c>
      <c r="U887" s="3" t="e">
        <f t="shared" ca="1" si="124"/>
        <v>#VALUE!</v>
      </c>
      <c r="V887" s="73"/>
      <c r="W887" s="9" t="str">
        <f t="shared" si="125"/>
        <v>OK</v>
      </c>
    </row>
    <row r="888" spans="1:23" x14ac:dyDescent="0.3">
      <c r="A888" s="44">
        <v>885</v>
      </c>
      <c r="B888" s="14">
        <v>9</v>
      </c>
      <c r="C888" s="4">
        <v>26</v>
      </c>
      <c r="D888" s="3" t="str">
        <f>VLOOKUP($C888,Overall!$K$5:$T$36,2)</f>
        <v>Normal</v>
      </c>
      <c r="E888" s="3">
        <f ca="1">VLOOKUP($C888,Overall!$K$5:$T$36,10)</f>
        <v>-0.5</v>
      </c>
      <c r="F888" s="9" t="str">
        <f>VLOOKUP($C888,Overall!$K$5:$T$36,6)</f>
        <v>10111111000000000000000000000000</v>
      </c>
      <c r="G888" s="8">
        <v>13</v>
      </c>
      <c r="H888" s="3" t="str">
        <f>VLOOKUP($G888,Overall!$K$5:$T$36,2)</f>
        <v>Normal</v>
      </c>
      <c r="I888" s="3">
        <f ca="1">VLOOKUP($G888,Overall!$K$5:$T$36,10)</f>
        <v>0</v>
      </c>
      <c r="J888" s="62" t="str">
        <f>VLOOKUP($G888,Overall!$K$5:$T$36,6)</f>
        <v>00000000000000000000000000000000</v>
      </c>
      <c r="K888" s="8">
        <f t="shared" ca="1" si="117"/>
        <v>0</v>
      </c>
      <c r="L888" s="62">
        <f>VLOOKUP($B888,Overall!$B$5:$I$13,8)</f>
        <v>0</v>
      </c>
      <c r="M888" s="58"/>
      <c r="N888" s="3" t="str">
        <f t="shared" si="118"/>
        <v/>
      </c>
      <c r="O888" s="3" t="str">
        <f t="shared" si="119"/>
        <v/>
      </c>
      <c r="P888" s="3" t="str">
        <f t="shared" si="120"/>
        <v/>
      </c>
      <c r="Q888" s="3">
        <f t="shared" si="121"/>
        <v>0</v>
      </c>
      <c r="R888" s="3">
        <f t="shared" si="122"/>
        <v>0</v>
      </c>
      <c r="S888" s="3" t="e" cm="1">
        <f t="array" aca="1" ref="S888" ca="1">SUMPRODUCT(MID($P888,ROW(INDIRECT("1:23")),1)*2^(-ROW(INDIRECT("1:23"))))</f>
        <v>#VALUE!</v>
      </c>
      <c r="T888" s="3" t="e">
        <f t="shared" ca="1" si="123"/>
        <v>#VALUE!</v>
      </c>
      <c r="U888" s="3" t="e">
        <f t="shared" ca="1" si="124"/>
        <v>#VALUE!</v>
      </c>
      <c r="V888" s="73"/>
      <c r="W888" s="9" t="str">
        <f t="shared" si="125"/>
        <v>OK</v>
      </c>
    </row>
    <row r="889" spans="1:23" x14ac:dyDescent="0.3">
      <c r="A889" s="44">
        <v>886</v>
      </c>
      <c r="B889" s="14">
        <v>9</v>
      </c>
      <c r="C889" s="4">
        <v>26</v>
      </c>
      <c r="D889" s="3" t="str">
        <f>VLOOKUP($C889,Overall!$K$5:$T$36,2)</f>
        <v>Normal</v>
      </c>
      <c r="E889" s="3">
        <f ca="1">VLOOKUP($C889,Overall!$K$5:$T$36,10)</f>
        <v>-0.5</v>
      </c>
      <c r="F889" s="9" t="str">
        <f>VLOOKUP($C889,Overall!$K$5:$T$36,6)</f>
        <v>10111111000000000000000000000000</v>
      </c>
      <c r="G889" s="8">
        <v>14</v>
      </c>
      <c r="H889" s="3" t="str">
        <f>VLOOKUP($G889,Overall!$K$5:$T$36,2)</f>
        <v>Normal</v>
      </c>
      <c r="I889" s="3">
        <f ca="1">VLOOKUP($G889,Overall!$K$5:$T$36,10)</f>
        <v>0</v>
      </c>
      <c r="J889" s="62" t="str">
        <f>VLOOKUP($G889,Overall!$K$5:$T$36,6)</f>
        <v>10000000000000000000000000000000</v>
      </c>
      <c r="K889" s="8">
        <f t="shared" ca="1" si="117"/>
        <v>0</v>
      </c>
      <c r="L889" s="62">
        <f>VLOOKUP($B889,Overall!$B$5:$I$13,8)</f>
        <v>0</v>
      </c>
      <c r="M889" s="58"/>
      <c r="N889" s="3" t="str">
        <f t="shared" si="118"/>
        <v/>
      </c>
      <c r="O889" s="3" t="str">
        <f t="shared" si="119"/>
        <v/>
      </c>
      <c r="P889" s="3" t="str">
        <f t="shared" si="120"/>
        <v/>
      </c>
      <c r="Q889" s="3">
        <f t="shared" si="121"/>
        <v>0</v>
      </c>
      <c r="R889" s="3">
        <f t="shared" si="122"/>
        <v>0</v>
      </c>
      <c r="S889" s="3" t="e" cm="1">
        <f t="array" aca="1" ref="S889" ca="1">SUMPRODUCT(MID($P889,ROW(INDIRECT("1:23")),1)*2^(-ROW(INDIRECT("1:23"))))</f>
        <v>#VALUE!</v>
      </c>
      <c r="T889" s="3" t="e">
        <f t="shared" ca="1" si="123"/>
        <v>#VALUE!</v>
      </c>
      <c r="U889" s="3" t="e">
        <f t="shared" ca="1" si="124"/>
        <v>#VALUE!</v>
      </c>
      <c r="V889" s="73"/>
      <c r="W889" s="9" t="str">
        <f t="shared" si="125"/>
        <v>OK</v>
      </c>
    </row>
    <row r="890" spans="1:23" x14ac:dyDescent="0.3">
      <c r="A890" s="44">
        <v>887</v>
      </c>
      <c r="B890" s="14">
        <v>9</v>
      </c>
      <c r="C890" s="4">
        <v>26</v>
      </c>
      <c r="D890" s="3" t="str">
        <f>VLOOKUP($C890,Overall!$K$5:$T$36,2)</f>
        <v>Normal</v>
      </c>
      <c r="E890" s="3">
        <f ca="1">VLOOKUP($C890,Overall!$K$5:$T$36,10)</f>
        <v>-0.5</v>
      </c>
      <c r="F890" s="9" t="str">
        <f>VLOOKUP($C890,Overall!$K$5:$T$36,6)</f>
        <v>10111111000000000000000000000000</v>
      </c>
      <c r="G890" s="8">
        <v>15</v>
      </c>
      <c r="H890" s="3" t="str">
        <f>VLOOKUP($G890,Overall!$K$5:$T$36,2)</f>
        <v>Normal</v>
      </c>
      <c r="I890" s="3">
        <f ca="1">VLOOKUP($G890,Overall!$K$5:$T$36,10)</f>
        <v>1.1754943508222875E-38</v>
      </c>
      <c r="J890" s="62" t="str">
        <f>VLOOKUP($G890,Overall!$K$5:$T$36,6)</f>
        <v>00000000100000000000000000000000</v>
      </c>
      <c r="K890" s="8">
        <f t="shared" ca="1" si="117"/>
        <v>-5.8774717541114375E-39</v>
      </c>
      <c r="L890" s="62">
        <f>VLOOKUP($B890,Overall!$B$5:$I$13,8)</f>
        <v>0</v>
      </c>
      <c r="M890" s="58"/>
      <c r="N890" s="3" t="str">
        <f t="shared" si="118"/>
        <v/>
      </c>
      <c r="O890" s="3" t="str">
        <f t="shared" si="119"/>
        <v/>
      </c>
      <c r="P890" s="3" t="str">
        <f t="shared" si="120"/>
        <v/>
      </c>
      <c r="Q890" s="3">
        <f t="shared" si="121"/>
        <v>0</v>
      </c>
      <c r="R890" s="3">
        <f t="shared" si="122"/>
        <v>0</v>
      </c>
      <c r="S890" s="3" t="e" cm="1">
        <f t="array" aca="1" ref="S890" ca="1">SUMPRODUCT(MID($P890,ROW(INDIRECT("1:23")),1)*2^(-ROW(INDIRECT("1:23"))))</f>
        <v>#VALUE!</v>
      </c>
      <c r="T890" s="3" t="e">
        <f t="shared" ca="1" si="123"/>
        <v>#VALUE!</v>
      </c>
      <c r="U890" s="3" t="e">
        <f t="shared" ca="1" si="124"/>
        <v>#VALUE!</v>
      </c>
      <c r="V890" s="73"/>
      <c r="W890" s="9" t="str">
        <f t="shared" si="125"/>
        <v>OK</v>
      </c>
    </row>
    <row r="891" spans="1:23" x14ac:dyDescent="0.3">
      <c r="A891" s="44">
        <v>888</v>
      </c>
      <c r="B891" s="14">
        <v>9</v>
      </c>
      <c r="C891" s="4">
        <v>26</v>
      </c>
      <c r="D891" s="3" t="str">
        <f>VLOOKUP($C891,Overall!$K$5:$T$36,2)</f>
        <v>Normal</v>
      </c>
      <c r="E891" s="3">
        <f ca="1">VLOOKUP($C891,Overall!$K$5:$T$36,10)</f>
        <v>-0.5</v>
      </c>
      <c r="F891" s="9" t="str">
        <f>VLOOKUP($C891,Overall!$K$5:$T$36,6)</f>
        <v>10111111000000000000000000000000</v>
      </c>
      <c r="G891" s="8">
        <v>16</v>
      </c>
      <c r="H891" s="3" t="str">
        <f>VLOOKUP($G891,Overall!$K$5:$T$36,2)</f>
        <v>Normal</v>
      </c>
      <c r="I891" s="3">
        <f ca="1">VLOOKUP($G891,Overall!$K$5:$T$36,10)</f>
        <v>1.1754944909521339E-38</v>
      </c>
      <c r="J891" s="62" t="str">
        <f>VLOOKUP($G891,Overall!$K$5:$T$36,6)</f>
        <v>00000000100000000000000000000001</v>
      </c>
      <c r="K891" s="8">
        <f t="shared" ca="1" si="117"/>
        <v>-5.8774724547606697E-39</v>
      </c>
      <c r="L891" s="62">
        <f>VLOOKUP($B891,Overall!$B$5:$I$13,8)</f>
        <v>0</v>
      </c>
      <c r="M891" s="58"/>
      <c r="N891" s="3" t="str">
        <f t="shared" si="118"/>
        <v/>
      </c>
      <c r="O891" s="3" t="str">
        <f t="shared" si="119"/>
        <v/>
      </c>
      <c r="P891" s="3" t="str">
        <f t="shared" si="120"/>
        <v/>
      </c>
      <c r="Q891" s="3">
        <f t="shared" si="121"/>
        <v>0</v>
      </c>
      <c r="R891" s="3">
        <f t="shared" si="122"/>
        <v>0</v>
      </c>
      <c r="S891" s="3" t="e" cm="1">
        <f t="array" aca="1" ref="S891" ca="1">SUMPRODUCT(MID($P891,ROW(INDIRECT("1:23")),1)*2^(-ROW(INDIRECT("1:23"))))</f>
        <v>#VALUE!</v>
      </c>
      <c r="T891" s="3" t="e">
        <f t="shared" ca="1" si="123"/>
        <v>#VALUE!</v>
      </c>
      <c r="U891" s="3" t="e">
        <f t="shared" ca="1" si="124"/>
        <v>#VALUE!</v>
      </c>
      <c r="V891" s="73"/>
      <c r="W891" s="9" t="str">
        <f t="shared" si="125"/>
        <v>OK</v>
      </c>
    </row>
    <row r="892" spans="1:23" x14ac:dyDescent="0.3">
      <c r="A892" s="44">
        <v>889</v>
      </c>
      <c r="B892" s="14">
        <v>9</v>
      </c>
      <c r="C892" s="4">
        <v>26</v>
      </c>
      <c r="D892" s="3" t="str">
        <f>VLOOKUP($C892,Overall!$K$5:$T$36,2)</f>
        <v>Normal</v>
      </c>
      <c r="E892" s="3">
        <f ca="1">VLOOKUP($C892,Overall!$K$5:$T$36,10)</f>
        <v>-0.5</v>
      </c>
      <c r="F892" s="9" t="str">
        <f>VLOOKUP($C892,Overall!$K$5:$T$36,6)</f>
        <v>10111111000000000000000000000000</v>
      </c>
      <c r="G892" s="8">
        <v>17</v>
      </c>
      <c r="H892" s="3" t="str">
        <f>VLOOKUP($G892,Overall!$K$5:$T$36,2)</f>
        <v>Normal</v>
      </c>
      <c r="I892" s="3">
        <f ca="1">VLOOKUP($G892,Overall!$K$5:$T$36,10)</f>
        <v>0.5</v>
      </c>
      <c r="J892" s="62" t="str">
        <f>VLOOKUP($G892,Overall!$K$5:$T$36,6)</f>
        <v>00111111000000000000000000000000</v>
      </c>
      <c r="K892" s="8">
        <f t="shared" ca="1" si="117"/>
        <v>-0.25</v>
      </c>
      <c r="L892" s="62">
        <f>VLOOKUP($B892,Overall!$B$5:$I$13,8)</f>
        <v>0</v>
      </c>
      <c r="M892" s="58"/>
      <c r="N892" s="3" t="str">
        <f t="shared" si="118"/>
        <v/>
      </c>
      <c r="O892" s="3" t="str">
        <f t="shared" si="119"/>
        <v/>
      </c>
      <c r="P892" s="3" t="str">
        <f t="shared" si="120"/>
        <v/>
      </c>
      <c r="Q892" s="3">
        <f t="shared" si="121"/>
        <v>0</v>
      </c>
      <c r="R892" s="3">
        <f t="shared" si="122"/>
        <v>0</v>
      </c>
      <c r="S892" s="3" t="e" cm="1">
        <f t="array" aca="1" ref="S892" ca="1">SUMPRODUCT(MID($P892,ROW(INDIRECT("1:23")),1)*2^(-ROW(INDIRECT("1:23"))))</f>
        <v>#VALUE!</v>
      </c>
      <c r="T892" s="3" t="e">
        <f t="shared" ca="1" si="123"/>
        <v>#VALUE!</v>
      </c>
      <c r="U892" s="3" t="e">
        <f t="shared" ca="1" si="124"/>
        <v>#VALUE!</v>
      </c>
      <c r="V892" s="73"/>
      <c r="W892" s="9" t="str">
        <f t="shared" si="125"/>
        <v>OK</v>
      </c>
    </row>
    <row r="893" spans="1:23" x14ac:dyDescent="0.3">
      <c r="A893" s="44">
        <v>890</v>
      </c>
      <c r="B893" s="14">
        <v>9</v>
      </c>
      <c r="C893" s="4">
        <v>26</v>
      </c>
      <c r="D893" s="3" t="str">
        <f>VLOOKUP($C893,Overall!$K$5:$T$36,2)</f>
        <v>Normal</v>
      </c>
      <c r="E893" s="3">
        <f ca="1">VLOOKUP($C893,Overall!$K$5:$T$36,10)</f>
        <v>-0.5</v>
      </c>
      <c r="F893" s="9" t="str">
        <f>VLOOKUP($C893,Overall!$K$5:$T$36,6)</f>
        <v>10111111000000000000000000000000</v>
      </c>
      <c r="G893" s="8">
        <v>18</v>
      </c>
      <c r="H893" s="3" t="str">
        <f>VLOOKUP($G893,Overall!$K$5:$T$36,2)</f>
        <v>Normal</v>
      </c>
      <c r="I893" s="3">
        <f ca="1">VLOOKUP($G893,Overall!$K$5:$T$36,10)</f>
        <v>1</v>
      </c>
      <c r="J893" s="62" t="str">
        <f>VLOOKUP($G893,Overall!$K$5:$T$36,6)</f>
        <v>00111111100000000000000000000000</v>
      </c>
      <c r="K893" s="8">
        <f t="shared" ca="1" si="117"/>
        <v>-0.5</v>
      </c>
      <c r="L893" s="62">
        <f>VLOOKUP($B893,Overall!$B$5:$I$13,8)</f>
        <v>0</v>
      </c>
      <c r="M893" s="58"/>
      <c r="N893" s="3" t="str">
        <f t="shared" si="118"/>
        <v/>
      </c>
      <c r="O893" s="3" t="str">
        <f t="shared" si="119"/>
        <v/>
      </c>
      <c r="P893" s="3" t="str">
        <f t="shared" si="120"/>
        <v/>
      </c>
      <c r="Q893" s="3">
        <f t="shared" si="121"/>
        <v>0</v>
      </c>
      <c r="R893" s="3">
        <f t="shared" si="122"/>
        <v>0</v>
      </c>
      <c r="S893" s="3" t="e" cm="1">
        <f t="array" aca="1" ref="S893" ca="1">SUMPRODUCT(MID($P893,ROW(INDIRECT("1:23")),1)*2^(-ROW(INDIRECT("1:23"))))</f>
        <v>#VALUE!</v>
      </c>
      <c r="T893" s="3" t="e">
        <f t="shared" ca="1" si="123"/>
        <v>#VALUE!</v>
      </c>
      <c r="U893" s="3" t="e">
        <f t="shared" ca="1" si="124"/>
        <v>#VALUE!</v>
      </c>
      <c r="V893" s="73"/>
      <c r="W893" s="9" t="str">
        <f t="shared" si="125"/>
        <v>OK</v>
      </c>
    </row>
    <row r="894" spans="1:23" x14ac:dyDescent="0.3">
      <c r="A894" s="44">
        <v>891</v>
      </c>
      <c r="B894" s="14">
        <v>9</v>
      </c>
      <c r="C894" s="4">
        <v>26</v>
      </c>
      <c r="D894" s="3" t="str">
        <f>VLOOKUP($C894,Overall!$K$5:$T$36,2)</f>
        <v>Normal</v>
      </c>
      <c r="E894" s="3">
        <f ca="1">VLOOKUP($C894,Overall!$K$5:$T$36,10)</f>
        <v>-0.5</v>
      </c>
      <c r="F894" s="9" t="str">
        <f>VLOOKUP($C894,Overall!$K$5:$T$36,6)</f>
        <v>10111111000000000000000000000000</v>
      </c>
      <c r="G894" s="8">
        <v>19</v>
      </c>
      <c r="H894" s="3" t="str">
        <f>VLOOKUP($G894,Overall!$K$5:$T$36,2)</f>
        <v>Normal</v>
      </c>
      <c r="I894" s="3">
        <f ca="1">VLOOKUP($G894,Overall!$K$5:$T$36,10)</f>
        <v>1.5</v>
      </c>
      <c r="J894" s="62" t="str">
        <f>VLOOKUP($G894,Overall!$K$5:$T$36,6)</f>
        <v>00111111110000000000000000000000</v>
      </c>
      <c r="K894" s="8">
        <f t="shared" ca="1" si="117"/>
        <v>-0.75</v>
      </c>
      <c r="L894" s="62">
        <f>VLOOKUP($B894,Overall!$B$5:$I$13,8)</f>
        <v>0</v>
      </c>
      <c r="M894" s="58"/>
      <c r="N894" s="3" t="str">
        <f t="shared" si="118"/>
        <v/>
      </c>
      <c r="O894" s="3" t="str">
        <f t="shared" si="119"/>
        <v/>
      </c>
      <c r="P894" s="3" t="str">
        <f t="shared" si="120"/>
        <v/>
      </c>
      <c r="Q894" s="3">
        <f t="shared" si="121"/>
        <v>0</v>
      </c>
      <c r="R894" s="3">
        <f t="shared" si="122"/>
        <v>0</v>
      </c>
      <c r="S894" s="3" t="e" cm="1">
        <f t="array" aca="1" ref="S894" ca="1">SUMPRODUCT(MID($P894,ROW(INDIRECT("1:23")),1)*2^(-ROW(INDIRECT("1:23"))))</f>
        <v>#VALUE!</v>
      </c>
      <c r="T894" s="3" t="e">
        <f t="shared" ca="1" si="123"/>
        <v>#VALUE!</v>
      </c>
      <c r="U894" s="3" t="e">
        <f t="shared" ca="1" si="124"/>
        <v>#VALUE!</v>
      </c>
      <c r="V894" s="73"/>
      <c r="W894" s="9" t="str">
        <f t="shared" si="125"/>
        <v>OK</v>
      </c>
    </row>
    <row r="895" spans="1:23" x14ac:dyDescent="0.3">
      <c r="A895" s="44">
        <v>892</v>
      </c>
      <c r="B895" s="14">
        <v>9</v>
      </c>
      <c r="C895" s="4">
        <v>26</v>
      </c>
      <c r="D895" s="3" t="str">
        <f>VLOOKUP($C895,Overall!$K$5:$T$36,2)</f>
        <v>Normal</v>
      </c>
      <c r="E895" s="3">
        <f ca="1">VLOOKUP($C895,Overall!$K$5:$T$36,10)</f>
        <v>-0.5</v>
      </c>
      <c r="F895" s="9" t="str">
        <f>VLOOKUP($C895,Overall!$K$5:$T$36,6)</f>
        <v>10111111000000000000000000000000</v>
      </c>
      <c r="G895" s="8">
        <v>20</v>
      </c>
      <c r="H895" s="3" t="str">
        <f>VLOOKUP($G895,Overall!$K$5:$T$36,2)</f>
        <v>Normal</v>
      </c>
      <c r="I895" s="3">
        <f ca="1">VLOOKUP($G895,Overall!$K$5:$T$36,10)</f>
        <v>12345.6787109375</v>
      </c>
      <c r="J895" s="62" t="str">
        <f>VLOOKUP($G895,Overall!$K$5:$T$36,6)</f>
        <v>001000110010000001110011010110111</v>
      </c>
      <c r="K895" s="8">
        <f t="shared" ca="1" si="117"/>
        <v>-6172.83935546875</v>
      </c>
      <c r="L895" s="62">
        <f>VLOOKUP($B895,Overall!$B$5:$I$13,8)</f>
        <v>0</v>
      </c>
      <c r="M895" s="58"/>
      <c r="N895" s="3" t="str">
        <f t="shared" si="118"/>
        <v/>
      </c>
      <c r="O895" s="3" t="str">
        <f t="shared" si="119"/>
        <v/>
      </c>
      <c r="P895" s="3" t="str">
        <f t="shared" si="120"/>
        <v/>
      </c>
      <c r="Q895" s="3">
        <f t="shared" si="121"/>
        <v>0</v>
      </c>
      <c r="R895" s="3">
        <f t="shared" si="122"/>
        <v>0</v>
      </c>
      <c r="S895" s="3" t="e" cm="1">
        <f t="array" aca="1" ref="S895" ca="1">SUMPRODUCT(MID($P895,ROW(INDIRECT("1:23")),1)*2^(-ROW(INDIRECT("1:23"))))</f>
        <v>#VALUE!</v>
      </c>
      <c r="T895" s="3" t="e">
        <f t="shared" ca="1" si="123"/>
        <v>#VALUE!</v>
      </c>
      <c r="U895" s="3" t="e">
        <f t="shared" ca="1" si="124"/>
        <v>#VALUE!</v>
      </c>
      <c r="V895" s="73"/>
      <c r="W895" s="9" t="str">
        <f t="shared" si="125"/>
        <v>OK</v>
      </c>
    </row>
    <row r="896" spans="1:23" x14ac:dyDescent="0.3">
      <c r="A896" s="44">
        <v>893</v>
      </c>
      <c r="B896" s="14">
        <v>9</v>
      </c>
      <c r="C896" s="4">
        <v>26</v>
      </c>
      <c r="D896" s="3" t="str">
        <f>VLOOKUP($C896,Overall!$K$5:$T$36,2)</f>
        <v>Normal</v>
      </c>
      <c r="E896" s="3">
        <f ca="1">VLOOKUP($C896,Overall!$K$5:$T$36,10)</f>
        <v>-0.5</v>
      </c>
      <c r="F896" s="9" t="str">
        <f>VLOOKUP($C896,Overall!$K$5:$T$36,6)</f>
        <v>10111111000000000000000000000000</v>
      </c>
      <c r="G896" s="8">
        <v>21</v>
      </c>
      <c r="H896" s="3" t="str">
        <f>VLOOKUP($G896,Overall!$K$5:$T$36,2)</f>
        <v>Normal</v>
      </c>
      <c r="I896" s="3">
        <f ca="1">VLOOKUP($G896,Overall!$K$5:$T$36,10)</f>
        <v>2.345678924830959E+38</v>
      </c>
      <c r="J896" s="62" t="str">
        <f>VLOOKUP($G896,Overall!$K$5:$T$36,6)</f>
        <v>01111111001100000111100000100010</v>
      </c>
      <c r="K896" s="8">
        <f t="shared" ca="1" si="117"/>
        <v>-1.1728394624154795E+38</v>
      </c>
      <c r="L896" s="62">
        <f>VLOOKUP($B896,Overall!$B$5:$I$13,8)</f>
        <v>0</v>
      </c>
      <c r="M896" s="58"/>
      <c r="N896" s="3" t="str">
        <f t="shared" si="118"/>
        <v/>
      </c>
      <c r="O896" s="3" t="str">
        <f t="shared" si="119"/>
        <v/>
      </c>
      <c r="P896" s="3" t="str">
        <f t="shared" si="120"/>
        <v/>
      </c>
      <c r="Q896" s="3">
        <f t="shared" si="121"/>
        <v>0</v>
      </c>
      <c r="R896" s="3">
        <f t="shared" si="122"/>
        <v>0</v>
      </c>
      <c r="S896" s="3" t="e" cm="1">
        <f t="array" aca="1" ref="S896" ca="1">SUMPRODUCT(MID($P896,ROW(INDIRECT("1:23")),1)*2^(-ROW(INDIRECT("1:23"))))</f>
        <v>#VALUE!</v>
      </c>
      <c r="T896" s="3" t="e">
        <f t="shared" ca="1" si="123"/>
        <v>#VALUE!</v>
      </c>
      <c r="U896" s="3" t="e">
        <f t="shared" ca="1" si="124"/>
        <v>#VALUE!</v>
      </c>
      <c r="V896" s="73"/>
      <c r="W896" s="9" t="str">
        <f t="shared" si="125"/>
        <v>OK</v>
      </c>
    </row>
    <row r="897" spans="1:23" x14ac:dyDescent="0.3">
      <c r="A897" s="44">
        <v>894</v>
      </c>
      <c r="B897" s="14">
        <v>9</v>
      </c>
      <c r="C897" s="4">
        <v>26</v>
      </c>
      <c r="D897" s="3" t="str">
        <f>VLOOKUP($C897,Overall!$K$5:$T$36,2)</f>
        <v>Normal</v>
      </c>
      <c r="E897" s="3">
        <f ca="1">VLOOKUP($C897,Overall!$K$5:$T$36,10)</f>
        <v>-0.5</v>
      </c>
      <c r="F897" s="9" t="str">
        <f>VLOOKUP($C897,Overall!$K$5:$T$36,6)</f>
        <v>10111111000000000000000000000000</v>
      </c>
      <c r="G897" s="8">
        <v>22</v>
      </c>
      <c r="H897" s="3" t="str">
        <f>VLOOKUP($G897,Overall!$K$5:$T$36,2)</f>
        <v>Normal</v>
      </c>
      <c r="I897" s="3">
        <f ca="1">VLOOKUP($G897,Overall!$K$5:$T$36,10)</f>
        <v>3.4028232635611926E+38</v>
      </c>
      <c r="J897" s="62" t="str">
        <f>VLOOKUP($G897,Overall!$K$5:$T$36,6)</f>
        <v>01111111011111111111111111111110</v>
      </c>
      <c r="K897" s="8">
        <f t="shared" ca="1" si="117"/>
        <v>-1.7014116317805963E+38</v>
      </c>
      <c r="L897" s="62">
        <f>VLOOKUP($B897,Overall!$B$5:$I$13,8)</f>
        <v>0</v>
      </c>
      <c r="M897" s="58"/>
      <c r="N897" s="3" t="str">
        <f t="shared" si="118"/>
        <v/>
      </c>
      <c r="O897" s="3" t="str">
        <f t="shared" si="119"/>
        <v/>
      </c>
      <c r="P897" s="3" t="str">
        <f t="shared" si="120"/>
        <v/>
      </c>
      <c r="Q897" s="3">
        <f t="shared" si="121"/>
        <v>0</v>
      </c>
      <c r="R897" s="3">
        <f t="shared" si="122"/>
        <v>0</v>
      </c>
      <c r="S897" s="3" t="e" cm="1">
        <f t="array" aca="1" ref="S897" ca="1">SUMPRODUCT(MID($P897,ROW(INDIRECT("1:23")),1)*2^(-ROW(INDIRECT("1:23"))))</f>
        <v>#VALUE!</v>
      </c>
      <c r="T897" s="3" t="e">
        <f t="shared" ca="1" si="123"/>
        <v>#VALUE!</v>
      </c>
      <c r="U897" s="3" t="e">
        <f t="shared" ca="1" si="124"/>
        <v>#VALUE!</v>
      </c>
      <c r="V897" s="73"/>
      <c r="W897" s="9" t="str">
        <f t="shared" si="125"/>
        <v>OK</v>
      </c>
    </row>
    <row r="898" spans="1:23" x14ac:dyDescent="0.3">
      <c r="A898" s="44">
        <v>895</v>
      </c>
      <c r="B898" s="14">
        <v>9</v>
      </c>
      <c r="C898" s="4">
        <v>26</v>
      </c>
      <c r="D898" s="3" t="str">
        <f>VLOOKUP($C898,Overall!$K$5:$T$36,2)</f>
        <v>Normal</v>
      </c>
      <c r="E898" s="3">
        <f ca="1">VLOOKUP($C898,Overall!$K$5:$T$36,10)</f>
        <v>-0.5</v>
      </c>
      <c r="F898" s="9" t="str">
        <f>VLOOKUP($C898,Overall!$K$5:$T$36,6)</f>
        <v>10111111000000000000000000000000</v>
      </c>
      <c r="G898" s="8">
        <v>23</v>
      </c>
      <c r="H898" s="3" t="str">
        <f>VLOOKUP($G898,Overall!$K$5:$T$36,2)</f>
        <v>Normal</v>
      </c>
      <c r="I898" s="3">
        <f ca="1">VLOOKUP($G898,Overall!$K$5:$T$36,10)</f>
        <v>3.4028234663852886E+38</v>
      </c>
      <c r="J898" s="62" t="str">
        <f>VLOOKUP($G898,Overall!$K$5:$T$36,6)</f>
        <v>01111111011111111111111111111111</v>
      </c>
      <c r="K898" s="8">
        <f t="shared" ca="1" si="117"/>
        <v>-1.7014117331926443E+38</v>
      </c>
      <c r="L898" s="62">
        <f>VLOOKUP($B898,Overall!$B$5:$I$13,8)</f>
        <v>0</v>
      </c>
      <c r="M898" s="58"/>
      <c r="N898" s="3" t="str">
        <f t="shared" si="118"/>
        <v/>
      </c>
      <c r="O898" s="3" t="str">
        <f t="shared" si="119"/>
        <v/>
      </c>
      <c r="P898" s="3" t="str">
        <f t="shared" si="120"/>
        <v/>
      </c>
      <c r="Q898" s="3">
        <f t="shared" si="121"/>
        <v>0</v>
      </c>
      <c r="R898" s="3">
        <f t="shared" si="122"/>
        <v>0</v>
      </c>
      <c r="S898" s="3" t="e" cm="1">
        <f t="array" aca="1" ref="S898" ca="1">SUMPRODUCT(MID($P898,ROW(INDIRECT("1:23")),1)*2^(-ROW(INDIRECT("1:23"))))</f>
        <v>#VALUE!</v>
      </c>
      <c r="T898" s="3" t="e">
        <f t="shared" ca="1" si="123"/>
        <v>#VALUE!</v>
      </c>
      <c r="U898" s="3" t="e">
        <f t="shared" ca="1" si="124"/>
        <v>#VALUE!</v>
      </c>
      <c r="V898" s="73"/>
      <c r="W898" s="9" t="str">
        <f t="shared" si="125"/>
        <v>OK</v>
      </c>
    </row>
    <row r="899" spans="1:23" x14ac:dyDescent="0.3">
      <c r="A899" s="44">
        <v>896</v>
      </c>
      <c r="B899" s="14">
        <v>9</v>
      </c>
      <c r="C899" s="4">
        <v>26</v>
      </c>
      <c r="D899" s="3" t="str">
        <f>VLOOKUP($C899,Overall!$K$5:$T$36,2)</f>
        <v>Normal</v>
      </c>
      <c r="E899" s="3">
        <f ca="1">VLOOKUP($C899,Overall!$K$5:$T$36,10)</f>
        <v>-0.5</v>
      </c>
      <c r="F899" s="9" t="str">
        <f>VLOOKUP($C899,Overall!$K$5:$T$36,6)</f>
        <v>10111111000000000000000000000000</v>
      </c>
      <c r="G899" s="8">
        <v>24</v>
      </c>
      <c r="H899" s="3" t="str">
        <f>VLOOKUP($G899,Overall!$K$5:$T$36,2)</f>
        <v>Normal</v>
      </c>
      <c r="I899" s="3">
        <f ca="1">VLOOKUP($G899,Overall!$K$5:$T$36,10)</f>
        <v>-1.1754943508222875E-38</v>
      </c>
      <c r="J899" s="62" t="str">
        <f>VLOOKUP($G899,Overall!$K$5:$T$36,6)</f>
        <v>10000000100000000000000000000000</v>
      </c>
      <c r="K899" s="8">
        <f t="shared" ca="1" si="117"/>
        <v>5.8774717541114375E-39</v>
      </c>
      <c r="L899" s="62">
        <f>VLOOKUP($B899,Overall!$B$5:$I$13,8)</f>
        <v>0</v>
      </c>
      <c r="M899" s="58"/>
      <c r="N899" s="3" t="str">
        <f t="shared" si="118"/>
        <v/>
      </c>
      <c r="O899" s="3" t="str">
        <f t="shared" si="119"/>
        <v/>
      </c>
      <c r="P899" s="3" t="str">
        <f t="shared" si="120"/>
        <v/>
      </c>
      <c r="Q899" s="3">
        <f t="shared" si="121"/>
        <v>0</v>
      </c>
      <c r="R899" s="3">
        <f t="shared" si="122"/>
        <v>0</v>
      </c>
      <c r="S899" s="3" t="e" cm="1">
        <f t="array" aca="1" ref="S899" ca="1">SUMPRODUCT(MID($P899,ROW(INDIRECT("1:23")),1)*2^(-ROW(INDIRECT("1:23"))))</f>
        <v>#VALUE!</v>
      </c>
      <c r="T899" s="3" t="e">
        <f t="shared" ca="1" si="123"/>
        <v>#VALUE!</v>
      </c>
      <c r="U899" s="3" t="e">
        <f t="shared" ca="1" si="124"/>
        <v>#VALUE!</v>
      </c>
      <c r="V899" s="73"/>
      <c r="W899" s="9" t="str">
        <f t="shared" si="125"/>
        <v>OK</v>
      </c>
    </row>
    <row r="900" spans="1:23" x14ac:dyDescent="0.3">
      <c r="A900" s="44">
        <v>897</v>
      </c>
      <c r="B900" s="14">
        <v>9</v>
      </c>
      <c r="C900" s="4">
        <v>26</v>
      </c>
      <c r="D900" s="3" t="str">
        <f>VLOOKUP($C900,Overall!$K$5:$T$36,2)</f>
        <v>Normal</v>
      </c>
      <c r="E900" s="3">
        <f ca="1">VLOOKUP($C900,Overall!$K$5:$T$36,10)</f>
        <v>-0.5</v>
      </c>
      <c r="F900" s="9" t="str">
        <f>VLOOKUP($C900,Overall!$K$5:$T$36,6)</f>
        <v>10111111000000000000000000000000</v>
      </c>
      <c r="G900" s="8">
        <v>25</v>
      </c>
      <c r="H900" s="3" t="str">
        <f>VLOOKUP($G900,Overall!$K$5:$T$36,2)</f>
        <v>Normal</v>
      </c>
      <c r="I900" s="3">
        <f ca="1">VLOOKUP($G900,Overall!$K$5:$T$36,10)</f>
        <v>-1.1754944909521339E-38</v>
      </c>
      <c r="J900" s="62" t="str">
        <f>VLOOKUP($G900,Overall!$K$5:$T$36,6)</f>
        <v>10000000100000000000000000000001</v>
      </c>
      <c r="K900" s="8">
        <f t="shared" ca="1" si="117"/>
        <v>5.8774724547606697E-39</v>
      </c>
      <c r="L900" s="62">
        <f>VLOOKUP($B900,Overall!$B$5:$I$13,8)</f>
        <v>0</v>
      </c>
      <c r="M900" s="58"/>
      <c r="N900" s="3" t="str">
        <f t="shared" si="118"/>
        <v/>
      </c>
      <c r="O900" s="3" t="str">
        <f t="shared" si="119"/>
        <v/>
      </c>
      <c r="P900" s="3" t="str">
        <f t="shared" si="120"/>
        <v/>
      </c>
      <c r="Q900" s="3">
        <f t="shared" si="121"/>
        <v>0</v>
      </c>
      <c r="R900" s="3">
        <f t="shared" si="122"/>
        <v>0</v>
      </c>
      <c r="S900" s="3" t="e" cm="1">
        <f t="array" aca="1" ref="S900" ca="1">SUMPRODUCT(MID($P900,ROW(INDIRECT("1:23")),1)*2^(-ROW(INDIRECT("1:23"))))</f>
        <v>#VALUE!</v>
      </c>
      <c r="T900" s="3" t="e">
        <f t="shared" ca="1" si="123"/>
        <v>#VALUE!</v>
      </c>
      <c r="U900" s="3" t="e">
        <f t="shared" ca="1" si="124"/>
        <v>#VALUE!</v>
      </c>
      <c r="V900" s="73"/>
      <c r="W900" s="9" t="str">
        <f t="shared" si="125"/>
        <v>OK</v>
      </c>
    </row>
    <row r="901" spans="1:23" x14ac:dyDescent="0.3">
      <c r="A901" s="44">
        <v>898</v>
      </c>
      <c r="B901" s="14">
        <v>9</v>
      </c>
      <c r="C901" s="4">
        <v>26</v>
      </c>
      <c r="D901" s="3" t="str">
        <f>VLOOKUP($C901,Overall!$K$5:$T$36,2)</f>
        <v>Normal</v>
      </c>
      <c r="E901" s="3">
        <f ca="1">VLOOKUP($C901,Overall!$K$5:$T$36,10)</f>
        <v>-0.5</v>
      </c>
      <c r="F901" s="9" t="str">
        <f>VLOOKUP($C901,Overall!$K$5:$T$36,6)</f>
        <v>10111111000000000000000000000000</v>
      </c>
      <c r="G901" s="8">
        <v>26</v>
      </c>
      <c r="H901" s="3" t="str">
        <f>VLOOKUP($G901,Overall!$K$5:$T$36,2)</f>
        <v>Normal</v>
      </c>
      <c r="I901" s="3">
        <f ca="1">VLOOKUP($G901,Overall!$K$5:$T$36,10)</f>
        <v>-0.5</v>
      </c>
      <c r="J901" s="62" t="str">
        <f>VLOOKUP($G901,Overall!$K$5:$T$36,6)</f>
        <v>10111111000000000000000000000000</v>
      </c>
      <c r="K901" s="8">
        <f t="shared" ref="K901:K964" ca="1" si="126">E901*I901</f>
        <v>0.25</v>
      </c>
      <c r="L901" s="62">
        <f>VLOOKUP($B901,Overall!$B$5:$I$13,8)</f>
        <v>0</v>
      </c>
      <c r="M901" s="58"/>
      <c r="N901" s="3" t="str">
        <f t="shared" ref="N901:N964" si="127">LEFT($M901,1)</f>
        <v/>
      </c>
      <c r="O901" s="3" t="str">
        <f t="shared" ref="O901:O964" si="128">MID($M901,2,8)</f>
        <v/>
      </c>
      <c r="P901" s="3" t="str">
        <f t="shared" ref="P901:P964" si="129">MID($M901,10,23)</f>
        <v/>
      </c>
      <c r="Q901" s="3">
        <f t="shared" ref="Q901:Q964" si="130">BIN2DEC($N901)</f>
        <v>0</v>
      </c>
      <c r="R901" s="3">
        <f t="shared" ref="R901:R964" si="131">BIN2DEC($O901)</f>
        <v>0</v>
      </c>
      <c r="S901" s="3" t="e" cm="1">
        <f t="array" aca="1" ref="S901" ca="1">SUMPRODUCT(MID($P901,ROW(INDIRECT("1:23")),1)*2^(-ROW(INDIRECT("1:23"))))</f>
        <v>#VALUE!</v>
      </c>
      <c r="T901" s="3" t="e">
        <f t="shared" ref="T901:T964" ca="1" si="132">IF($R901=0,
   (-1)^$Q901 * $S901 * 2^(-126),
   (-1)^$Q901 * (1 + $S901) * 2^($R901 - 127)
)</f>
        <v>#VALUE!</v>
      </c>
      <c r="U901" s="3" t="e">
        <f t="shared" ref="U901:U964" ca="1" si="133">$T901-$K901</f>
        <v>#VALUE!</v>
      </c>
      <c r="V901" s="73"/>
      <c r="W901" s="9" t="str">
        <f t="shared" ref="W901:W964" si="134">IF(L901=V901,"OK","NG")</f>
        <v>OK</v>
      </c>
    </row>
    <row r="902" spans="1:23" x14ac:dyDescent="0.3">
      <c r="A902" s="44">
        <v>899</v>
      </c>
      <c r="B902" s="14">
        <v>9</v>
      </c>
      <c r="C902" s="4">
        <v>26</v>
      </c>
      <c r="D902" s="3" t="str">
        <f>VLOOKUP($C902,Overall!$K$5:$T$36,2)</f>
        <v>Normal</v>
      </c>
      <c r="E902" s="3">
        <f ca="1">VLOOKUP($C902,Overall!$K$5:$T$36,10)</f>
        <v>-0.5</v>
      </c>
      <c r="F902" s="9" t="str">
        <f>VLOOKUP($C902,Overall!$K$5:$T$36,6)</f>
        <v>10111111000000000000000000000000</v>
      </c>
      <c r="G902" s="8">
        <v>27</v>
      </c>
      <c r="H902" s="3" t="str">
        <f>VLOOKUP($G902,Overall!$K$5:$T$36,2)</f>
        <v>Normal</v>
      </c>
      <c r="I902" s="3">
        <f ca="1">VLOOKUP($G902,Overall!$K$5:$T$36,10)</f>
        <v>-1</v>
      </c>
      <c r="J902" s="62" t="str">
        <f>VLOOKUP($G902,Overall!$K$5:$T$36,6)</f>
        <v>10111111100000000000000000000000</v>
      </c>
      <c r="K902" s="8">
        <f t="shared" ca="1" si="126"/>
        <v>0.5</v>
      </c>
      <c r="L902" s="62">
        <f>VLOOKUP($B902,Overall!$B$5:$I$13,8)</f>
        <v>0</v>
      </c>
      <c r="M902" s="58"/>
      <c r="N902" s="3" t="str">
        <f t="shared" si="127"/>
        <v/>
      </c>
      <c r="O902" s="3" t="str">
        <f t="shared" si="128"/>
        <v/>
      </c>
      <c r="P902" s="3" t="str">
        <f t="shared" si="129"/>
        <v/>
      </c>
      <c r="Q902" s="3">
        <f t="shared" si="130"/>
        <v>0</v>
      </c>
      <c r="R902" s="3">
        <f t="shared" si="131"/>
        <v>0</v>
      </c>
      <c r="S902" s="3" t="e" cm="1">
        <f t="array" aca="1" ref="S902" ca="1">SUMPRODUCT(MID($P902,ROW(INDIRECT("1:23")),1)*2^(-ROW(INDIRECT("1:23"))))</f>
        <v>#VALUE!</v>
      </c>
      <c r="T902" s="3" t="e">
        <f t="shared" ca="1" si="132"/>
        <v>#VALUE!</v>
      </c>
      <c r="U902" s="3" t="e">
        <f t="shared" ca="1" si="133"/>
        <v>#VALUE!</v>
      </c>
      <c r="V902" s="73"/>
      <c r="W902" s="9" t="str">
        <f t="shared" si="134"/>
        <v>OK</v>
      </c>
    </row>
    <row r="903" spans="1:23" x14ac:dyDescent="0.3">
      <c r="A903" s="44">
        <v>900</v>
      </c>
      <c r="B903" s="14">
        <v>9</v>
      </c>
      <c r="C903" s="4">
        <v>26</v>
      </c>
      <c r="D903" s="3" t="str">
        <f>VLOOKUP($C903,Overall!$K$5:$T$36,2)</f>
        <v>Normal</v>
      </c>
      <c r="E903" s="3">
        <f ca="1">VLOOKUP($C903,Overall!$K$5:$T$36,10)</f>
        <v>-0.5</v>
      </c>
      <c r="F903" s="9" t="str">
        <f>VLOOKUP($C903,Overall!$K$5:$T$36,6)</f>
        <v>10111111000000000000000000000000</v>
      </c>
      <c r="G903" s="8">
        <v>28</v>
      </c>
      <c r="H903" s="3" t="str">
        <f>VLOOKUP($G903,Overall!$K$5:$T$36,2)</f>
        <v>Normal</v>
      </c>
      <c r="I903" s="3">
        <f ca="1">VLOOKUP($G903,Overall!$K$5:$T$36,10)</f>
        <v>-1.5</v>
      </c>
      <c r="J903" s="62" t="str">
        <f>VLOOKUP($G903,Overall!$K$5:$T$36,6)</f>
        <v>10111111110000000000000000000000</v>
      </c>
      <c r="K903" s="8">
        <f t="shared" ca="1" si="126"/>
        <v>0.75</v>
      </c>
      <c r="L903" s="62">
        <f>VLOOKUP($B903,Overall!$B$5:$I$13,8)</f>
        <v>0</v>
      </c>
      <c r="M903" s="58"/>
      <c r="N903" s="3" t="str">
        <f t="shared" si="127"/>
        <v/>
      </c>
      <c r="O903" s="3" t="str">
        <f t="shared" si="128"/>
        <v/>
      </c>
      <c r="P903" s="3" t="str">
        <f t="shared" si="129"/>
        <v/>
      </c>
      <c r="Q903" s="3">
        <f t="shared" si="130"/>
        <v>0</v>
      </c>
      <c r="R903" s="3">
        <f t="shared" si="131"/>
        <v>0</v>
      </c>
      <c r="S903" s="3" t="e" cm="1">
        <f t="array" aca="1" ref="S903" ca="1">SUMPRODUCT(MID($P903,ROW(INDIRECT("1:23")),1)*2^(-ROW(INDIRECT("1:23"))))</f>
        <v>#VALUE!</v>
      </c>
      <c r="T903" s="3" t="e">
        <f t="shared" ca="1" si="132"/>
        <v>#VALUE!</v>
      </c>
      <c r="U903" s="3" t="e">
        <f t="shared" ca="1" si="133"/>
        <v>#VALUE!</v>
      </c>
      <c r="V903" s="73"/>
      <c r="W903" s="9" t="str">
        <f t="shared" si="134"/>
        <v>OK</v>
      </c>
    </row>
    <row r="904" spans="1:23" x14ac:dyDescent="0.3">
      <c r="A904" s="44">
        <v>901</v>
      </c>
      <c r="B904" s="14">
        <v>9</v>
      </c>
      <c r="C904" s="4">
        <v>26</v>
      </c>
      <c r="D904" s="3" t="str">
        <f>VLOOKUP($C904,Overall!$K$5:$T$36,2)</f>
        <v>Normal</v>
      </c>
      <c r="E904" s="3">
        <f ca="1">VLOOKUP($C904,Overall!$K$5:$T$36,10)</f>
        <v>-0.5</v>
      </c>
      <c r="F904" s="9" t="str">
        <f>VLOOKUP($C904,Overall!$K$5:$T$36,6)</f>
        <v>10111111000000000000000000000000</v>
      </c>
      <c r="G904" s="8">
        <v>29</v>
      </c>
      <c r="H904" s="3" t="str">
        <f>VLOOKUP($G904,Overall!$K$5:$T$36,2)</f>
        <v>Normal</v>
      </c>
      <c r="I904" s="3">
        <f ca="1">VLOOKUP($G904,Overall!$K$5:$T$36,10)</f>
        <v>-12345.6787109375</v>
      </c>
      <c r="J904" s="62" t="str">
        <f>VLOOKUP($G904,Overall!$K$5:$T$36,6)</f>
        <v>101000110010000001110011010110111</v>
      </c>
      <c r="K904" s="8">
        <f t="shared" ca="1" si="126"/>
        <v>6172.83935546875</v>
      </c>
      <c r="L904" s="62">
        <f>VLOOKUP($B904,Overall!$B$5:$I$13,8)</f>
        <v>0</v>
      </c>
      <c r="M904" s="58"/>
      <c r="N904" s="3" t="str">
        <f t="shared" si="127"/>
        <v/>
      </c>
      <c r="O904" s="3" t="str">
        <f t="shared" si="128"/>
        <v/>
      </c>
      <c r="P904" s="3" t="str">
        <f t="shared" si="129"/>
        <v/>
      </c>
      <c r="Q904" s="3">
        <f t="shared" si="130"/>
        <v>0</v>
      </c>
      <c r="R904" s="3">
        <f t="shared" si="131"/>
        <v>0</v>
      </c>
      <c r="S904" s="3" t="e" cm="1">
        <f t="array" aca="1" ref="S904" ca="1">SUMPRODUCT(MID($P904,ROW(INDIRECT("1:23")),1)*2^(-ROW(INDIRECT("1:23"))))</f>
        <v>#VALUE!</v>
      </c>
      <c r="T904" s="3" t="e">
        <f t="shared" ca="1" si="132"/>
        <v>#VALUE!</v>
      </c>
      <c r="U904" s="3" t="e">
        <f t="shared" ca="1" si="133"/>
        <v>#VALUE!</v>
      </c>
      <c r="V904" s="73"/>
      <c r="W904" s="9" t="str">
        <f t="shared" si="134"/>
        <v>OK</v>
      </c>
    </row>
    <row r="905" spans="1:23" x14ac:dyDescent="0.3">
      <c r="A905" s="44">
        <v>902</v>
      </c>
      <c r="B905" s="14">
        <v>9</v>
      </c>
      <c r="C905" s="4">
        <v>26</v>
      </c>
      <c r="D905" s="3" t="str">
        <f>VLOOKUP($C905,Overall!$K$5:$T$36,2)</f>
        <v>Normal</v>
      </c>
      <c r="E905" s="3">
        <f ca="1">VLOOKUP($C905,Overall!$K$5:$T$36,10)</f>
        <v>-0.5</v>
      </c>
      <c r="F905" s="9" t="str">
        <f>VLOOKUP($C905,Overall!$K$5:$T$36,6)</f>
        <v>10111111000000000000000000000000</v>
      </c>
      <c r="G905" s="8">
        <v>30</v>
      </c>
      <c r="H905" s="3" t="str">
        <f>VLOOKUP($G905,Overall!$K$5:$T$36,2)</f>
        <v>Normal</v>
      </c>
      <c r="I905" s="3">
        <f ca="1">VLOOKUP($G905,Overall!$K$5:$T$36,10)</f>
        <v>-2.345678924830959E+38</v>
      </c>
      <c r="J905" s="62" t="str">
        <f>VLOOKUP($G905,Overall!$K$5:$T$36,6)</f>
        <v>11111111001100000111100000100010</v>
      </c>
      <c r="K905" s="8">
        <f t="shared" ca="1" si="126"/>
        <v>1.1728394624154795E+38</v>
      </c>
      <c r="L905" s="62">
        <f>VLOOKUP($B905,Overall!$B$5:$I$13,8)</f>
        <v>0</v>
      </c>
      <c r="M905" s="58"/>
      <c r="N905" s="3" t="str">
        <f t="shared" si="127"/>
        <v/>
      </c>
      <c r="O905" s="3" t="str">
        <f t="shared" si="128"/>
        <v/>
      </c>
      <c r="P905" s="3" t="str">
        <f t="shared" si="129"/>
        <v/>
      </c>
      <c r="Q905" s="3">
        <f t="shared" si="130"/>
        <v>0</v>
      </c>
      <c r="R905" s="3">
        <f t="shared" si="131"/>
        <v>0</v>
      </c>
      <c r="S905" s="3" t="e" cm="1">
        <f t="array" aca="1" ref="S905" ca="1">SUMPRODUCT(MID($P905,ROW(INDIRECT("1:23")),1)*2^(-ROW(INDIRECT("1:23"))))</f>
        <v>#VALUE!</v>
      </c>
      <c r="T905" s="3" t="e">
        <f t="shared" ca="1" si="132"/>
        <v>#VALUE!</v>
      </c>
      <c r="U905" s="3" t="e">
        <f t="shared" ca="1" si="133"/>
        <v>#VALUE!</v>
      </c>
      <c r="V905" s="73"/>
      <c r="W905" s="9" t="str">
        <f t="shared" si="134"/>
        <v>OK</v>
      </c>
    </row>
    <row r="906" spans="1:23" x14ac:dyDescent="0.3">
      <c r="A906" s="44">
        <v>903</v>
      </c>
      <c r="B906" s="14">
        <v>9</v>
      </c>
      <c r="C906" s="4">
        <v>26</v>
      </c>
      <c r="D906" s="3" t="str">
        <f>VLOOKUP($C906,Overall!$K$5:$T$36,2)</f>
        <v>Normal</v>
      </c>
      <c r="E906" s="3">
        <f ca="1">VLOOKUP($C906,Overall!$K$5:$T$36,10)</f>
        <v>-0.5</v>
      </c>
      <c r="F906" s="9" t="str">
        <f>VLOOKUP($C906,Overall!$K$5:$T$36,6)</f>
        <v>10111111000000000000000000000000</v>
      </c>
      <c r="G906" s="8">
        <v>31</v>
      </c>
      <c r="H906" s="3" t="str">
        <f>VLOOKUP($G906,Overall!$K$5:$T$36,2)</f>
        <v>Normal</v>
      </c>
      <c r="I906" s="3">
        <f ca="1">VLOOKUP($G906,Overall!$K$5:$T$36,10)</f>
        <v>-3.4028232635611926E+38</v>
      </c>
      <c r="J906" s="62" t="str">
        <f>VLOOKUP($G906,Overall!$K$5:$T$36,6)</f>
        <v>11111111011111111111111111111110</v>
      </c>
      <c r="K906" s="8">
        <f t="shared" ca="1" si="126"/>
        <v>1.7014116317805963E+38</v>
      </c>
      <c r="L906" s="62">
        <f>VLOOKUP($B906,Overall!$B$5:$I$13,8)</f>
        <v>0</v>
      </c>
      <c r="M906" s="58"/>
      <c r="N906" s="3" t="str">
        <f t="shared" si="127"/>
        <v/>
      </c>
      <c r="O906" s="3" t="str">
        <f t="shared" si="128"/>
        <v/>
      </c>
      <c r="P906" s="3" t="str">
        <f t="shared" si="129"/>
        <v/>
      </c>
      <c r="Q906" s="3">
        <f t="shared" si="130"/>
        <v>0</v>
      </c>
      <c r="R906" s="3">
        <f t="shared" si="131"/>
        <v>0</v>
      </c>
      <c r="S906" s="3" t="e" cm="1">
        <f t="array" aca="1" ref="S906" ca="1">SUMPRODUCT(MID($P906,ROW(INDIRECT("1:23")),1)*2^(-ROW(INDIRECT("1:23"))))</f>
        <v>#VALUE!</v>
      </c>
      <c r="T906" s="3" t="e">
        <f t="shared" ca="1" si="132"/>
        <v>#VALUE!</v>
      </c>
      <c r="U906" s="3" t="e">
        <f t="shared" ca="1" si="133"/>
        <v>#VALUE!</v>
      </c>
      <c r="V906" s="73"/>
      <c r="W906" s="9" t="str">
        <f t="shared" si="134"/>
        <v>OK</v>
      </c>
    </row>
    <row r="907" spans="1:23" x14ac:dyDescent="0.3">
      <c r="A907" s="44">
        <v>904</v>
      </c>
      <c r="B907" s="14">
        <v>9</v>
      </c>
      <c r="C907" s="4">
        <v>26</v>
      </c>
      <c r="D907" s="3" t="str">
        <f>VLOOKUP($C907,Overall!$K$5:$T$36,2)</f>
        <v>Normal</v>
      </c>
      <c r="E907" s="3">
        <f ca="1">VLOOKUP($C907,Overall!$K$5:$T$36,10)</f>
        <v>-0.5</v>
      </c>
      <c r="F907" s="9" t="str">
        <f>VLOOKUP($C907,Overall!$K$5:$T$36,6)</f>
        <v>10111111000000000000000000000000</v>
      </c>
      <c r="G907" s="8">
        <v>32</v>
      </c>
      <c r="H907" s="3" t="str">
        <f>VLOOKUP($G907,Overall!$K$5:$T$36,2)</f>
        <v>Normal</v>
      </c>
      <c r="I907" s="3">
        <f ca="1">VLOOKUP($G907,Overall!$K$5:$T$36,10)</f>
        <v>-3.4028234663852886E+38</v>
      </c>
      <c r="J907" s="62" t="str">
        <f>VLOOKUP($G907,Overall!$K$5:$T$36,6)</f>
        <v>11111111011111111111111111111111</v>
      </c>
      <c r="K907" s="8">
        <f t="shared" ca="1" si="126"/>
        <v>1.7014117331926443E+38</v>
      </c>
      <c r="L907" s="62">
        <f>VLOOKUP($B907,Overall!$B$5:$I$13,8)</f>
        <v>0</v>
      </c>
      <c r="M907" s="58"/>
      <c r="N907" s="3" t="str">
        <f t="shared" si="127"/>
        <v/>
      </c>
      <c r="O907" s="3" t="str">
        <f t="shared" si="128"/>
        <v/>
      </c>
      <c r="P907" s="3" t="str">
        <f t="shared" si="129"/>
        <v/>
      </c>
      <c r="Q907" s="3">
        <f t="shared" si="130"/>
        <v>0</v>
      </c>
      <c r="R907" s="3">
        <f t="shared" si="131"/>
        <v>0</v>
      </c>
      <c r="S907" s="3" t="e" cm="1">
        <f t="array" aca="1" ref="S907" ca="1">SUMPRODUCT(MID($P907,ROW(INDIRECT("1:23")),1)*2^(-ROW(INDIRECT("1:23"))))</f>
        <v>#VALUE!</v>
      </c>
      <c r="T907" s="3" t="e">
        <f t="shared" ca="1" si="132"/>
        <v>#VALUE!</v>
      </c>
      <c r="U907" s="3" t="e">
        <f t="shared" ca="1" si="133"/>
        <v>#VALUE!</v>
      </c>
      <c r="V907" s="73"/>
      <c r="W907" s="9" t="str">
        <f t="shared" si="134"/>
        <v>OK</v>
      </c>
    </row>
    <row r="908" spans="1:23" x14ac:dyDescent="0.3">
      <c r="A908" s="44">
        <v>905</v>
      </c>
      <c r="B908" s="14">
        <v>9</v>
      </c>
      <c r="C908" s="4">
        <v>27</v>
      </c>
      <c r="D908" s="3" t="str">
        <f>VLOOKUP($C908,Overall!$K$5:$T$36,2)</f>
        <v>Normal</v>
      </c>
      <c r="E908" s="3">
        <f ca="1">VLOOKUP($C908,Overall!$K$5:$T$36,10)</f>
        <v>-1</v>
      </c>
      <c r="F908" s="9" t="str">
        <f>VLOOKUP($C908,Overall!$K$5:$T$36,6)</f>
        <v>10111111100000000000000000000000</v>
      </c>
      <c r="G908" s="8">
        <v>13</v>
      </c>
      <c r="H908" s="3" t="str">
        <f>VLOOKUP($G908,Overall!$K$5:$T$36,2)</f>
        <v>Normal</v>
      </c>
      <c r="I908" s="3">
        <f ca="1">VLOOKUP($G908,Overall!$K$5:$T$36,10)</f>
        <v>0</v>
      </c>
      <c r="J908" s="62" t="str">
        <f>VLOOKUP($G908,Overall!$K$5:$T$36,6)</f>
        <v>00000000000000000000000000000000</v>
      </c>
      <c r="K908" s="8">
        <f t="shared" ca="1" si="126"/>
        <v>0</v>
      </c>
      <c r="L908" s="62">
        <f>VLOOKUP($B908,Overall!$B$5:$I$13,8)</f>
        <v>0</v>
      </c>
      <c r="M908" s="58"/>
      <c r="N908" s="3" t="str">
        <f t="shared" si="127"/>
        <v/>
      </c>
      <c r="O908" s="3" t="str">
        <f t="shared" si="128"/>
        <v/>
      </c>
      <c r="P908" s="3" t="str">
        <f t="shared" si="129"/>
        <v/>
      </c>
      <c r="Q908" s="3">
        <f t="shared" si="130"/>
        <v>0</v>
      </c>
      <c r="R908" s="3">
        <f t="shared" si="131"/>
        <v>0</v>
      </c>
      <c r="S908" s="3" t="e" cm="1">
        <f t="array" aca="1" ref="S908" ca="1">SUMPRODUCT(MID($P908,ROW(INDIRECT("1:23")),1)*2^(-ROW(INDIRECT("1:23"))))</f>
        <v>#VALUE!</v>
      </c>
      <c r="T908" s="3" t="e">
        <f t="shared" ca="1" si="132"/>
        <v>#VALUE!</v>
      </c>
      <c r="U908" s="3" t="e">
        <f t="shared" ca="1" si="133"/>
        <v>#VALUE!</v>
      </c>
      <c r="V908" s="73"/>
      <c r="W908" s="9" t="str">
        <f t="shared" si="134"/>
        <v>OK</v>
      </c>
    </row>
    <row r="909" spans="1:23" x14ac:dyDescent="0.3">
      <c r="A909" s="44">
        <v>906</v>
      </c>
      <c r="B909" s="14">
        <v>9</v>
      </c>
      <c r="C909" s="4">
        <v>27</v>
      </c>
      <c r="D909" s="3" t="str">
        <f>VLOOKUP($C909,Overall!$K$5:$T$36,2)</f>
        <v>Normal</v>
      </c>
      <c r="E909" s="3">
        <f ca="1">VLOOKUP($C909,Overall!$K$5:$T$36,10)</f>
        <v>-1</v>
      </c>
      <c r="F909" s="9" t="str">
        <f>VLOOKUP($C909,Overall!$K$5:$T$36,6)</f>
        <v>10111111100000000000000000000000</v>
      </c>
      <c r="G909" s="8">
        <v>14</v>
      </c>
      <c r="H909" s="3" t="str">
        <f>VLOOKUP($G909,Overall!$K$5:$T$36,2)</f>
        <v>Normal</v>
      </c>
      <c r="I909" s="3">
        <f ca="1">VLOOKUP($G909,Overall!$K$5:$T$36,10)</f>
        <v>0</v>
      </c>
      <c r="J909" s="62" t="str">
        <f>VLOOKUP($G909,Overall!$K$5:$T$36,6)</f>
        <v>10000000000000000000000000000000</v>
      </c>
      <c r="K909" s="8">
        <f t="shared" ca="1" si="126"/>
        <v>0</v>
      </c>
      <c r="L909" s="62">
        <f>VLOOKUP($B909,Overall!$B$5:$I$13,8)</f>
        <v>0</v>
      </c>
      <c r="M909" s="58"/>
      <c r="N909" s="3" t="str">
        <f t="shared" si="127"/>
        <v/>
      </c>
      <c r="O909" s="3" t="str">
        <f t="shared" si="128"/>
        <v/>
      </c>
      <c r="P909" s="3" t="str">
        <f t="shared" si="129"/>
        <v/>
      </c>
      <c r="Q909" s="3">
        <f t="shared" si="130"/>
        <v>0</v>
      </c>
      <c r="R909" s="3">
        <f t="shared" si="131"/>
        <v>0</v>
      </c>
      <c r="S909" s="3" t="e" cm="1">
        <f t="array" aca="1" ref="S909" ca="1">SUMPRODUCT(MID($P909,ROW(INDIRECT("1:23")),1)*2^(-ROW(INDIRECT("1:23"))))</f>
        <v>#VALUE!</v>
      </c>
      <c r="T909" s="3" t="e">
        <f t="shared" ca="1" si="132"/>
        <v>#VALUE!</v>
      </c>
      <c r="U909" s="3" t="e">
        <f t="shared" ca="1" si="133"/>
        <v>#VALUE!</v>
      </c>
      <c r="V909" s="73"/>
      <c r="W909" s="9" t="str">
        <f t="shared" si="134"/>
        <v>OK</v>
      </c>
    </row>
    <row r="910" spans="1:23" x14ac:dyDescent="0.3">
      <c r="A910" s="44">
        <v>907</v>
      </c>
      <c r="B910" s="14">
        <v>9</v>
      </c>
      <c r="C910" s="4">
        <v>27</v>
      </c>
      <c r="D910" s="3" t="str">
        <f>VLOOKUP($C910,Overall!$K$5:$T$36,2)</f>
        <v>Normal</v>
      </c>
      <c r="E910" s="3">
        <f ca="1">VLOOKUP($C910,Overall!$K$5:$T$36,10)</f>
        <v>-1</v>
      </c>
      <c r="F910" s="9" t="str">
        <f>VLOOKUP($C910,Overall!$K$5:$T$36,6)</f>
        <v>10111111100000000000000000000000</v>
      </c>
      <c r="G910" s="8">
        <v>15</v>
      </c>
      <c r="H910" s="3" t="str">
        <f>VLOOKUP($G910,Overall!$K$5:$T$36,2)</f>
        <v>Normal</v>
      </c>
      <c r="I910" s="3">
        <f ca="1">VLOOKUP($G910,Overall!$K$5:$T$36,10)</f>
        <v>1.1754943508222875E-38</v>
      </c>
      <c r="J910" s="62" t="str">
        <f>VLOOKUP($G910,Overall!$K$5:$T$36,6)</f>
        <v>00000000100000000000000000000000</v>
      </c>
      <c r="K910" s="8">
        <f t="shared" ca="1" si="126"/>
        <v>-1.1754943508222875E-38</v>
      </c>
      <c r="L910" s="62">
        <f>VLOOKUP($B910,Overall!$B$5:$I$13,8)</f>
        <v>0</v>
      </c>
      <c r="M910" s="58"/>
      <c r="N910" s="3" t="str">
        <f t="shared" si="127"/>
        <v/>
      </c>
      <c r="O910" s="3" t="str">
        <f t="shared" si="128"/>
        <v/>
      </c>
      <c r="P910" s="3" t="str">
        <f t="shared" si="129"/>
        <v/>
      </c>
      <c r="Q910" s="3">
        <f t="shared" si="130"/>
        <v>0</v>
      </c>
      <c r="R910" s="3">
        <f t="shared" si="131"/>
        <v>0</v>
      </c>
      <c r="S910" s="3" t="e" cm="1">
        <f t="array" aca="1" ref="S910" ca="1">SUMPRODUCT(MID($P910,ROW(INDIRECT("1:23")),1)*2^(-ROW(INDIRECT("1:23"))))</f>
        <v>#VALUE!</v>
      </c>
      <c r="T910" s="3" t="e">
        <f t="shared" ca="1" si="132"/>
        <v>#VALUE!</v>
      </c>
      <c r="U910" s="3" t="e">
        <f t="shared" ca="1" si="133"/>
        <v>#VALUE!</v>
      </c>
      <c r="V910" s="73"/>
      <c r="W910" s="9" t="str">
        <f t="shared" si="134"/>
        <v>OK</v>
      </c>
    </row>
    <row r="911" spans="1:23" x14ac:dyDescent="0.3">
      <c r="A911" s="44">
        <v>908</v>
      </c>
      <c r="B911" s="14">
        <v>9</v>
      </c>
      <c r="C911" s="4">
        <v>27</v>
      </c>
      <c r="D911" s="3" t="str">
        <f>VLOOKUP($C911,Overall!$K$5:$T$36,2)</f>
        <v>Normal</v>
      </c>
      <c r="E911" s="3">
        <f ca="1">VLOOKUP($C911,Overall!$K$5:$T$36,10)</f>
        <v>-1</v>
      </c>
      <c r="F911" s="9" t="str">
        <f>VLOOKUP($C911,Overall!$K$5:$T$36,6)</f>
        <v>10111111100000000000000000000000</v>
      </c>
      <c r="G911" s="8">
        <v>16</v>
      </c>
      <c r="H911" s="3" t="str">
        <f>VLOOKUP($G911,Overall!$K$5:$T$36,2)</f>
        <v>Normal</v>
      </c>
      <c r="I911" s="3">
        <f ca="1">VLOOKUP($G911,Overall!$K$5:$T$36,10)</f>
        <v>1.1754944909521339E-38</v>
      </c>
      <c r="J911" s="62" t="str">
        <f>VLOOKUP($G911,Overall!$K$5:$T$36,6)</f>
        <v>00000000100000000000000000000001</v>
      </c>
      <c r="K911" s="8">
        <f t="shared" ca="1" si="126"/>
        <v>-1.1754944909521339E-38</v>
      </c>
      <c r="L911" s="62">
        <f>VLOOKUP($B911,Overall!$B$5:$I$13,8)</f>
        <v>0</v>
      </c>
      <c r="M911" s="58"/>
      <c r="N911" s="3" t="str">
        <f t="shared" si="127"/>
        <v/>
      </c>
      <c r="O911" s="3" t="str">
        <f t="shared" si="128"/>
        <v/>
      </c>
      <c r="P911" s="3" t="str">
        <f t="shared" si="129"/>
        <v/>
      </c>
      <c r="Q911" s="3">
        <f t="shared" si="130"/>
        <v>0</v>
      </c>
      <c r="R911" s="3">
        <f t="shared" si="131"/>
        <v>0</v>
      </c>
      <c r="S911" s="3" t="e" cm="1">
        <f t="array" aca="1" ref="S911" ca="1">SUMPRODUCT(MID($P911,ROW(INDIRECT("1:23")),1)*2^(-ROW(INDIRECT("1:23"))))</f>
        <v>#VALUE!</v>
      </c>
      <c r="T911" s="3" t="e">
        <f t="shared" ca="1" si="132"/>
        <v>#VALUE!</v>
      </c>
      <c r="U911" s="3" t="e">
        <f t="shared" ca="1" si="133"/>
        <v>#VALUE!</v>
      </c>
      <c r="V911" s="73"/>
      <c r="W911" s="9" t="str">
        <f t="shared" si="134"/>
        <v>OK</v>
      </c>
    </row>
    <row r="912" spans="1:23" x14ac:dyDescent="0.3">
      <c r="A912" s="44">
        <v>909</v>
      </c>
      <c r="B912" s="14">
        <v>9</v>
      </c>
      <c r="C912" s="4">
        <v>27</v>
      </c>
      <c r="D912" s="3" t="str">
        <f>VLOOKUP($C912,Overall!$K$5:$T$36,2)</f>
        <v>Normal</v>
      </c>
      <c r="E912" s="3">
        <f ca="1">VLOOKUP($C912,Overall!$K$5:$T$36,10)</f>
        <v>-1</v>
      </c>
      <c r="F912" s="9" t="str">
        <f>VLOOKUP($C912,Overall!$K$5:$T$36,6)</f>
        <v>10111111100000000000000000000000</v>
      </c>
      <c r="G912" s="8">
        <v>17</v>
      </c>
      <c r="H912" s="3" t="str">
        <f>VLOOKUP($G912,Overall!$K$5:$T$36,2)</f>
        <v>Normal</v>
      </c>
      <c r="I912" s="3">
        <f ca="1">VLOOKUP($G912,Overall!$K$5:$T$36,10)</f>
        <v>0.5</v>
      </c>
      <c r="J912" s="62" t="str">
        <f>VLOOKUP($G912,Overall!$K$5:$T$36,6)</f>
        <v>00111111000000000000000000000000</v>
      </c>
      <c r="K912" s="8">
        <f t="shared" ca="1" si="126"/>
        <v>-0.5</v>
      </c>
      <c r="L912" s="62">
        <f>VLOOKUP($B912,Overall!$B$5:$I$13,8)</f>
        <v>0</v>
      </c>
      <c r="M912" s="58"/>
      <c r="N912" s="3" t="str">
        <f t="shared" si="127"/>
        <v/>
      </c>
      <c r="O912" s="3" t="str">
        <f t="shared" si="128"/>
        <v/>
      </c>
      <c r="P912" s="3" t="str">
        <f t="shared" si="129"/>
        <v/>
      </c>
      <c r="Q912" s="3">
        <f t="shared" si="130"/>
        <v>0</v>
      </c>
      <c r="R912" s="3">
        <f t="shared" si="131"/>
        <v>0</v>
      </c>
      <c r="S912" s="3" t="e" cm="1">
        <f t="array" aca="1" ref="S912" ca="1">SUMPRODUCT(MID($P912,ROW(INDIRECT("1:23")),1)*2^(-ROW(INDIRECT("1:23"))))</f>
        <v>#VALUE!</v>
      </c>
      <c r="T912" s="3" t="e">
        <f t="shared" ca="1" si="132"/>
        <v>#VALUE!</v>
      </c>
      <c r="U912" s="3" t="e">
        <f t="shared" ca="1" si="133"/>
        <v>#VALUE!</v>
      </c>
      <c r="V912" s="73"/>
      <c r="W912" s="9" t="str">
        <f t="shared" si="134"/>
        <v>OK</v>
      </c>
    </row>
    <row r="913" spans="1:23" x14ac:dyDescent="0.3">
      <c r="A913" s="44">
        <v>910</v>
      </c>
      <c r="B913" s="14">
        <v>9</v>
      </c>
      <c r="C913" s="4">
        <v>27</v>
      </c>
      <c r="D913" s="3" t="str">
        <f>VLOOKUP($C913,Overall!$K$5:$T$36,2)</f>
        <v>Normal</v>
      </c>
      <c r="E913" s="3">
        <f ca="1">VLOOKUP($C913,Overall!$K$5:$T$36,10)</f>
        <v>-1</v>
      </c>
      <c r="F913" s="9" t="str">
        <f>VLOOKUP($C913,Overall!$K$5:$T$36,6)</f>
        <v>10111111100000000000000000000000</v>
      </c>
      <c r="G913" s="8">
        <v>18</v>
      </c>
      <c r="H913" s="3" t="str">
        <f>VLOOKUP($G913,Overall!$K$5:$T$36,2)</f>
        <v>Normal</v>
      </c>
      <c r="I913" s="3">
        <f ca="1">VLOOKUP($G913,Overall!$K$5:$T$36,10)</f>
        <v>1</v>
      </c>
      <c r="J913" s="62" t="str">
        <f>VLOOKUP($G913,Overall!$K$5:$T$36,6)</f>
        <v>00111111100000000000000000000000</v>
      </c>
      <c r="K913" s="8">
        <f t="shared" ca="1" si="126"/>
        <v>-1</v>
      </c>
      <c r="L913" s="62">
        <f>VLOOKUP($B913,Overall!$B$5:$I$13,8)</f>
        <v>0</v>
      </c>
      <c r="M913" s="58"/>
      <c r="N913" s="3" t="str">
        <f t="shared" si="127"/>
        <v/>
      </c>
      <c r="O913" s="3" t="str">
        <f t="shared" si="128"/>
        <v/>
      </c>
      <c r="P913" s="3" t="str">
        <f t="shared" si="129"/>
        <v/>
      </c>
      <c r="Q913" s="3">
        <f t="shared" si="130"/>
        <v>0</v>
      </c>
      <c r="R913" s="3">
        <f t="shared" si="131"/>
        <v>0</v>
      </c>
      <c r="S913" s="3" t="e" cm="1">
        <f t="array" aca="1" ref="S913" ca="1">SUMPRODUCT(MID($P913,ROW(INDIRECT("1:23")),1)*2^(-ROW(INDIRECT("1:23"))))</f>
        <v>#VALUE!</v>
      </c>
      <c r="T913" s="3" t="e">
        <f t="shared" ca="1" si="132"/>
        <v>#VALUE!</v>
      </c>
      <c r="U913" s="3" t="e">
        <f t="shared" ca="1" si="133"/>
        <v>#VALUE!</v>
      </c>
      <c r="V913" s="73"/>
      <c r="W913" s="9" t="str">
        <f t="shared" si="134"/>
        <v>OK</v>
      </c>
    </row>
    <row r="914" spans="1:23" x14ac:dyDescent="0.3">
      <c r="A914" s="44">
        <v>911</v>
      </c>
      <c r="B914" s="14">
        <v>9</v>
      </c>
      <c r="C914" s="4">
        <v>27</v>
      </c>
      <c r="D914" s="3" t="str">
        <f>VLOOKUP($C914,Overall!$K$5:$T$36,2)</f>
        <v>Normal</v>
      </c>
      <c r="E914" s="3">
        <f ca="1">VLOOKUP($C914,Overall!$K$5:$T$36,10)</f>
        <v>-1</v>
      </c>
      <c r="F914" s="9" t="str">
        <f>VLOOKUP($C914,Overall!$K$5:$T$36,6)</f>
        <v>10111111100000000000000000000000</v>
      </c>
      <c r="G914" s="8">
        <v>19</v>
      </c>
      <c r="H914" s="3" t="str">
        <f>VLOOKUP($G914,Overall!$K$5:$T$36,2)</f>
        <v>Normal</v>
      </c>
      <c r="I914" s="3">
        <f ca="1">VLOOKUP($G914,Overall!$K$5:$T$36,10)</f>
        <v>1.5</v>
      </c>
      <c r="J914" s="62" t="str">
        <f>VLOOKUP($G914,Overall!$K$5:$T$36,6)</f>
        <v>00111111110000000000000000000000</v>
      </c>
      <c r="K914" s="8">
        <f t="shared" ca="1" si="126"/>
        <v>-1.5</v>
      </c>
      <c r="L914" s="62">
        <f>VLOOKUP($B914,Overall!$B$5:$I$13,8)</f>
        <v>0</v>
      </c>
      <c r="M914" s="58"/>
      <c r="N914" s="3" t="str">
        <f t="shared" si="127"/>
        <v/>
      </c>
      <c r="O914" s="3" t="str">
        <f t="shared" si="128"/>
        <v/>
      </c>
      <c r="P914" s="3" t="str">
        <f t="shared" si="129"/>
        <v/>
      </c>
      <c r="Q914" s="3">
        <f t="shared" si="130"/>
        <v>0</v>
      </c>
      <c r="R914" s="3">
        <f t="shared" si="131"/>
        <v>0</v>
      </c>
      <c r="S914" s="3" t="e" cm="1">
        <f t="array" aca="1" ref="S914" ca="1">SUMPRODUCT(MID($P914,ROW(INDIRECT("1:23")),1)*2^(-ROW(INDIRECT("1:23"))))</f>
        <v>#VALUE!</v>
      </c>
      <c r="T914" s="3" t="e">
        <f t="shared" ca="1" si="132"/>
        <v>#VALUE!</v>
      </c>
      <c r="U914" s="3" t="e">
        <f t="shared" ca="1" si="133"/>
        <v>#VALUE!</v>
      </c>
      <c r="V914" s="73"/>
      <c r="W914" s="9" t="str">
        <f t="shared" si="134"/>
        <v>OK</v>
      </c>
    </row>
    <row r="915" spans="1:23" x14ac:dyDescent="0.3">
      <c r="A915" s="44">
        <v>912</v>
      </c>
      <c r="B915" s="14">
        <v>9</v>
      </c>
      <c r="C915" s="4">
        <v>27</v>
      </c>
      <c r="D915" s="3" t="str">
        <f>VLOOKUP($C915,Overall!$K$5:$T$36,2)</f>
        <v>Normal</v>
      </c>
      <c r="E915" s="3">
        <f ca="1">VLOOKUP($C915,Overall!$K$5:$T$36,10)</f>
        <v>-1</v>
      </c>
      <c r="F915" s="9" t="str">
        <f>VLOOKUP($C915,Overall!$K$5:$T$36,6)</f>
        <v>10111111100000000000000000000000</v>
      </c>
      <c r="G915" s="8">
        <v>20</v>
      </c>
      <c r="H915" s="3" t="str">
        <f>VLOOKUP($G915,Overall!$K$5:$T$36,2)</f>
        <v>Normal</v>
      </c>
      <c r="I915" s="3">
        <f ca="1">VLOOKUP($G915,Overall!$K$5:$T$36,10)</f>
        <v>12345.6787109375</v>
      </c>
      <c r="J915" s="62" t="str">
        <f>VLOOKUP($G915,Overall!$K$5:$T$36,6)</f>
        <v>001000110010000001110011010110111</v>
      </c>
      <c r="K915" s="8">
        <f t="shared" ca="1" si="126"/>
        <v>-12345.6787109375</v>
      </c>
      <c r="L915" s="62">
        <f>VLOOKUP($B915,Overall!$B$5:$I$13,8)</f>
        <v>0</v>
      </c>
      <c r="M915" s="58"/>
      <c r="N915" s="3" t="str">
        <f t="shared" si="127"/>
        <v/>
      </c>
      <c r="O915" s="3" t="str">
        <f t="shared" si="128"/>
        <v/>
      </c>
      <c r="P915" s="3" t="str">
        <f t="shared" si="129"/>
        <v/>
      </c>
      <c r="Q915" s="3">
        <f t="shared" si="130"/>
        <v>0</v>
      </c>
      <c r="R915" s="3">
        <f t="shared" si="131"/>
        <v>0</v>
      </c>
      <c r="S915" s="3" t="e" cm="1">
        <f t="array" aca="1" ref="S915" ca="1">SUMPRODUCT(MID($P915,ROW(INDIRECT("1:23")),1)*2^(-ROW(INDIRECT("1:23"))))</f>
        <v>#VALUE!</v>
      </c>
      <c r="T915" s="3" t="e">
        <f t="shared" ca="1" si="132"/>
        <v>#VALUE!</v>
      </c>
      <c r="U915" s="3" t="e">
        <f t="shared" ca="1" si="133"/>
        <v>#VALUE!</v>
      </c>
      <c r="V915" s="73"/>
      <c r="W915" s="9" t="str">
        <f t="shared" si="134"/>
        <v>OK</v>
      </c>
    </row>
    <row r="916" spans="1:23" x14ac:dyDescent="0.3">
      <c r="A916" s="44">
        <v>913</v>
      </c>
      <c r="B916" s="14">
        <v>9</v>
      </c>
      <c r="C916" s="4">
        <v>27</v>
      </c>
      <c r="D916" s="3" t="str">
        <f>VLOOKUP($C916,Overall!$K$5:$T$36,2)</f>
        <v>Normal</v>
      </c>
      <c r="E916" s="3">
        <f ca="1">VLOOKUP($C916,Overall!$K$5:$T$36,10)</f>
        <v>-1</v>
      </c>
      <c r="F916" s="9" t="str">
        <f>VLOOKUP($C916,Overall!$K$5:$T$36,6)</f>
        <v>10111111100000000000000000000000</v>
      </c>
      <c r="G916" s="8">
        <v>21</v>
      </c>
      <c r="H916" s="3" t="str">
        <f>VLOOKUP($G916,Overall!$K$5:$T$36,2)</f>
        <v>Normal</v>
      </c>
      <c r="I916" s="3">
        <f ca="1">VLOOKUP($G916,Overall!$K$5:$T$36,10)</f>
        <v>2.345678924830959E+38</v>
      </c>
      <c r="J916" s="62" t="str">
        <f>VLOOKUP($G916,Overall!$K$5:$T$36,6)</f>
        <v>01111111001100000111100000100010</v>
      </c>
      <c r="K916" s="8">
        <f t="shared" ca="1" si="126"/>
        <v>-2.345678924830959E+38</v>
      </c>
      <c r="L916" s="62">
        <f>VLOOKUP($B916,Overall!$B$5:$I$13,8)</f>
        <v>0</v>
      </c>
      <c r="M916" s="58"/>
      <c r="N916" s="3" t="str">
        <f t="shared" si="127"/>
        <v/>
      </c>
      <c r="O916" s="3" t="str">
        <f t="shared" si="128"/>
        <v/>
      </c>
      <c r="P916" s="3" t="str">
        <f t="shared" si="129"/>
        <v/>
      </c>
      <c r="Q916" s="3">
        <f t="shared" si="130"/>
        <v>0</v>
      </c>
      <c r="R916" s="3">
        <f t="shared" si="131"/>
        <v>0</v>
      </c>
      <c r="S916" s="3" t="e" cm="1">
        <f t="array" aca="1" ref="S916" ca="1">SUMPRODUCT(MID($P916,ROW(INDIRECT("1:23")),1)*2^(-ROW(INDIRECT("1:23"))))</f>
        <v>#VALUE!</v>
      </c>
      <c r="T916" s="3" t="e">
        <f t="shared" ca="1" si="132"/>
        <v>#VALUE!</v>
      </c>
      <c r="U916" s="3" t="e">
        <f t="shared" ca="1" si="133"/>
        <v>#VALUE!</v>
      </c>
      <c r="V916" s="73"/>
      <c r="W916" s="9" t="str">
        <f t="shared" si="134"/>
        <v>OK</v>
      </c>
    </row>
    <row r="917" spans="1:23" x14ac:dyDescent="0.3">
      <c r="A917" s="44">
        <v>914</v>
      </c>
      <c r="B917" s="14">
        <v>9</v>
      </c>
      <c r="C917" s="4">
        <v>27</v>
      </c>
      <c r="D917" s="3" t="str">
        <f>VLOOKUP($C917,Overall!$K$5:$T$36,2)</f>
        <v>Normal</v>
      </c>
      <c r="E917" s="3">
        <f ca="1">VLOOKUP($C917,Overall!$K$5:$T$36,10)</f>
        <v>-1</v>
      </c>
      <c r="F917" s="9" t="str">
        <f>VLOOKUP($C917,Overall!$K$5:$T$36,6)</f>
        <v>10111111100000000000000000000000</v>
      </c>
      <c r="G917" s="8">
        <v>22</v>
      </c>
      <c r="H917" s="3" t="str">
        <f>VLOOKUP($G917,Overall!$K$5:$T$36,2)</f>
        <v>Normal</v>
      </c>
      <c r="I917" s="3">
        <f ca="1">VLOOKUP($G917,Overall!$K$5:$T$36,10)</f>
        <v>3.4028232635611926E+38</v>
      </c>
      <c r="J917" s="62" t="str">
        <f>VLOOKUP($G917,Overall!$K$5:$T$36,6)</f>
        <v>01111111011111111111111111111110</v>
      </c>
      <c r="K917" s="8">
        <f t="shared" ca="1" si="126"/>
        <v>-3.4028232635611926E+38</v>
      </c>
      <c r="L917" s="62">
        <f>VLOOKUP($B917,Overall!$B$5:$I$13,8)</f>
        <v>0</v>
      </c>
      <c r="M917" s="58"/>
      <c r="N917" s="3" t="str">
        <f t="shared" si="127"/>
        <v/>
      </c>
      <c r="O917" s="3" t="str">
        <f t="shared" si="128"/>
        <v/>
      </c>
      <c r="P917" s="3" t="str">
        <f t="shared" si="129"/>
        <v/>
      </c>
      <c r="Q917" s="3">
        <f t="shared" si="130"/>
        <v>0</v>
      </c>
      <c r="R917" s="3">
        <f t="shared" si="131"/>
        <v>0</v>
      </c>
      <c r="S917" s="3" t="e" cm="1">
        <f t="array" aca="1" ref="S917" ca="1">SUMPRODUCT(MID($P917,ROW(INDIRECT("1:23")),1)*2^(-ROW(INDIRECT("1:23"))))</f>
        <v>#VALUE!</v>
      </c>
      <c r="T917" s="3" t="e">
        <f t="shared" ca="1" si="132"/>
        <v>#VALUE!</v>
      </c>
      <c r="U917" s="3" t="e">
        <f t="shared" ca="1" si="133"/>
        <v>#VALUE!</v>
      </c>
      <c r="V917" s="73"/>
      <c r="W917" s="9" t="str">
        <f t="shared" si="134"/>
        <v>OK</v>
      </c>
    </row>
    <row r="918" spans="1:23" x14ac:dyDescent="0.3">
      <c r="A918" s="44">
        <v>915</v>
      </c>
      <c r="B918" s="14">
        <v>9</v>
      </c>
      <c r="C918" s="4">
        <v>27</v>
      </c>
      <c r="D918" s="3" t="str">
        <f>VLOOKUP($C918,Overall!$K$5:$T$36,2)</f>
        <v>Normal</v>
      </c>
      <c r="E918" s="3">
        <f ca="1">VLOOKUP($C918,Overall!$K$5:$T$36,10)</f>
        <v>-1</v>
      </c>
      <c r="F918" s="9" t="str">
        <f>VLOOKUP($C918,Overall!$K$5:$T$36,6)</f>
        <v>10111111100000000000000000000000</v>
      </c>
      <c r="G918" s="8">
        <v>23</v>
      </c>
      <c r="H918" s="3" t="str">
        <f>VLOOKUP($G918,Overall!$K$5:$T$36,2)</f>
        <v>Normal</v>
      </c>
      <c r="I918" s="3">
        <f ca="1">VLOOKUP($G918,Overall!$K$5:$T$36,10)</f>
        <v>3.4028234663852886E+38</v>
      </c>
      <c r="J918" s="62" t="str">
        <f>VLOOKUP($G918,Overall!$K$5:$T$36,6)</f>
        <v>01111111011111111111111111111111</v>
      </c>
      <c r="K918" s="8">
        <f t="shared" ca="1" si="126"/>
        <v>-3.4028234663852886E+38</v>
      </c>
      <c r="L918" s="62">
        <f>VLOOKUP($B918,Overall!$B$5:$I$13,8)</f>
        <v>0</v>
      </c>
      <c r="M918" s="58"/>
      <c r="N918" s="3" t="str">
        <f t="shared" si="127"/>
        <v/>
      </c>
      <c r="O918" s="3" t="str">
        <f t="shared" si="128"/>
        <v/>
      </c>
      <c r="P918" s="3" t="str">
        <f t="shared" si="129"/>
        <v/>
      </c>
      <c r="Q918" s="3">
        <f t="shared" si="130"/>
        <v>0</v>
      </c>
      <c r="R918" s="3">
        <f t="shared" si="131"/>
        <v>0</v>
      </c>
      <c r="S918" s="3" t="e" cm="1">
        <f t="array" aca="1" ref="S918" ca="1">SUMPRODUCT(MID($P918,ROW(INDIRECT("1:23")),1)*2^(-ROW(INDIRECT("1:23"))))</f>
        <v>#VALUE!</v>
      </c>
      <c r="T918" s="3" t="e">
        <f t="shared" ca="1" si="132"/>
        <v>#VALUE!</v>
      </c>
      <c r="U918" s="3" t="e">
        <f t="shared" ca="1" si="133"/>
        <v>#VALUE!</v>
      </c>
      <c r="V918" s="73"/>
      <c r="W918" s="9" t="str">
        <f t="shared" si="134"/>
        <v>OK</v>
      </c>
    </row>
    <row r="919" spans="1:23" x14ac:dyDescent="0.3">
      <c r="A919" s="44">
        <v>916</v>
      </c>
      <c r="B919" s="14">
        <v>9</v>
      </c>
      <c r="C919" s="4">
        <v>27</v>
      </c>
      <c r="D919" s="3" t="str">
        <f>VLOOKUP($C919,Overall!$K$5:$T$36,2)</f>
        <v>Normal</v>
      </c>
      <c r="E919" s="3">
        <f ca="1">VLOOKUP($C919,Overall!$K$5:$T$36,10)</f>
        <v>-1</v>
      </c>
      <c r="F919" s="9" t="str">
        <f>VLOOKUP($C919,Overall!$K$5:$T$36,6)</f>
        <v>10111111100000000000000000000000</v>
      </c>
      <c r="G919" s="8">
        <v>24</v>
      </c>
      <c r="H919" s="3" t="str">
        <f>VLOOKUP($G919,Overall!$K$5:$T$36,2)</f>
        <v>Normal</v>
      </c>
      <c r="I919" s="3">
        <f ca="1">VLOOKUP($G919,Overall!$K$5:$T$36,10)</f>
        <v>-1.1754943508222875E-38</v>
      </c>
      <c r="J919" s="62" t="str">
        <f>VLOOKUP($G919,Overall!$K$5:$T$36,6)</f>
        <v>10000000100000000000000000000000</v>
      </c>
      <c r="K919" s="8">
        <f t="shared" ca="1" si="126"/>
        <v>1.1754943508222875E-38</v>
      </c>
      <c r="L919" s="62">
        <f>VLOOKUP($B919,Overall!$B$5:$I$13,8)</f>
        <v>0</v>
      </c>
      <c r="M919" s="58"/>
      <c r="N919" s="3" t="str">
        <f t="shared" si="127"/>
        <v/>
      </c>
      <c r="O919" s="3" t="str">
        <f t="shared" si="128"/>
        <v/>
      </c>
      <c r="P919" s="3" t="str">
        <f t="shared" si="129"/>
        <v/>
      </c>
      <c r="Q919" s="3">
        <f t="shared" si="130"/>
        <v>0</v>
      </c>
      <c r="R919" s="3">
        <f t="shared" si="131"/>
        <v>0</v>
      </c>
      <c r="S919" s="3" t="e" cm="1">
        <f t="array" aca="1" ref="S919" ca="1">SUMPRODUCT(MID($P919,ROW(INDIRECT("1:23")),1)*2^(-ROW(INDIRECT("1:23"))))</f>
        <v>#VALUE!</v>
      </c>
      <c r="T919" s="3" t="e">
        <f t="shared" ca="1" si="132"/>
        <v>#VALUE!</v>
      </c>
      <c r="U919" s="3" t="e">
        <f t="shared" ca="1" si="133"/>
        <v>#VALUE!</v>
      </c>
      <c r="V919" s="73"/>
      <c r="W919" s="9" t="str">
        <f t="shared" si="134"/>
        <v>OK</v>
      </c>
    </row>
    <row r="920" spans="1:23" x14ac:dyDescent="0.3">
      <c r="A920" s="44">
        <v>917</v>
      </c>
      <c r="B920" s="14">
        <v>9</v>
      </c>
      <c r="C920" s="4">
        <v>27</v>
      </c>
      <c r="D920" s="3" t="str">
        <f>VLOOKUP($C920,Overall!$K$5:$T$36,2)</f>
        <v>Normal</v>
      </c>
      <c r="E920" s="3">
        <f ca="1">VLOOKUP($C920,Overall!$K$5:$T$36,10)</f>
        <v>-1</v>
      </c>
      <c r="F920" s="9" t="str">
        <f>VLOOKUP($C920,Overall!$K$5:$T$36,6)</f>
        <v>10111111100000000000000000000000</v>
      </c>
      <c r="G920" s="8">
        <v>25</v>
      </c>
      <c r="H920" s="3" t="str">
        <f>VLOOKUP($G920,Overall!$K$5:$T$36,2)</f>
        <v>Normal</v>
      </c>
      <c r="I920" s="3">
        <f ca="1">VLOOKUP($G920,Overall!$K$5:$T$36,10)</f>
        <v>-1.1754944909521339E-38</v>
      </c>
      <c r="J920" s="62" t="str">
        <f>VLOOKUP($G920,Overall!$K$5:$T$36,6)</f>
        <v>10000000100000000000000000000001</v>
      </c>
      <c r="K920" s="8">
        <f t="shared" ca="1" si="126"/>
        <v>1.1754944909521339E-38</v>
      </c>
      <c r="L920" s="62">
        <f>VLOOKUP($B920,Overall!$B$5:$I$13,8)</f>
        <v>0</v>
      </c>
      <c r="M920" s="58"/>
      <c r="N920" s="3" t="str">
        <f t="shared" si="127"/>
        <v/>
      </c>
      <c r="O920" s="3" t="str">
        <f t="shared" si="128"/>
        <v/>
      </c>
      <c r="P920" s="3" t="str">
        <f t="shared" si="129"/>
        <v/>
      </c>
      <c r="Q920" s="3">
        <f t="shared" si="130"/>
        <v>0</v>
      </c>
      <c r="R920" s="3">
        <f t="shared" si="131"/>
        <v>0</v>
      </c>
      <c r="S920" s="3" t="e" cm="1">
        <f t="array" aca="1" ref="S920" ca="1">SUMPRODUCT(MID($P920,ROW(INDIRECT("1:23")),1)*2^(-ROW(INDIRECT("1:23"))))</f>
        <v>#VALUE!</v>
      </c>
      <c r="T920" s="3" t="e">
        <f t="shared" ca="1" si="132"/>
        <v>#VALUE!</v>
      </c>
      <c r="U920" s="3" t="e">
        <f t="shared" ca="1" si="133"/>
        <v>#VALUE!</v>
      </c>
      <c r="V920" s="73"/>
      <c r="W920" s="9" t="str">
        <f t="shared" si="134"/>
        <v>OK</v>
      </c>
    </row>
    <row r="921" spans="1:23" x14ac:dyDescent="0.3">
      <c r="A921" s="44">
        <v>918</v>
      </c>
      <c r="B921" s="14">
        <v>9</v>
      </c>
      <c r="C921" s="4">
        <v>27</v>
      </c>
      <c r="D921" s="3" t="str">
        <f>VLOOKUP($C921,Overall!$K$5:$T$36,2)</f>
        <v>Normal</v>
      </c>
      <c r="E921" s="3">
        <f ca="1">VLOOKUP($C921,Overall!$K$5:$T$36,10)</f>
        <v>-1</v>
      </c>
      <c r="F921" s="9" t="str">
        <f>VLOOKUP($C921,Overall!$K$5:$T$36,6)</f>
        <v>10111111100000000000000000000000</v>
      </c>
      <c r="G921" s="8">
        <v>26</v>
      </c>
      <c r="H921" s="3" t="str">
        <f>VLOOKUP($G921,Overall!$K$5:$T$36,2)</f>
        <v>Normal</v>
      </c>
      <c r="I921" s="3">
        <f ca="1">VLOOKUP($G921,Overall!$K$5:$T$36,10)</f>
        <v>-0.5</v>
      </c>
      <c r="J921" s="62" t="str">
        <f>VLOOKUP($G921,Overall!$K$5:$T$36,6)</f>
        <v>10111111000000000000000000000000</v>
      </c>
      <c r="K921" s="8">
        <f t="shared" ca="1" si="126"/>
        <v>0.5</v>
      </c>
      <c r="L921" s="62">
        <f>VLOOKUP($B921,Overall!$B$5:$I$13,8)</f>
        <v>0</v>
      </c>
      <c r="M921" s="58"/>
      <c r="N921" s="3" t="str">
        <f t="shared" si="127"/>
        <v/>
      </c>
      <c r="O921" s="3" t="str">
        <f t="shared" si="128"/>
        <v/>
      </c>
      <c r="P921" s="3" t="str">
        <f t="shared" si="129"/>
        <v/>
      </c>
      <c r="Q921" s="3">
        <f t="shared" si="130"/>
        <v>0</v>
      </c>
      <c r="R921" s="3">
        <f t="shared" si="131"/>
        <v>0</v>
      </c>
      <c r="S921" s="3" t="e" cm="1">
        <f t="array" aca="1" ref="S921" ca="1">SUMPRODUCT(MID($P921,ROW(INDIRECT("1:23")),1)*2^(-ROW(INDIRECT("1:23"))))</f>
        <v>#VALUE!</v>
      </c>
      <c r="T921" s="3" t="e">
        <f t="shared" ca="1" si="132"/>
        <v>#VALUE!</v>
      </c>
      <c r="U921" s="3" t="e">
        <f t="shared" ca="1" si="133"/>
        <v>#VALUE!</v>
      </c>
      <c r="V921" s="73"/>
      <c r="W921" s="9" t="str">
        <f t="shared" si="134"/>
        <v>OK</v>
      </c>
    </row>
    <row r="922" spans="1:23" x14ac:dyDescent="0.3">
      <c r="A922" s="44">
        <v>919</v>
      </c>
      <c r="B922" s="14">
        <v>9</v>
      </c>
      <c r="C922" s="4">
        <v>27</v>
      </c>
      <c r="D922" s="3" t="str">
        <f>VLOOKUP($C922,Overall!$K$5:$T$36,2)</f>
        <v>Normal</v>
      </c>
      <c r="E922" s="3">
        <f ca="1">VLOOKUP($C922,Overall!$K$5:$T$36,10)</f>
        <v>-1</v>
      </c>
      <c r="F922" s="9" t="str">
        <f>VLOOKUP($C922,Overall!$K$5:$T$36,6)</f>
        <v>10111111100000000000000000000000</v>
      </c>
      <c r="G922" s="8">
        <v>27</v>
      </c>
      <c r="H922" s="3" t="str">
        <f>VLOOKUP($G922,Overall!$K$5:$T$36,2)</f>
        <v>Normal</v>
      </c>
      <c r="I922" s="3">
        <f ca="1">VLOOKUP($G922,Overall!$K$5:$T$36,10)</f>
        <v>-1</v>
      </c>
      <c r="J922" s="62" t="str">
        <f>VLOOKUP($G922,Overall!$K$5:$T$36,6)</f>
        <v>10111111100000000000000000000000</v>
      </c>
      <c r="K922" s="8">
        <f t="shared" ca="1" si="126"/>
        <v>1</v>
      </c>
      <c r="L922" s="62">
        <f>VLOOKUP($B922,Overall!$B$5:$I$13,8)</f>
        <v>0</v>
      </c>
      <c r="M922" s="58"/>
      <c r="N922" s="3" t="str">
        <f t="shared" si="127"/>
        <v/>
      </c>
      <c r="O922" s="3" t="str">
        <f t="shared" si="128"/>
        <v/>
      </c>
      <c r="P922" s="3" t="str">
        <f t="shared" si="129"/>
        <v/>
      </c>
      <c r="Q922" s="3">
        <f t="shared" si="130"/>
        <v>0</v>
      </c>
      <c r="R922" s="3">
        <f t="shared" si="131"/>
        <v>0</v>
      </c>
      <c r="S922" s="3" t="e" cm="1">
        <f t="array" aca="1" ref="S922" ca="1">SUMPRODUCT(MID($P922,ROW(INDIRECT("1:23")),1)*2^(-ROW(INDIRECT("1:23"))))</f>
        <v>#VALUE!</v>
      </c>
      <c r="T922" s="3" t="e">
        <f t="shared" ca="1" si="132"/>
        <v>#VALUE!</v>
      </c>
      <c r="U922" s="3" t="e">
        <f t="shared" ca="1" si="133"/>
        <v>#VALUE!</v>
      </c>
      <c r="V922" s="73"/>
      <c r="W922" s="9" t="str">
        <f t="shared" si="134"/>
        <v>OK</v>
      </c>
    </row>
    <row r="923" spans="1:23" x14ac:dyDescent="0.3">
      <c r="A923" s="44">
        <v>920</v>
      </c>
      <c r="B923" s="14">
        <v>9</v>
      </c>
      <c r="C923" s="4">
        <v>27</v>
      </c>
      <c r="D923" s="3" t="str">
        <f>VLOOKUP($C923,Overall!$K$5:$T$36,2)</f>
        <v>Normal</v>
      </c>
      <c r="E923" s="3">
        <f ca="1">VLOOKUP($C923,Overall!$K$5:$T$36,10)</f>
        <v>-1</v>
      </c>
      <c r="F923" s="9" t="str">
        <f>VLOOKUP($C923,Overall!$K$5:$T$36,6)</f>
        <v>10111111100000000000000000000000</v>
      </c>
      <c r="G923" s="8">
        <v>28</v>
      </c>
      <c r="H923" s="3" t="str">
        <f>VLOOKUP($G923,Overall!$K$5:$T$36,2)</f>
        <v>Normal</v>
      </c>
      <c r="I923" s="3">
        <f ca="1">VLOOKUP($G923,Overall!$K$5:$T$36,10)</f>
        <v>-1.5</v>
      </c>
      <c r="J923" s="62" t="str">
        <f>VLOOKUP($G923,Overall!$K$5:$T$36,6)</f>
        <v>10111111110000000000000000000000</v>
      </c>
      <c r="K923" s="8">
        <f t="shared" ca="1" si="126"/>
        <v>1.5</v>
      </c>
      <c r="L923" s="62">
        <f>VLOOKUP($B923,Overall!$B$5:$I$13,8)</f>
        <v>0</v>
      </c>
      <c r="M923" s="58"/>
      <c r="N923" s="3" t="str">
        <f t="shared" si="127"/>
        <v/>
      </c>
      <c r="O923" s="3" t="str">
        <f t="shared" si="128"/>
        <v/>
      </c>
      <c r="P923" s="3" t="str">
        <f t="shared" si="129"/>
        <v/>
      </c>
      <c r="Q923" s="3">
        <f t="shared" si="130"/>
        <v>0</v>
      </c>
      <c r="R923" s="3">
        <f t="shared" si="131"/>
        <v>0</v>
      </c>
      <c r="S923" s="3" t="e" cm="1">
        <f t="array" aca="1" ref="S923" ca="1">SUMPRODUCT(MID($P923,ROW(INDIRECT("1:23")),1)*2^(-ROW(INDIRECT("1:23"))))</f>
        <v>#VALUE!</v>
      </c>
      <c r="T923" s="3" t="e">
        <f t="shared" ca="1" si="132"/>
        <v>#VALUE!</v>
      </c>
      <c r="U923" s="3" t="e">
        <f t="shared" ca="1" si="133"/>
        <v>#VALUE!</v>
      </c>
      <c r="V923" s="73"/>
      <c r="W923" s="9" t="str">
        <f t="shared" si="134"/>
        <v>OK</v>
      </c>
    </row>
    <row r="924" spans="1:23" x14ac:dyDescent="0.3">
      <c r="A924" s="44">
        <v>921</v>
      </c>
      <c r="B924" s="14">
        <v>9</v>
      </c>
      <c r="C924" s="4">
        <v>27</v>
      </c>
      <c r="D924" s="3" t="str">
        <f>VLOOKUP($C924,Overall!$K$5:$T$36,2)</f>
        <v>Normal</v>
      </c>
      <c r="E924" s="3">
        <f ca="1">VLOOKUP($C924,Overall!$K$5:$T$36,10)</f>
        <v>-1</v>
      </c>
      <c r="F924" s="9" t="str">
        <f>VLOOKUP($C924,Overall!$K$5:$T$36,6)</f>
        <v>10111111100000000000000000000000</v>
      </c>
      <c r="G924" s="8">
        <v>29</v>
      </c>
      <c r="H924" s="3" t="str">
        <f>VLOOKUP($G924,Overall!$K$5:$T$36,2)</f>
        <v>Normal</v>
      </c>
      <c r="I924" s="3">
        <f ca="1">VLOOKUP($G924,Overall!$K$5:$T$36,10)</f>
        <v>-12345.6787109375</v>
      </c>
      <c r="J924" s="62" t="str">
        <f>VLOOKUP($G924,Overall!$K$5:$T$36,6)</f>
        <v>101000110010000001110011010110111</v>
      </c>
      <c r="K924" s="8">
        <f t="shared" ca="1" si="126"/>
        <v>12345.6787109375</v>
      </c>
      <c r="L924" s="62">
        <f>VLOOKUP($B924,Overall!$B$5:$I$13,8)</f>
        <v>0</v>
      </c>
      <c r="M924" s="58"/>
      <c r="N924" s="3" t="str">
        <f t="shared" si="127"/>
        <v/>
      </c>
      <c r="O924" s="3" t="str">
        <f t="shared" si="128"/>
        <v/>
      </c>
      <c r="P924" s="3" t="str">
        <f t="shared" si="129"/>
        <v/>
      </c>
      <c r="Q924" s="3">
        <f t="shared" si="130"/>
        <v>0</v>
      </c>
      <c r="R924" s="3">
        <f t="shared" si="131"/>
        <v>0</v>
      </c>
      <c r="S924" s="3" t="e" cm="1">
        <f t="array" aca="1" ref="S924" ca="1">SUMPRODUCT(MID($P924,ROW(INDIRECT("1:23")),1)*2^(-ROW(INDIRECT("1:23"))))</f>
        <v>#VALUE!</v>
      </c>
      <c r="T924" s="3" t="e">
        <f t="shared" ca="1" si="132"/>
        <v>#VALUE!</v>
      </c>
      <c r="U924" s="3" t="e">
        <f t="shared" ca="1" si="133"/>
        <v>#VALUE!</v>
      </c>
      <c r="V924" s="73"/>
      <c r="W924" s="9" t="str">
        <f t="shared" si="134"/>
        <v>OK</v>
      </c>
    </row>
    <row r="925" spans="1:23" x14ac:dyDescent="0.3">
      <c r="A925" s="44">
        <v>922</v>
      </c>
      <c r="B925" s="14">
        <v>9</v>
      </c>
      <c r="C925" s="4">
        <v>27</v>
      </c>
      <c r="D925" s="3" t="str">
        <f>VLOOKUP($C925,Overall!$K$5:$T$36,2)</f>
        <v>Normal</v>
      </c>
      <c r="E925" s="3">
        <f ca="1">VLOOKUP($C925,Overall!$K$5:$T$36,10)</f>
        <v>-1</v>
      </c>
      <c r="F925" s="9" t="str">
        <f>VLOOKUP($C925,Overall!$K$5:$T$36,6)</f>
        <v>10111111100000000000000000000000</v>
      </c>
      <c r="G925" s="8">
        <v>30</v>
      </c>
      <c r="H925" s="3" t="str">
        <f>VLOOKUP($G925,Overall!$K$5:$T$36,2)</f>
        <v>Normal</v>
      </c>
      <c r="I925" s="3">
        <f ca="1">VLOOKUP($G925,Overall!$K$5:$T$36,10)</f>
        <v>-2.345678924830959E+38</v>
      </c>
      <c r="J925" s="62" t="str">
        <f>VLOOKUP($G925,Overall!$K$5:$T$36,6)</f>
        <v>11111111001100000111100000100010</v>
      </c>
      <c r="K925" s="8">
        <f t="shared" ca="1" si="126"/>
        <v>2.345678924830959E+38</v>
      </c>
      <c r="L925" s="62">
        <f>VLOOKUP($B925,Overall!$B$5:$I$13,8)</f>
        <v>0</v>
      </c>
      <c r="M925" s="58"/>
      <c r="N925" s="3" t="str">
        <f t="shared" si="127"/>
        <v/>
      </c>
      <c r="O925" s="3" t="str">
        <f t="shared" si="128"/>
        <v/>
      </c>
      <c r="P925" s="3" t="str">
        <f t="shared" si="129"/>
        <v/>
      </c>
      <c r="Q925" s="3">
        <f t="shared" si="130"/>
        <v>0</v>
      </c>
      <c r="R925" s="3">
        <f t="shared" si="131"/>
        <v>0</v>
      </c>
      <c r="S925" s="3" t="e" cm="1">
        <f t="array" aca="1" ref="S925" ca="1">SUMPRODUCT(MID($P925,ROW(INDIRECT("1:23")),1)*2^(-ROW(INDIRECT("1:23"))))</f>
        <v>#VALUE!</v>
      </c>
      <c r="T925" s="3" t="e">
        <f t="shared" ca="1" si="132"/>
        <v>#VALUE!</v>
      </c>
      <c r="U925" s="3" t="e">
        <f t="shared" ca="1" si="133"/>
        <v>#VALUE!</v>
      </c>
      <c r="V925" s="73"/>
      <c r="W925" s="9" t="str">
        <f t="shared" si="134"/>
        <v>OK</v>
      </c>
    </row>
    <row r="926" spans="1:23" x14ac:dyDescent="0.3">
      <c r="A926" s="44">
        <v>923</v>
      </c>
      <c r="B926" s="14">
        <v>9</v>
      </c>
      <c r="C926" s="4">
        <v>27</v>
      </c>
      <c r="D926" s="3" t="str">
        <f>VLOOKUP($C926,Overall!$K$5:$T$36,2)</f>
        <v>Normal</v>
      </c>
      <c r="E926" s="3">
        <f ca="1">VLOOKUP($C926,Overall!$K$5:$T$36,10)</f>
        <v>-1</v>
      </c>
      <c r="F926" s="9" t="str">
        <f>VLOOKUP($C926,Overall!$K$5:$T$36,6)</f>
        <v>10111111100000000000000000000000</v>
      </c>
      <c r="G926" s="8">
        <v>31</v>
      </c>
      <c r="H926" s="3" t="str">
        <f>VLOOKUP($G926,Overall!$K$5:$T$36,2)</f>
        <v>Normal</v>
      </c>
      <c r="I926" s="3">
        <f ca="1">VLOOKUP($G926,Overall!$K$5:$T$36,10)</f>
        <v>-3.4028232635611926E+38</v>
      </c>
      <c r="J926" s="62" t="str">
        <f>VLOOKUP($G926,Overall!$K$5:$T$36,6)</f>
        <v>11111111011111111111111111111110</v>
      </c>
      <c r="K926" s="8">
        <f t="shared" ca="1" si="126"/>
        <v>3.4028232635611926E+38</v>
      </c>
      <c r="L926" s="62">
        <f>VLOOKUP($B926,Overall!$B$5:$I$13,8)</f>
        <v>0</v>
      </c>
      <c r="M926" s="58"/>
      <c r="N926" s="3" t="str">
        <f t="shared" si="127"/>
        <v/>
      </c>
      <c r="O926" s="3" t="str">
        <f t="shared" si="128"/>
        <v/>
      </c>
      <c r="P926" s="3" t="str">
        <f t="shared" si="129"/>
        <v/>
      </c>
      <c r="Q926" s="3">
        <f t="shared" si="130"/>
        <v>0</v>
      </c>
      <c r="R926" s="3">
        <f t="shared" si="131"/>
        <v>0</v>
      </c>
      <c r="S926" s="3" t="e" cm="1">
        <f t="array" aca="1" ref="S926" ca="1">SUMPRODUCT(MID($P926,ROW(INDIRECT("1:23")),1)*2^(-ROW(INDIRECT("1:23"))))</f>
        <v>#VALUE!</v>
      </c>
      <c r="T926" s="3" t="e">
        <f t="shared" ca="1" si="132"/>
        <v>#VALUE!</v>
      </c>
      <c r="U926" s="3" t="e">
        <f t="shared" ca="1" si="133"/>
        <v>#VALUE!</v>
      </c>
      <c r="V926" s="73"/>
      <c r="W926" s="9" t="str">
        <f t="shared" si="134"/>
        <v>OK</v>
      </c>
    </row>
    <row r="927" spans="1:23" x14ac:dyDescent="0.3">
      <c r="A927" s="44">
        <v>924</v>
      </c>
      <c r="B927" s="14">
        <v>9</v>
      </c>
      <c r="C927" s="4">
        <v>27</v>
      </c>
      <c r="D927" s="3" t="str">
        <f>VLOOKUP($C927,Overall!$K$5:$T$36,2)</f>
        <v>Normal</v>
      </c>
      <c r="E927" s="3">
        <f ca="1">VLOOKUP($C927,Overall!$K$5:$T$36,10)</f>
        <v>-1</v>
      </c>
      <c r="F927" s="9" t="str">
        <f>VLOOKUP($C927,Overall!$K$5:$T$36,6)</f>
        <v>10111111100000000000000000000000</v>
      </c>
      <c r="G927" s="8">
        <v>32</v>
      </c>
      <c r="H927" s="3" t="str">
        <f>VLOOKUP($G927,Overall!$K$5:$T$36,2)</f>
        <v>Normal</v>
      </c>
      <c r="I927" s="3">
        <f ca="1">VLOOKUP($G927,Overall!$K$5:$T$36,10)</f>
        <v>-3.4028234663852886E+38</v>
      </c>
      <c r="J927" s="62" t="str">
        <f>VLOOKUP($G927,Overall!$K$5:$T$36,6)</f>
        <v>11111111011111111111111111111111</v>
      </c>
      <c r="K927" s="8">
        <f t="shared" ca="1" si="126"/>
        <v>3.4028234663852886E+38</v>
      </c>
      <c r="L927" s="62">
        <f>VLOOKUP($B927,Overall!$B$5:$I$13,8)</f>
        <v>0</v>
      </c>
      <c r="M927" s="58"/>
      <c r="N927" s="3" t="str">
        <f t="shared" si="127"/>
        <v/>
      </c>
      <c r="O927" s="3" t="str">
        <f t="shared" si="128"/>
        <v/>
      </c>
      <c r="P927" s="3" t="str">
        <f t="shared" si="129"/>
        <v/>
      </c>
      <c r="Q927" s="3">
        <f t="shared" si="130"/>
        <v>0</v>
      </c>
      <c r="R927" s="3">
        <f t="shared" si="131"/>
        <v>0</v>
      </c>
      <c r="S927" s="3" t="e" cm="1">
        <f t="array" aca="1" ref="S927" ca="1">SUMPRODUCT(MID($P927,ROW(INDIRECT("1:23")),1)*2^(-ROW(INDIRECT("1:23"))))</f>
        <v>#VALUE!</v>
      </c>
      <c r="T927" s="3" t="e">
        <f t="shared" ca="1" si="132"/>
        <v>#VALUE!</v>
      </c>
      <c r="U927" s="3" t="e">
        <f t="shared" ca="1" si="133"/>
        <v>#VALUE!</v>
      </c>
      <c r="V927" s="73"/>
      <c r="W927" s="9" t="str">
        <f t="shared" si="134"/>
        <v>OK</v>
      </c>
    </row>
    <row r="928" spans="1:23" x14ac:dyDescent="0.3">
      <c r="A928" s="44">
        <v>925</v>
      </c>
      <c r="B928" s="14">
        <v>9</v>
      </c>
      <c r="C928" s="4">
        <v>28</v>
      </c>
      <c r="D928" s="3" t="str">
        <f>VLOOKUP($C928,Overall!$K$5:$T$36,2)</f>
        <v>Normal</v>
      </c>
      <c r="E928" s="3">
        <f ca="1">VLOOKUP($C928,Overall!$K$5:$T$36,10)</f>
        <v>-1.5</v>
      </c>
      <c r="F928" s="9" t="str">
        <f>VLOOKUP($C928,Overall!$K$5:$T$36,6)</f>
        <v>10111111110000000000000000000000</v>
      </c>
      <c r="G928" s="8">
        <v>13</v>
      </c>
      <c r="H928" s="3" t="str">
        <f>VLOOKUP($G928,Overall!$K$5:$T$36,2)</f>
        <v>Normal</v>
      </c>
      <c r="I928" s="3">
        <f ca="1">VLOOKUP($G928,Overall!$K$5:$T$36,10)</f>
        <v>0</v>
      </c>
      <c r="J928" s="62" t="str">
        <f>VLOOKUP($G928,Overall!$K$5:$T$36,6)</f>
        <v>00000000000000000000000000000000</v>
      </c>
      <c r="K928" s="8">
        <f t="shared" ca="1" si="126"/>
        <v>0</v>
      </c>
      <c r="L928" s="62">
        <f>VLOOKUP($B928,Overall!$B$5:$I$13,8)</f>
        <v>0</v>
      </c>
      <c r="M928" s="58"/>
      <c r="N928" s="3" t="str">
        <f t="shared" si="127"/>
        <v/>
      </c>
      <c r="O928" s="3" t="str">
        <f t="shared" si="128"/>
        <v/>
      </c>
      <c r="P928" s="3" t="str">
        <f t="shared" si="129"/>
        <v/>
      </c>
      <c r="Q928" s="3">
        <f t="shared" si="130"/>
        <v>0</v>
      </c>
      <c r="R928" s="3">
        <f t="shared" si="131"/>
        <v>0</v>
      </c>
      <c r="S928" s="3" t="e" cm="1">
        <f t="array" aca="1" ref="S928" ca="1">SUMPRODUCT(MID($P928,ROW(INDIRECT("1:23")),1)*2^(-ROW(INDIRECT("1:23"))))</f>
        <v>#VALUE!</v>
      </c>
      <c r="T928" s="3" t="e">
        <f t="shared" ca="1" si="132"/>
        <v>#VALUE!</v>
      </c>
      <c r="U928" s="3" t="e">
        <f t="shared" ca="1" si="133"/>
        <v>#VALUE!</v>
      </c>
      <c r="V928" s="73"/>
      <c r="W928" s="9" t="str">
        <f t="shared" si="134"/>
        <v>OK</v>
      </c>
    </row>
    <row r="929" spans="1:23" x14ac:dyDescent="0.3">
      <c r="A929" s="44">
        <v>926</v>
      </c>
      <c r="B929" s="14">
        <v>9</v>
      </c>
      <c r="C929" s="4">
        <v>28</v>
      </c>
      <c r="D929" s="3" t="str">
        <f>VLOOKUP($C929,Overall!$K$5:$T$36,2)</f>
        <v>Normal</v>
      </c>
      <c r="E929" s="3">
        <f ca="1">VLOOKUP($C929,Overall!$K$5:$T$36,10)</f>
        <v>-1.5</v>
      </c>
      <c r="F929" s="9" t="str">
        <f>VLOOKUP($C929,Overall!$K$5:$T$36,6)</f>
        <v>10111111110000000000000000000000</v>
      </c>
      <c r="G929" s="8">
        <v>14</v>
      </c>
      <c r="H929" s="3" t="str">
        <f>VLOOKUP($G929,Overall!$K$5:$T$36,2)</f>
        <v>Normal</v>
      </c>
      <c r="I929" s="3">
        <f ca="1">VLOOKUP($G929,Overall!$K$5:$T$36,10)</f>
        <v>0</v>
      </c>
      <c r="J929" s="62" t="str">
        <f>VLOOKUP($G929,Overall!$K$5:$T$36,6)</f>
        <v>10000000000000000000000000000000</v>
      </c>
      <c r="K929" s="8">
        <f t="shared" ca="1" si="126"/>
        <v>0</v>
      </c>
      <c r="L929" s="62">
        <f>VLOOKUP($B929,Overall!$B$5:$I$13,8)</f>
        <v>0</v>
      </c>
      <c r="M929" s="58"/>
      <c r="N929" s="3" t="str">
        <f t="shared" si="127"/>
        <v/>
      </c>
      <c r="O929" s="3" t="str">
        <f t="shared" si="128"/>
        <v/>
      </c>
      <c r="P929" s="3" t="str">
        <f t="shared" si="129"/>
        <v/>
      </c>
      <c r="Q929" s="3">
        <f t="shared" si="130"/>
        <v>0</v>
      </c>
      <c r="R929" s="3">
        <f t="shared" si="131"/>
        <v>0</v>
      </c>
      <c r="S929" s="3" t="e" cm="1">
        <f t="array" aca="1" ref="S929" ca="1">SUMPRODUCT(MID($P929,ROW(INDIRECT("1:23")),1)*2^(-ROW(INDIRECT("1:23"))))</f>
        <v>#VALUE!</v>
      </c>
      <c r="T929" s="3" t="e">
        <f t="shared" ca="1" si="132"/>
        <v>#VALUE!</v>
      </c>
      <c r="U929" s="3" t="e">
        <f t="shared" ca="1" si="133"/>
        <v>#VALUE!</v>
      </c>
      <c r="V929" s="73"/>
      <c r="W929" s="9" t="str">
        <f t="shared" si="134"/>
        <v>OK</v>
      </c>
    </row>
    <row r="930" spans="1:23" x14ac:dyDescent="0.3">
      <c r="A930" s="44">
        <v>927</v>
      </c>
      <c r="B930" s="14">
        <v>9</v>
      </c>
      <c r="C930" s="4">
        <v>28</v>
      </c>
      <c r="D930" s="3" t="str">
        <f>VLOOKUP($C930,Overall!$K$5:$T$36,2)</f>
        <v>Normal</v>
      </c>
      <c r="E930" s="3">
        <f ca="1">VLOOKUP($C930,Overall!$K$5:$T$36,10)</f>
        <v>-1.5</v>
      </c>
      <c r="F930" s="9" t="str">
        <f>VLOOKUP($C930,Overall!$K$5:$T$36,6)</f>
        <v>10111111110000000000000000000000</v>
      </c>
      <c r="G930" s="8">
        <v>15</v>
      </c>
      <c r="H930" s="3" t="str">
        <f>VLOOKUP($G930,Overall!$K$5:$T$36,2)</f>
        <v>Normal</v>
      </c>
      <c r="I930" s="3">
        <f ca="1">VLOOKUP($G930,Overall!$K$5:$T$36,10)</f>
        <v>1.1754943508222875E-38</v>
      </c>
      <c r="J930" s="62" t="str">
        <f>VLOOKUP($G930,Overall!$K$5:$T$36,6)</f>
        <v>00000000100000000000000000000000</v>
      </c>
      <c r="K930" s="8">
        <f t="shared" ca="1" si="126"/>
        <v>-1.7632415262334313E-38</v>
      </c>
      <c r="L930" s="62">
        <f>VLOOKUP($B930,Overall!$B$5:$I$13,8)</f>
        <v>0</v>
      </c>
      <c r="M930" s="58"/>
      <c r="N930" s="3" t="str">
        <f t="shared" si="127"/>
        <v/>
      </c>
      <c r="O930" s="3" t="str">
        <f t="shared" si="128"/>
        <v/>
      </c>
      <c r="P930" s="3" t="str">
        <f t="shared" si="129"/>
        <v/>
      </c>
      <c r="Q930" s="3">
        <f t="shared" si="130"/>
        <v>0</v>
      </c>
      <c r="R930" s="3">
        <f t="shared" si="131"/>
        <v>0</v>
      </c>
      <c r="S930" s="3" t="e" cm="1">
        <f t="array" aca="1" ref="S930" ca="1">SUMPRODUCT(MID($P930,ROW(INDIRECT("1:23")),1)*2^(-ROW(INDIRECT("1:23"))))</f>
        <v>#VALUE!</v>
      </c>
      <c r="T930" s="3" t="e">
        <f t="shared" ca="1" si="132"/>
        <v>#VALUE!</v>
      </c>
      <c r="U930" s="3" t="e">
        <f t="shared" ca="1" si="133"/>
        <v>#VALUE!</v>
      </c>
      <c r="V930" s="73"/>
      <c r="W930" s="9" t="str">
        <f t="shared" si="134"/>
        <v>OK</v>
      </c>
    </row>
    <row r="931" spans="1:23" x14ac:dyDescent="0.3">
      <c r="A931" s="44">
        <v>928</v>
      </c>
      <c r="B931" s="14">
        <v>9</v>
      </c>
      <c r="C931" s="4">
        <v>28</v>
      </c>
      <c r="D931" s="3" t="str">
        <f>VLOOKUP($C931,Overall!$K$5:$T$36,2)</f>
        <v>Normal</v>
      </c>
      <c r="E931" s="3">
        <f ca="1">VLOOKUP($C931,Overall!$K$5:$T$36,10)</f>
        <v>-1.5</v>
      </c>
      <c r="F931" s="9" t="str">
        <f>VLOOKUP($C931,Overall!$K$5:$T$36,6)</f>
        <v>10111111110000000000000000000000</v>
      </c>
      <c r="G931" s="8">
        <v>16</v>
      </c>
      <c r="H931" s="3" t="str">
        <f>VLOOKUP($G931,Overall!$K$5:$T$36,2)</f>
        <v>Normal</v>
      </c>
      <c r="I931" s="3">
        <f ca="1">VLOOKUP($G931,Overall!$K$5:$T$36,10)</f>
        <v>1.1754944909521339E-38</v>
      </c>
      <c r="J931" s="62" t="str">
        <f>VLOOKUP($G931,Overall!$K$5:$T$36,6)</f>
        <v>00000000100000000000000000000001</v>
      </c>
      <c r="K931" s="8">
        <f t="shared" ca="1" si="126"/>
        <v>-1.7632417364282009E-38</v>
      </c>
      <c r="L931" s="62">
        <f>VLOOKUP($B931,Overall!$B$5:$I$13,8)</f>
        <v>0</v>
      </c>
      <c r="M931" s="58"/>
      <c r="N931" s="3" t="str">
        <f t="shared" si="127"/>
        <v/>
      </c>
      <c r="O931" s="3" t="str">
        <f t="shared" si="128"/>
        <v/>
      </c>
      <c r="P931" s="3" t="str">
        <f t="shared" si="129"/>
        <v/>
      </c>
      <c r="Q931" s="3">
        <f t="shared" si="130"/>
        <v>0</v>
      </c>
      <c r="R931" s="3">
        <f t="shared" si="131"/>
        <v>0</v>
      </c>
      <c r="S931" s="3" t="e" cm="1">
        <f t="array" aca="1" ref="S931" ca="1">SUMPRODUCT(MID($P931,ROW(INDIRECT("1:23")),1)*2^(-ROW(INDIRECT("1:23"))))</f>
        <v>#VALUE!</v>
      </c>
      <c r="T931" s="3" t="e">
        <f t="shared" ca="1" si="132"/>
        <v>#VALUE!</v>
      </c>
      <c r="U931" s="3" t="e">
        <f t="shared" ca="1" si="133"/>
        <v>#VALUE!</v>
      </c>
      <c r="V931" s="73"/>
      <c r="W931" s="9" t="str">
        <f t="shared" si="134"/>
        <v>OK</v>
      </c>
    </row>
    <row r="932" spans="1:23" x14ac:dyDescent="0.3">
      <c r="A932" s="44">
        <v>929</v>
      </c>
      <c r="B932" s="14">
        <v>9</v>
      </c>
      <c r="C932" s="4">
        <v>28</v>
      </c>
      <c r="D932" s="3" t="str">
        <f>VLOOKUP($C932,Overall!$K$5:$T$36,2)</f>
        <v>Normal</v>
      </c>
      <c r="E932" s="3">
        <f ca="1">VLOOKUP($C932,Overall!$K$5:$T$36,10)</f>
        <v>-1.5</v>
      </c>
      <c r="F932" s="9" t="str">
        <f>VLOOKUP($C932,Overall!$K$5:$T$36,6)</f>
        <v>10111111110000000000000000000000</v>
      </c>
      <c r="G932" s="8">
        <v>17</v>
      </c>
      <c r="H932" s="3" t="str">
        <f>VLOOKUP($G932,Overall!$K$5:$T$36,2)</f>
        <v>Normal</v>
      </c>
      <c r="I932" s="3">
        <f ca="1">VLOOKUP($G932,Overall!$K$5:$T$36,10)</f>
        <v>0.5</v>
      </c>
      <c r="J932" s="62" t="str">
        <f>VLOOKUP($G932,Overall!$K$5:$T$36,6)</f>
        <v>00111111000000000000000000000000</v>
      </c>
      <c r="K932" s="8">
        <f t="shared" ca="1" si="126"/>
        <v>-0.75</v>
      </c>
      <c r="L932" s="62">
        <f>VLOOKUP($B932,Overall!$B$5:$I$13,8)</f>
        <v>0</v>
      </c>
      <c r="M932" s="58"/>
      <c r="N932" s="3" t="str">
        <f t="shared" si="127"/>
        <v/>
      </c>
      <c r="O932" s="3" t="str">
        <f t="shared" si="128"/>
        <v/>
      </c>
      <c r="P932" s="3" t="str">
        <f t="shared" si="129"/>
        <v/>
      </c>
      <c r="Q932" s="3">
        <f t="shared" si="130"/>
        <v>0</v>
      </c>
      <c r="R932" s="3">
        <f t="shared" si="131"/>
        <v>0</v>
      </c>
      <c r="S932" s="3" t="e" cm="1">
        <f t="array" aca="1" ref="S932" ca="1">SUMPRODUCT(MID($P932,ROW(INDIRECT("1:23")),1)*2^(-ROW(INDIRECT("1:23"))))</f>
        <v>#VALUE!</v>
      </c>
      <c r="T932" s="3" t="e">
        <f t="shared" ca="1" si="132"/>
        <v>#VALUE!</v>
      </c>
      <c r="U932" s="3" t="e">
        <f t="shared" ca="1" si="133"/>
        <v>#VALUE!</v>
      </c>
      <c r="V932" s="73"/>
      <c r="W932" s="9" t="str">
        <f t="shared" si="134"/>
        <v>OK</v>
      </c>
    </row>
    <row r="933" spans="1:23" x14ac:dyDescent="0.3">
      <c r="A933" s="44">
        <v>930</v>
      </c>
      <c r="B933" s="14">
        <v>9</v>
      </c>
      <c r="C933" s="4">
        <v>28</v>
      </c>
      <c r="D933" s="3" t="str">
        <f>VLOOKUP($C933,Overall!$K$5:$T$36,2)</f>
        <v>Normal</v>
      </c>
      <c r="E933" s="3">
        <f ca="1">VLOOKUP($C933,Overall!$K$5:$T$36,10)</f>
        <v>-1.5</v>
      </c>
      <c r="F933" s="9" t="str">
        <f>VLOOKUP($C933,Overall!$K$5:$T$36,6)</f>
        <v>10111111110000000000000000000000</v>
      </c>
      <c r="G933" s="8">
        <v>18</v>
      </c>
      <c r="H933" s="3" t="str">
        <f>VLOOKUP($G933,Overall!$K$5:$T$36,2)</f>
        <v>Normal</v>
      </c>
      <c r="I933" s="3">
        <f ca="1">VLOOKUP($G933,Overall!$K$5:$T$36,10)</f>
        <v>1</v>
      </c>
      <c r="J933" s="62" t="str">
        <f>VLOOKUP($G933,Overall!$K$5:$T$36,6)</f>
        <v>00111111100000000000000000000000</v>
      </c>
      <c r="K933" s="8">
        <f t="shared" ca="1" si="126"/>
        <v>-1.5</v>
      </c>
      <c r="L933" s="62">
        <f>VLOOKUP($B933,Overall!$B$5:$I$13,8)</f>
        <v>0</v>
      </c>
      <c r="M933" s="58"/>
      <c r="N933" s="3" t="str">
        <f t="shared" si="127"/>
        <v/>
      </c>
      <c r="O933" s="3" t="str">
        <f t="shared" si="128"/>
        <v/>
      </c>
      <c r="P933" s="3" t="str">
        <f t="shared" si="129"/>
        <v/>
      </c>
      <c r="Q933" s="3">
        <f t="shared" si="130"/>
        <v>0</v>
      </c>
      <c r="R933" s="3">
        <f t="shared" si="131"/>
        <v>0</v>
      </c>
      <c r="S933" s="3" t="e" cm="1">
        <f t="array" aca="1" ref="S933" ca="1">SUMPRODUCT(MID($P933,ROW(INDIRECT("1:23")),1)*2^(-ROW(INDIRECT("1:23"))))</f>
        <v>#VALUE!</v>
      </c>
      <c r="T933" s="3" t="e">
        <f t="shared" ca="1" si="132"/>
        <v>#VALUE!</v>
      </c>
      <c r="U933" s="3" t="e">
        <f t="shared" ca="1" si="133"/>
        <v>#VALUE!</v>
      </c>
      <c r="V933" s="73"/>
      <c r="W933" s="9" t="str">
        <f t="shared" si="134"/>
        <v>OK</v>
      </c>
    </row>
    <row r="934" spans="1:23" x14ac:dyDescent="0.3">
      <c r="A934" s="44">
        <v>931</v>
      </c>
      <c r="B934" s="14">
        <v>9</v>
      </c>
      <c r="C934" s="4">
        <v>28</v>
      </c>
      <c r="D934" s="3" t="str">
        <f>VLOOKUP($C934,Overall!$K$5:$T$36,2)</f>
        <v>Normal</v>
      </c>
      <c r="E934" s="3">
        <f ca="1">VLOOKUP($C934,Overall!$K$5:$T$36,10)</f>
        <v>-1.5</v>
      </c>
      <c r="F934" s="9" t="str">
        <f>VLOOKUP($C934,Overall!$K$5:$T$36,6)</f>
        <v>10111111110000000000000000000000</v>
      </c>
      <c r="G934" s="8">
        <v>19</v>
      </c>
      <c r="H934" s="3" t="str">
        <f>VLOOKUP($G934,Overall!$K$5:$T$36,2)</f>
        <v>Normal</v>
      </c>
      <c r="I934" s="3">
        <f ca="1">VLOOKUP($G934,Overall!$K$5:$T$36,10)</f>
        <v>1.5</v>
      </c>
      <c r="J934" s="62" t="str">
        <f>VLOOKUP($G934,Overall!$K$5:$T$36,6)</f>
        <v>00111111110000000000000000000000</v>
      </c>
      <c r="K934" s="8">
        <f t="shared" ca="1" si="126"/>
        <v>-2.25</v>
      </c>
      <c r="L934" s="62">
        <f>VLOOKUP($B934,Overall!$B$5:$I$13,8)</f>
        <v>0</v>
      </c>
      <c r="M934" s="58"/>
      <c r="N934" s="3" t="str">
        <f t="shared" si="127"/>
        <v/>
      </c>
      <c r="O934" s="3" t="str">
        <f t="shared" si="128"/>
        <v/>
      </c>
      <c r="P934" s="3" t="str">
        <f t="shared" si="129"/>
        <v/>
      </c>
      <c r="Q934" s="3">
        <f t="shared" si="130"/>
        <v>0</v>
      </c>
      <c r="R934" s="3">
        <f t="shared" si="131"/>
        <v>0</v>
      </c>
      <c r="S934" s="3" t="e" cm="1">
        <f t="array" aca="1" ref="S934" ca="1">SUMPRODUCT(MID($P934,ROW(INDIRECT("1:23")),1)*2^(-ROW(INDIRECT("1:23"))))</f>
        <v>#VALUE!</v>
      </c>
      <c r="T934" s="3" t="e">
        <f t="shared" ca="1" si="132"/>
        <v>#VALUE!</v>
      </c>
      <c r="U934" s="3" t="e">
        <f t="shared" ca="1" si="133"/>
        <v>#VALUE!</v>
      </c>
      <c r="V934" s="73"/>
      <c r="W934" s="9" t="str">
        <f t="shared" si="134"/>
        <v>OK</v>
      </c>
    </row>
    <row r="935" spans="1:23" x14ac:dyDescent="0.3">
      <c r="A935" s="44">
        <v>932</v>
      </c>
      <c r="B935" s="14">
        <v>9</v>
      </c>
      <c r="C935" s="4">
        <v>28</v>
      </c>
      <c r="D935" s="3" t="str">
        <f>VLOOKUP($C935,Overall!$K$5:$T$36,2)</f>
        <v>Normal</v>
      </c>
      <c r="E935" s="3">
        <f ca="1">VLOOKUP($C935,Overall!$K$5:$T$36,10)</f>
        <v>-1.5</v>
      </c>
      <c r="F935" s="9" t="str">
        <f>VLOOKUP($C935,Overall!$K$5:$T$36,6)</f>
        <v>10111111110000000000000000000000</v>
      </c>
      <c r="G935" s="8">
        <v>20</v>
      </c>
      <c r="H935" s="3" t="str">
        <f>VLOOKUP($G935,Overall!$K$5:$T$36,2)</f>
        <v>Normal</v>
      </c>
      <c r="I935" s="3">
        <f ca="1">VLOOKUP($G935,Overall!$K$5:$T$36,10)</f>
        <v>12345.6787109375</v>
      </c>
      <c r="J935" s="62" t="str">
        <f>VLOOKUP($G935,Overall!$K$5:$T$36,6)</f>
        <v>001000110010000001110011010110111</v>
      </c>
      <c r="K935" s="8">
        <f t="shared" ca="1" si="126"/>
        <v>-18518.51806640625</v>
      </c>
      <c r="L935" s="62">
        <f>VLOOKUP($B935,Overall!$B$5:$I$13,8)</f>
        <v>0</v>
      </c>
      <c r="M935" s="58"/>
      <c r="N935" s="3" t="str">
        <f t="shared" si="127"/>
        <v/>
      </c>
      <c r="O935" s="3" t="str">
        <f t="shared" si="128"/>
        <v/>
      </c>
      <c r="P935" s="3" t="str">
        <f t="shared" si="129"/>
        <v/>
      </c>
      <c r="Q935" s="3">
        <f t="shared" si="130"/>
        <v>0</v>
      </c>
      <c r="R935" s="3">
        <f t="shared" si="131"/>
        <v>0</v>
      </c>
      <c r="S935" s="3" t="e" cm="1">
        <f t="array" aca="1" ref="S935" ca="1">SUMPRODUCT(MID($P935,ROW(INDIRECT("1:23")),1)*2^(-ROW(INDIRECT("1:23"))))</f>
        <v>#VALUE!</v>
      </c>
      <c r="T935" s="3" t="e">
        <f t="shared" ca="1" si="132"/>
        <v>#VALUE!</v>
      </c>
      <c r="U935" s="3" t="e">
        <f t="shared" ca="1" si="133"/>
        <v>#VALUE!</v>
      </c>
      <c r="V935" s="73"/>
      <c r="W935" s="9" t="str">
        <f t="shared" si="134"/>
        <v>OK</v>
      </c>
    </row>
    <row r="936" spans="1:23" x14ac:dyDescent="0.3">
      <c r="A936" s="44">
        <v>933</v>
      </c>
      <c r="B936" s="14">
        <v>9</v>
      </c>
      <c r="C936" s="4">
        <v>28</v>
      </c>
      <c r="D936" s="3" t="str">
        <f>VLOOKUP($C936,Overall!$K$5:$T$36,2)</f>
        <v>Normal</v>
      </c>
      <c r="E936" s="3">
        <f ca="1">VLOOKUP($C936,Overall!$K$5:$T$36,10)</f>
        <v>-1.5</v>
      </c>
      <c r="F936" s="9" t="str">
        <f>VLOOKUP($C936,Overall!$K$5:$T$36,6)</f>
        <v>10111111110000000000000000000000</v>
      </c>
      <c r="G936" s="8">
        <v>21</v>
      </c>
      <c r="H936" s="3" t="str">
        <f>VLOOKUP($G936,Overall!$K$5:$T$36,2)</f>
        <v>Normal</v>
      </c>
      <c r="I936" s="3">
        <f ca="1">VLOOKUP($G936,Overall!$K$5:$T$36,10)</f>
        <v>2.345678924830959E+38</v>
      </c>
      <c r="J936" s="62" t="str">
        <f>VLOOKUP($G936,Overall!$K$5:$T$36,6)</f>
        <v>01111111001100000111100000100010</v>
      </c>
      <c r="K936" s="8">
        <f t="shared" ca="1" si="126"/>
        <v>-3.5185183872464385E+38</v>
      </c>
      <c r="L936" s="62">
        <f>VLOOKUP($B936,Overall!$B$5:$I$13,8)</f>
        <v>0</v>
      </c>
      <c r="M936" s="58"/>
      <c r="N936" s="3" t="str">
        <f t="shared" si="127"/>
        <v/>
      </c>
      <c r="O936" s="3" t="str">
        <f t="shared" si="128"/>
        <v/>
      </c>
      <c r="P936" s="3" t="str">
        <f t="shared" si="129"/>
        <v/>
      </c>
      <c r="Q936" s="3">
        <f t="shared" si="130"/>
        <v>0</v>
      </c>
      <c r="R936" s="3">
        <f t="shared" si="131"/>
        <v>0</v>
      </c>
      <c r="S936" s="3" t="e" cm="1">
        <f t="array" aca="1" ref="S936" ca="1">SUMPRODUCT(MID($P936,ROW(INDIRECT("1:23")),1)*2^(-ROW(INDIRECT("1:23"))))</f>
        <v>#VALUE!</v>
      </c>
      <c r="T936" s="3" t="e">
        <f t="shared" ca="1" si="132"/>
        <v>#VALUE!</v>
      </c>
      <c r="U936" s="3" t="e">
        <f t="shared" ca="1" si="133"/>
        <v>#VALUE!</v>
      </c>
      <c r="V936" s="73"/>
      <c r="W936" s="9" t="str">
        <f t="shared" si="134"/>
        <v>OK</v>
      </c>
    </row>
    <row r="937" spans="1:23" x14ac:dyDescent="0.3">
      <c r="A937" s="44">
        <v>934</v>
      </c>
      <c r="B937" s="14">
        <v>9</v>
      </c>
      <c r="C937" s="4">
        <v>28</v>
      </c>
      <c r="D937" s="3" t="str">
        <f>VLOOKUP($C937,Overall!$K$5:$T$36,2)</f>
        <v>Normal</v>
      </c>
      <c r="E937" s="3">
        <f ca="1">VLOOKUP($C937,Overall!$K$5:$T$36,10)</f>
        <v>-1.5</v>
      </c>
      <c r="F937" s="9" t="str">
        <f>VLOOKUP($C937,Overall!$K$5:$T$36,6)</f>
        <v>10111111110000000000000000000000</v>
      </c>
      <c r="G937" s="8">
        <v>22</v>
      </c>
      <c r="H937" s="3" t="str">
        <f>VLOOKUP($G937,Overall!$K$5:$T$36,2)</f>
        <v>Normal</v>
      </c>
      <c r="I937" s="3">
        <f ca="1">VLOOKUP($G937,Overall!$K$5:$T$36,10)</f>
        <v>3.4028232635611926E+38</v>
      </c>
      <c r="J937" s="62" t="str">
        <f>VLOOKUP($G937,Overall!$K$5:$T$36,6)</f>
        <v>01111111011111111111111111111110</v>
      </c>
      <c r="K937" s="8">
        <f t="shared" ca="1" si="126"/>
        <v>-5.1042348953417888E+38</v>
      </c>
      <c r="L937" s="62">
        <f>VLOOKUP($B937,Overall!$B$5:$I$13,8)</f>
        <v>0</v>
      </c>
      <c r="M937" s="58"/>
      <c r="N937" s="3" t="str">
        <f t="shared" si="127"/>
        <v/>
      </c>
      <c r="O937" s="3" t="str">
        <f t="shared" si="128"/>
        <v/>
      </c>
      <c r="P937" s="3" t="str">
        <f t="shared" si="129"/>
        <v/>
      </c>
      <c r="Q937" s="3">
        <f t="shared" si="130"/>
        <v>0</v>
      </c>
      <c r="R937" s="3">
        <f t="shared" si="131"/>
        <v>0</v>
      </c>
      <c r="S937" s="3" t="e" cm="1">
        <f t="array" aca="1" ref="S937" ca="1">SUMPRODUCT(MID($P937,ROW(INDIRECT("1:23")),1)*2^(-ROW(INDIRECT("1:23"))))</f>
        <v>#VALUE!</v>
      </c>
      <c r="T937" s="3" t="e">
        <f t="shared" ca="1" si="132"/>
        <v>#VALUE!</v>
      </c>
      <c r="U937" s="3" t="e">
        <f t="shared" ca="1" si="133"/>
        <v>#VALUE!</v>
      </c>
      <c r="V937" s="73"/>
      <c r="W937" s="9" t="str">
        <f t="shared" si="134"/>
        <v>OK</v>
      </c>
    </row>
    <row r="938" spans="1:23" x14ac:dyDescent="0.3">
      <c r="A938" s="44">
        <v>935</v>
      </c>
      <c r="B938" s="14">
        <v>9</v>
      </c>
      <c r="C938" s="4">
        <v>28</v>
      </c>
      <c r="D938" s="3" t="str">
        <f>VLOOKUP($C938,Overall!$K$5:$T$36,2)</f>
        <v>Normal</v>
      </c>
      <c r="E938" s="3">
        <f ca="1">VLOOKUP($C938,Overall!$K$5:$T$36,10)</f>
        <v>-1.5</v>
      </c>
      <c r="F938" s="9" t="str">
        <f>VLOOKUP($C938,Overall!$K$5:$T$36,6)</f>
        <v>10111111110000000000000000000000</v>
      </c>
      <c r="G938" s="8">
        <v>23</v>
      </c>
      <c r="H938" s="3" t="str">
        <f>VLOOKUP($G938,Overall!$K$5:$T$36,2)</f>
        <v>Normal</v>
      </c>
      <c r="I938" s="3">
        <f ca="1">VLOOKUP($G938,Overall!$K$5:$T$36,10)</f>
        <v>3.4028234663852886E+38</v>
      </c>
      <c r="J938" s="62" t="str">
        <f>VLOOKUP($G938,Overall!$K$5:$T$36,6)</f>
        <v>01111111011111111111111111111111</v>
      </c>
      <c r="K938" s="8">
        <f t="shared" ca="1" si="126"/>
        <v>-5.1042351995779329E+38</v>
      </c>
      <c r="L938" s="62">
        <f>VLOOKUP($B938,Overall!$B$5:$I$13,8)</f>
        <v>0</v>
      </c>
      <c r="M938" s="58"/>
      <c r="N938" s="3" t="str">
        <f t="shared" si="127"/>
        <v/>
      </c>
      <c r="O938" s="3" t="str">
        <f t="shared" si="128"/>
        <v/>
      </c>
      <c r="P938" s="3" t="str">
        <f t="shared" si="129"/>
        <v/>
      </c>
      <c r="Q938" s="3">
        <f t="shared" si="130"/>
        <v>0</v>
      </c>
      <c r="R938" s="3">
        <f t="shared" si="131"/>
        <v>0</v>
      </c>
      <c r="S938" s="3" t="e" cm="1">
        <f t="array" aca="1" ref="S938" ca="1">SUMPRODUCT(MID($P938,ROW(INDIRECT("1:23")),1)*2^(-ROW(INDIRECT("1:23"))))</f>
        <v>#VALUE!</v>
      </c>
      <c r="T938" s="3" t="e">
        <f t="shared" ca="1" si="132"/>
        <v>#VALUE!</v>
      </c>
      <c r="U938" s="3" t="e">
        <f t="shared" ca="1" si="133"/>
        <v>#VALUE!</v>
      </c>
      <c r="V938" s="73"/>
      <c r="W938" s="9" t="str">
        <f t="shared" si="134"/>
        <v>OK</v>
      </c>
    </row>
    <row r="939" spans="1:23" x14ac:dyDescent="0.3">
      <c r="A939" s="44">
        <v>936</v>
      </c>
      <c r="B939" s="14">
        <v>9</v>
      </c>
      <c r="C939" s="4">
        <v>28</v>
      </c>
      <c r="D939" s="3" t="str">
        <f>VLOOKUP($C939,Overall!$K$5:$T$36,2)</f>
        <v>Normal</v>
      </c>
      <c r="E939" s="3">
        <f ca="1">VLOOKUP($C939,Overall!$K$5:$T$36,10)</f>
        <v>-1.5</v>
      </c>
      <c r="F939" s="9" t="str">
        <f>VLOOKUP($C939,Overall!$K$5:$T$36,6)</f>
        <v>10111111110000000000000000000000</v>
      </c>
      <c r="G939" s="8">
        <v>24</v>
      </c>
      <c r="H939" s="3" t="str">
        <f>VLOOKUP($G939,Overall!$K$5:$T$36,2)</f>
        <v>Normal</v>
      </c>
      <c r="I939" s="3">
        <f ca="1">VLOOKUP($G939,Overall!$K$5:$T$36,10)</f>
        <v>-1.1754943508222875E-38</v>
      </c>
      <c r="J939" s="62" t="str">
        <f>VLOOKUP($G939,Overall!$K$5:$T$36,6)</f>
        <v>10000000100000000000000000000000</v>
      </c>
      <c r="K939" s="8">
        <f t="shared" ca="1" si="126"/>
        <v>1.7632415262334313E-38</v>
      </c>
      <c r="L939" s="62">
        <f>VLOOKUP($B939,Overall!$B$5:$I$13,8)</f>
        <v>0</v>
      </c>
      <c r="M939" s="58"/>
      <c r="N939" s="3" t="str">
        <f t="shared" si="127"/>
        <v/>
      </c>
      <c r="O939" s="3" t="str">
        <f t="shared" si="128"/>
        <v/>
      </c>
      <c r="P939" s="3" t="str">
        <f t="shared" si="129"/>
        <v/>
      </c>
      <c r="Q939" s="3">
        <f t="shared" si="130"/>
        <v>0</v>
      </c>
      <c r="R939" s="3">
        <f t="shared" si="131"/>
        <v>0</v>
      </c>
      <c r="S939" s="3" t="e" cm="1">
        <f t="array" aca="1" ref="S939" ca="1">SUMPRODUCT(MID($P939,ROW(INDIRECT("1:23")),1)*2^(-ROW(INDIRECT("1:23"))))</f>
        <v>#VALUE!</v>
      </c>
      <c r="T939" s="3" t="e">
        <f t="shared" ca="1" si="132"/>
        <v>#VALUE!</v>
      </c>
      <c r="U939" s="3" t="e">
        <f t="shared" ca="1" si="133"/>
        <v>#VALUE!</v>
      </c>
      <c r="V939" s="73"/>
      <c r="W939" s="9" t="str">
        <f t="shared" si="134"/>
        <v>OK</v>
      </c>
    </row>
    <row r="940" spans="1:23" x14ac:dyDescent="0.3">
      <c r="A940" s="44">
        <v>937</v>
      </c>
      <c r="B940" s="14">
        <v>9</v>
      </c>
      <c r="C940" s="4">
        <v>28</v>
      </c>
      <c r="D940" s="3" t="str">
        <f>VLOOKUP($C940,Overall!$K$5:$T$36,2)</f>
        <v>Normal</v>
      </c>
      <c r="E940" s="3">
        <f ca="1">VLOOKUP($C940,Overall!$K$5:$T$36,10)</f>
        <v>-1.5</v>
      </c>
      <c r="F940" s="9" t="str">
        <f>VLOOKUP($C940,Overall!$K$5:$T$36,6)</f>
        <v>10111111110000000000000000000000</v>
      </c>
      <c r="G940" s="8">
        <v>25</v>
      </c>
      <c r="H940" s="3" t="str">
        <f>VLOOKUP($G940,Overall!$K$5:$T$36,2)</f>
        <v>Normal</v>
      </c>
      <c r="I940" s="3">
        <f ca="1">VLOOKUP($G940,Overall!$K$5:$T$36,10)</f>
        <v>-1.1754944909521339E-38</v>
      </c>
      <c r="J940" s="62" t="str">
        <f>VLOOKUP($G940,Overall!$K$5:$T$36,6)</f>
        <v>10000000100000000000000000000001</v>
      </c>
      <c r="K940" s="8">
        <f t="shared" ca="1" si="126"/>
        <v>1.7632417364282009E-38</v>
      </c>
      <c r="L940" s="62">
        <f>VLOOKUP($B940,Overall!$B$5:$I$13,8)</f>
        <v>0</v>
      </c>
      <c r="M940" s="58"/>
      <c r="N940" s="3" t="str">
        <f t="shared" si="127"/>
        <v/>
      </c>
      <c r="O940" s="3" t="str">
        <f t="shared" si="128"/>
        <v/>
      </c>
      <c r="P940" s="3" t="str">
        <f t="shared" si="129"/>
        <v/>
      </c>
      <c r="Q940" s="3">
        <f t="shared" si="130"/>
        <v>0</v>
      </c>
      <c r="R940" s="3">
        <f t="shared" si="131"/>
        <v>0</v>
      </c>
      <c r="S940" s="3" t="e" cm="1">
        <f t="array" aca="1" ref="S940" ca="1">SUMPRODUCT(MID($P940,ROW(INDIRECT("1:23")),1)*2^(-ROW(INDIRECT("1:23"))))</f>
        <v>#VALUE!</v>
      </c>
      <c r="T940" s="3" t="e">
        <f t="shared" ca="1" si="132"/>
        <v>#VALUE!</v>
      </c>
      <c r="U940" s="3" t="e">
        <f t="shared" ca="1" si="133"/>
        <v>#VALUE!</v>
      </c>
      <c r="V940" s="73"/>
      <c r="W940" s="9" t="str">
        <f t="shared" si="134"/>
        <v>OK</v>
      </c>
    </row>
    <row r="941" spans="1:23" x14ac:dyDescent="0.3">
      <c r="A941" s="44">
        <v>938</v>
      </c>
      <c r="B941" s="14">
        <v>9</v>
      </c>
      <c r="C941" s="4">
        <v>28</v>
      </c>
      <c r="D941" s="3" t="str">
        <f>VLOOKUP($C941,Overall!$K$5:$T$36,2)</f>
        <v>Normal</v>
      </c>
      <c r="E941" s="3">
        <f ca="1">VLOOKUP($C941,Overall!$K$5:$T$36,10)</f>
        <v>-1.5</v>
      </c>
      <c r="F941" s="9" t="str">
        <f>VLOOKUP($C941,Overall!$K$5:$T$36,6)</f>
        <v>10111111110000000000000000000000</v>
      </c>
      <c r="G941" s="8">
        <v>26</v>
      </c>
      <c r="H941" s="3" t="str">
        <f>VLOOKUP($G941,Overall!$K$5:$T$36,2)</f>
        <v>Normal</v>
      </c>
      <c r="I941" s="3">
        <f ca="1">VLOOKUP($G941,Overall!$K$5:$T$36,10)</f>
        <v>-0.5</v>
      </c>
      <c r="J941" s="62" t="str">
        <f>VLOOKUP($G941,Overall!$K$5:$T$36,6)</f>
        <v>10111111000000000000000000000000</v>
      </c>
      <c r="K941" s="8">
        <f t="shared" ca="1" si="126"/>
        <v>0.75</v>
      </c>
      <c r="L941" s="62">
        <f>VLOOKUP($B941,Overall!$B$5:$I$13,8)</f>
        <v>0</v>
      </c>
      <c r="M941" s="58"/>
      <c r="N941" s="3" t="str">
        <f t="shared" si="127"/>
        <v/>
      </c>
      <c r="O941" s="3" t="str">
        <f t="shared" si="128"/>
        <v/>
      </c>
      <c r="P941" s="3" t="str">
        <f t="shared" si="129"/>
        <v/>
      </c>
      <c r="Q941" s="3">
        <f t="shared" si="130"/>
        <v>0</v>
      </c>
      <c r="R941" s="3">
        <f t="shared" si="131"/>
        <v>0</v>
      </c>
      <c r="S941" s="3" t="e" cm="1">
        <f t="array" aca="1" ref="S941" ca="1">SUMPRODUCT(MID($P941,ROW(INDIRECT("1:23")),1)*2^(-ROW(INDIRECT("1:23"))))</f>
        <v>#VALUE!</v>
      </c>
      <c r="T941" s="3" t="e">
        <f t="shared" ca="1" si="132"/>
        <v>#VALUE!</v>
      </c>
      <c r="U941" s="3" t="e">
        <f t="shared" ca="1" si="133"/>
        <v>#VALUE!</v>
      </c>
      <c r="V941" s="73"/>
      <c r="W941" s="9" t="str">
        <f t="shared" si="134"/>
        <v>OK</v>
      </c>
    </row>
    <row r="942" spans="1:23" x14ac:dyDescent="0.3">
      <c r="A942" s="44">
        <v>939</v>
      </c>
      <c r="B942" s="14">
        <v>9</v>
      </c>
      <c r="C942" s="4">
        <v>28</v>
      </c>
      <c r="D942" s="3" t="str">
        <f>VLOOKUP($C942,Overall!$K$5:$T$36,2)</f>
        <v>Normal</v>
      </c>
      <c r="E942" s="3">
        <f ca="1">VLOOKUP($C942,Overall!$K$5:$T$36,10)</f>
        <v>-1.5</v>
      </c>
      <c r="F942" s="9" t="str">
        <f>VLOOKUP($C942,Overall!$K$5:$T$36,6)</f>
        <v>10111111110000000000000000000000</v>
      </c>
      <c r="G942" s="8">
        <v>27</v>
      </c>
      <c r="H942" s="3" t="str">
        <f>VLOOKUP($G942,Overall!$K$5:$T$36,2)</f>
        <v>Normal</v>
      </c>
      <c r="I942" s="3">
        <f ca="1">VLOOKUP($G942,Overall!$K$5:$T$36,10)</f>
        <v>-1</v>
      </c>
      <c r="J942" s="62" t="str">
        <f>VLOOKUP($G942,Overall!$K$5:$T$36,6)</f>
        <v>10111111100000000000000000000000</v>
      </c>
      <c r="K942" s="8">
        <f t="shared" ca="1" si="126"/>
        <v>1.5</v>
      </c>
      <c r="L942" s="62">
        <f>VLOOKUP($B942,Overall!$B$5:$I$13,8)</f>
        <v>0</v>
      </c>
      <c r="M942" s="58"/>
      <c r="N942" s="3" t="str">
        <f t="shared" si="127"/>
        <v/>
      </c>
      <c r="O942" s="3" t="str">
        <f t="shared" si="128"/>
        <v/>
      </c>
      <c r="P942" s="3" t="str">
        <f t="shared" si="129"/>
        <v/>
      </c>
      <c r="Q942" s="3">
        <f t="shared" si="130"/>
        <v>0</v>
      </c>
      <c r="R942" s="3">
        <f t="shared" si="131"/>
        <v>0</v>
      </c>
      <c r="S942" s="3" t="e" cm="1">
        <f t="array" aca="1" ref="S942" ca="1">SUMPRODUCT(MID($P942,ROW(INDIRECT("1:23")),1)*2^(-ROW(INDIRECT("1:23"))))</f>
        <v>#VALUE!</v>
      </c>
      <c r="T942" s="3" t="e">
        <f t="shared" ca="1" si="132"/>
        <v>#VALUE!</v>
      </c>
      <c r="U942" s="3" t="e">
        <f t="shared" ca="1" si="133"/>
        <v>#VALUE!</v>
      </c>
      <c r="V942" s="73"/>
      <c r="W942" s="9" t="str">
        <f t="shared" si="134"/>
        <v>OK</v>
      </c>
    </row>
    <row r="943" spans="1:23" x14ac:dyDescent="0.3">
      <c r="A943" s="44">
        <v>940</v>
      </c>
      <c r="B943" s="14">
        <v>9</v>
      </c>
      <c r="C943" s="4">
        <v>28</v>
      </c>
      <c r="D943" s="3" t="str">
        <f>VLOOKUP($C943,Overall!$K$5:$T$36,2)</f>
        <v>Normal</v>
      </c>
      <c r="E943" s="3">
        <f ca="1">VLOOKUP($C943,Overall!$K$5:$T$36,10)</f>
        <v>-1.5</v>
      </c>
      <c r="F943" s="9" t="str">
        <f>VLOOKUP($C943,Overall!$K$5:$T$36,6)</f>
        <v>10111111110000000000000000000000</v>
      </c>
      <c r="G943" s="8">
        <v>28</v>
      </c>
      <c r="H943" s="3" t="str">
        <f>VLOOKUP($G943,Overall!$K$5:$T$36,2)</f>
        <v>Normal</v>
      </c>
      <c r="I943" s="3">
        <f ca="1">VLOOKUP($G943,Overall!$K$5:$T$36,10)</f>
        <v>-1.5</v>
      </c>
      <c r="J943" s="62" t="str">
        <f>VLOOKUP($G943,Overall!$K$5:$T$36,6)</f>
        <v>10111111110000000000000000000000</v>
      </c>
      <c r="K943" s="8">
        <f t="shared" ca="1" si="126"/>
        <v>2.25</v>
      </c>
      <c r="L943" s="62">
        <f>VLOOKUP($B943,Overall!$B$5:$I$13,8)</f>
        <v>0</v>
      </c>
      <c r="M943" s="58"/>
      <c r="N943" s="3" t="str">
        <f t="shared" si="127"/>
        <v/>
      </c>
      <c r="O943" s="3" t="str">
        <f t="shared" si="128"/>
        <v/>
      </c>
      <c r="P943" s="3" t="str">
        <f t="shared" si="129"/>
        <v/>
      </c>
      <c r="Q943" s="3">
        <f t="shared" si="130"/>
        <v>0</v>
      </c>
      <c r="R943" s="3">
        <f t="shared" si="131"/>
        <v>0</v>
      </c>
      <c r="S943" s="3" t="e" cm="1">
        <f t="array" aca="1" ref="S943" ca="1">SUMPRODUCT(MID($P943,ROW(INDIRECT("1:23")),1)*2^(-ROW(INDIRECT("1:23"))))</f>
        <v>#VALUE!</v>
      </c>
      <c r="T943" s="3" t="e">
        <f t="shared" ca="1" si="132"/>
        <v>#VALUE!</v>
      </c>
      <c r="U943" s="3" t="e">
        <f t="shared" ca="1" si="133"/>
        <v>#VALUE!</v>
      </c>
      <c r="V943" s="73"/>
      <c r="W943" s="9" t="str">
        <f t="shared" si="134"/>
        <v>OK</v>
      </c>
    </row>
    <row r="944" spans="1:23" x14ac:dyDescent="0.3">
      <c r="A944" s="44">
        <v>941</v>
      </c>
      <c r="B944" s="14">
        <v>9</v>
      </c>
      <c r="C944" s="4">
        <v>28</v>
      </c>
      <c r="D944" s="3" t="str">
        <f>VLOOKUP($C944,Overall!$K$5:$T$36,2)</f>
        <v>Normal</v>
      </c>
      <c r="E944" s="3">
        <f ca="1">VLOOKUP($C944,Overall!$K$5:$T$36,10)</f>
        <v>-1.5</v>
      </c>
      <c r="F944" s="9" t="str">
        <f>VLOOKUP($C944,Overall!$K$5:$T$36,6)</f>
        <v>10111111110000000000000000000000</v>
      </c>
      <c r="G944" s="8">
        <v>29</v>
      </c>
      <c r="H944" s="3" t="str">
        <f>VLOOKUP($G944,Overall!$K$5:$T$36,2)</f>
        <v>Normal</v>
      </c>
      <c r="I944" s="3">
        <f ca="1">VLOOKUP($G944,Overall!$K$5:$T$36,10)</f>
        <v>-12345.6787109375</v>
      </c>
      <c r="J944" s="62" t="str">
        <f>VLOOKUP($G944,Overall!$K$5:$T$36,6)</f>
        <v>101000110010000001110011010110111</v>
      </c>
      <c r="K944" s="8">
        <f t="shared" ca="1" si="126"/>
        <v>18518.51806640625</v>
      </c>
      <c r="L944" s="62">
        <f>VLOOKUP($B944,Overall!$B$5:$I$13,8)</f>
        <v>0</v>
      </c>
      <c r="M944" s="58"/>
      <c r="N944" s="3" t="str">
        <f t="shared" si="127"/>
        <v/>
      </c>
      <c r="O944" s="3" t="str">
        <f t="shared" si="128"/>
        <v/>
      </c>
      <c r="P944" s="3" t="str">
        <f t="shared" si="129"/>
        <v/>
      </c>
      <c r="Q944" s="3">
        <f t="shared" si="130"/>
        <v>0</v>
      </c>
      <c r="R944" s="3">
        <f t="shared" si="131"/>
        <v>0</v>
      </c>
      <c r="S944" s="3" t="e" cm="1">
        <f t="array" aca="1" ref="S944" ca="1">SUMPRODUCT(MID($P944,ROW(INDIRECT("1:23")),1)*2^(-ROW(INDIRECT("1:23"))))</f>
        <v>#VALUE!</v>
      </c>
      <c r="T944" s="3" t="e">
        <f t="shared" ca="1" si="132"/>
        <v>#VALUE!</v>
      </c>
      <c r="U944" s="3" t="e">
        <f t="shared" ca="1" si="133"/>
        <v>#VALUE!</v>
      </c>
      <c r="V944" s="73"/>
      <c r="W944" s="9" t="str">
        <f t="shared" si="134"/>
        <v>OK</v>
      </c>
    </row>
    <row r="945" spans="1:23" x14ac:dyDescent="0.3">
      <c r="A945" s="44">
        <v>942</v>
      </c>
      <c r="B945" s="14">
        <v>9</v>
      </c>
      <c r="C945" s="4">
        <v>28</v>
      </c>
      <c r="D945" s="3" t="str">
        <f>VLOOKUP($C945,Overall!$K$5:$T$36,2)</f>
        <v>Normal</v>
      </c>
      <c r="E945" s="3">
        <f ca="1">VLOOKUP($C945,Overall!$K$5:$T$36,10)</f>
        <v>-1.5</v>
      </c>
      <c r="F945" s="9" t="str">
        <f>VLOOKUP($C945,Overall!$K$5:$T$36,6)</f>
        <v>10111111110000000000000000000000</v>
      </c>
      <c r="G945" s="8">
        <v>30</v>
      </c>
      <c r="H945" s="3" t="str">
        <f>VLOOKUP($G945,Overall!$K$5:$T$36,2)</f>
        <v>Normal</v>
      </c>
      <c r="I945" s="3">
        <f ca="1">VLOOKUP($G945,Overall!$K$5:$T$36,10)</f>
        <v>-2.345678924830959E+38</v>
      </c>
      <c r="J945" s="62" t="str">
        <f>VLOOKUP($G945,Overall!$K$5:$T$36,6)</f>
        <v>11111111001100000111100000100010</v>
      </c>
      <c r="K945" s="8">
        <f t="shared" ca="1" si="126"/>
        <v>3.5185183872464385E+38</v>
      </c>
      <c r="L945" s="62">
        <f>VLOOKUP($B945,Overall!$B$5:$I$13,8)</f>
        <v>0</v>
      </c>
      <c r="M945" s="58"/>
      <c r="N945" s="3" t="str">
        <f t="shared" si="127"/>
        <v/>
      </c>
      <c r="O945" s="3" t="str">
        <f t="shared" si="128"/>
        <v/>
      </c>
      <c r="P945" s="3" t="str">
        <f t="shared" si="129"/>
        <v/>
      </c>
      <c r="Q945" s="3">
        <f t="shared" si="130"/>
        <v>0</v>
      </c>
      <c r="R945" s="3">
        <f t="shared" si="131"/>
        <v>0</v>
      </c>
      <c r="S945" s="3" t="e" cm="1">
        <f t="array" aca="1" ref="S945" ca="1">SUMPRODUCT(MID($P945,ROW(INDIRECT("1:23")),1)*2^(-ROW(INDIRECT("1:23"))))</f>
        <v>#VALUE!</v>
      </c>
      <c r="T945" s="3" t="e">
        <f t="shared" ca="1" si="132"/>
        <v>#VALUE!</v>
      </c>
      <c r="U945" s="3" t="e">
        <f t="shared" ca="1" si="133"/>
        <v>#VALUE!</v>
      </c>
      <c r="V945" s="73"/>
      <c r="W945" s="9" t="str">
        <f t="shared" si="134"/>
        <v>OK</v>
      </c>
    </row>
    <row r="946" spans="1:23" x14ac:dyDescent="0.3">
      <c r="A946" s="44">
        <v>943</v>
      </c>
      <c r="B946" s="14">
        <v>9</v>
      </c>
      <c r="C946" s="4">
        <v>28</v>
      </c>
      <c r="D946" s="3" t="str">
        <f>VLOOKUP($C946,Overall!$K$5:$T$36,2)</f>
        <v>Normal</v>
      </c>
      <c r="E946" s="3">
        <f ca="1">VLOOKUP($C946,Overall!$K$5:$T$36,10)</f>
        <v>-1.5</v>
      </c>
      <c r="F946" s="9" t="str">
        <f>VLOOKUP($C946,Overall!$K$5:$T$36,6)</f>
        <v>10111111110000000000000000000000</v>
      </c>
      <c r="G946" s="8">
        <v>31</v>
      </c>
      <c r="H946" s="3" t="str">
        <f>VLOOKUP($G946,Overall!$K$5:$T$36,2)</f>
        <v>Normal</v>
      </c>
      <c r="I946" s="3">
        <f ca="1">VLOOKUP($G946,Overall!$K$5:$T$36,10)</f>
        <v>-3.4028232635611926E+38</v>
      </c>
      <c r="J946" s="62" t="str">
        <f>VLOOKUP($G946,Overall!$K$5:$T$36,6)</f>
        <v>11111111011111111111111111111110</v>
      </c>
      <c r="K946" s="8">
        <f t="shared" ca="1" si="126"/>
        <v>5.1042348953417888E+38</v>
      </c>
      <c r="L946" s="62">
        <f>VLOOKUP($B946,Overall!$B$5:$I$13,8)</f>
        <v>0</v>
      </c>
      <c r="M946" s="58"/>
      <c r="N946" s="3" t="str">
        <f t="shared" si="127"/>
        <v/>
      </c>
      <c r="O946" s="3" t="str">
        <f t="shared" si="128"/>
        <v/>
      </c>
      <c r="P946" s="3" t="str">
        <f t="shared" si="129"/>
        <v/>
      </c>
      <c r="Q946" s="3">
        <f t="shared" si="130"/>
        <v>0</v>
      </c>
      <c r="R946" s="3">
        <f t="shared" si="131"/>
        <v>0</v>
      </c>
      <c r="S946" s="3" t="e" cm="1">
        <f t="array" aca="1" ref="S946" ca="1">SUMPRODUCT(MID($P946,ROW(INDIRECT("1:23")),1)*2^(-ROW(INDIRECT("1:23"))))</f>
        <v>#VALUE!</v>
      </c>
      <c r="T946" s="3" t="e">
        <f t="shared" ca="1" si="132"/>
        <v>#VALUE!</v>
      </c>
      <c r="U946" s="3" t="e">
        <f t="shared" ca="1" si="133"/>
        <v>#VALUE!</v>
      </c>
      <c r="V946" s="73"/>
      <c r="W946" s="9" t="str">
        <f t="shared" si="134"/>
        <v>OK</v>
      </c>
    </row>
    <row r="947" spans="1:23" x14ac:dyDescent="0.3">
      <c r="A947" s="44">
        <v>944</v>
      </c>
      <c r="B947" s="14">
        <v>9</v>
      </c>
      <c r="C947" s="4">
        <v>28</v>
      </c>
      <c r="D947" s="3" t="str">
        <f>VLOOKUP($C947,Overall!$K$5:$T$36,2)</f>
        <v>Normal</v>
      </c>
      <c r="E947" s="3">
        <f ca="1">VLOOKUP($C947,Overall!$K$5:$T$36,10)</f>
        <v>-1.5</v>
      </c>
      <c r="F947" s="9" t="str">
        <f>VLOOKUP($C947,Overall!$K$5:$T$36,6)</f>
        <v>10111111110000000000000000000000</v>
      </c>
      <c r="G947" s="8">
        <v>32</v>
      </c>
      <c r="H947" s="3" t="str">
        <f>VLOOKUP($G947,Overall!$K$5:$T$36,2)</f>
        <v>Normal</v>
      </c>
      <c r="I947" s="3">
        <f ca="1">VLOOKUP($G947,Overall!$K$5:$T$36,10)</f>
        <v>-3.4028234663852886E+38</v>
      </c>
      <c r="J947" s="62" t="str">
        <f>VLOOKUP($G947,Overall!$K$5:$T$36,6)</f>
        <v>11111111011111111111111111111111</v>
      </c>
      <c r="K947" s="8">
        <f t="shared" ca="1" si="126"/>
        <v>5.1042351995779329E+38</v>
      </c>
      <c r="L947" s="62">
        <f>VLOOKUP($B947,Overall!$B$5:$I$13,8)</f>
        <v>0</v>
      </c>
      <c r="M947" s="58"/>
      <c r="N947" s="3" t="str">
        <f t="shared" si="127"/>
        <v/>
      </c>
      <c r="O947" s="3" t="str">
        <f t="shared" si="128"/>
        <v/>
      </c>
      <c r="P947" s="3" t="str">
        <f t="shared" si="129"/>
        <v/>
      </c>
      <c r="Q947" s="3">
        <f t="shared" si="130"/>
        <v>0</v>
      </c>
      <c r="R947" s="3">
        <f t="shared" si="131"/>
        <v>0</v>
      </c>
      <c r="S947" s="3" t="e" cm="1">
        <f t="array" aca="1" ref="S947" ca="1">SUMPRODUCT(MID($P947,ROW(INDIRECT("1:23")),1)*2^(-ROW(INDIRECT("1:23"))))</f>
        <v>#VALUE!</v>
      </c>
      <c r="T947" s="3" t="e">
        <f t="shared" ca="1" si="132"/>
        <v>#VALUE!</v>
      </c>
      <c r="U947" s="3" t="e">
        <f t="shared" ca="1" si="133"/>
        <v>#VALUE!</v>
      </c>
      <c r="V947" s="73"/>
      <c r="W947" s="9" t="str">
        <f t="shared" si="134"/>
        <v>OK</v>
      </c>
    </row>
    <row r="948" spans="1:23" x14ac:dyDescent="0.3">
      <c r="A948" s="44">
        <v>945</v>
      </c>
      <c r="B948" s="14">
        <v>9</v>
      </c>
      <c r="C948" s="4">
        <v>29</v>
      </c>
      <c r="D948" s="3" t="str">
        <f>VLOOKUP($C948,Overall!$K$5:$T$36,2)</f>
        <v>Normal</v>
      </c>
      <c r="E948" s="3">
        <f ca="1">VLOOKUP($C948,Overall!$K$5:$T$36,10)</f>
        <v>-12345.6787109375</v>
      </c>
      <c r="F948" s="9" t="str">
        <f>VLOOKUP($C948,Overall!$K$5:$T$36,6)</f>
        <v>101000110010000001110011010110111</v>
      </c>
      <c r="G948" s="8">
        <v>13</v>
      </c>
      <c r="H948" s="3" t="str">
        <f>VLOOKUP($G948,Overall!$K$5:$T$36,2)</f>
        <v>Normal</v>
      </c>
      <c r="I948" s="3">
        <f ca="1">VLOOKUP($G948,Overall!$K$5:$T$36,10)</f>
        <v>0</v>
      </c>
      <c r="J948" s="62" t="str">
        <f>VLOOKUP($G948,Overall!$K$5:$T$36,6)</f>
        <v>00000000000000000000000000000000</v>
      </c>
      <c r="K948" s="8">
        <f t="shared" ca="1" si="126"/>
        <v>0</v>
      </c>
      <c r="L948" s="62">
        <f>VLOOKUP($B948,Overall!$B$5:$I$13,8)</f>
        <v>0</v>
      </c>
      <c r="M948" s="58"/>
      <c r="N948" s="3" t="str">
        <f t="shared" si="127"/>
        <v/>
      </c>
      <c r="O948" s="3" t="str">
        <f t="shared" si="128"/>
        <v/>
      </c>
      <c r="P948" s="3" t="str">
        <f t="shared" si="129"/>
        <v/>
      </c>
      <c r="Q948" s="3">
        <f t="shared" si="130"/>
        <v>0</v>
      </c>
      <c r="R948" s="3">
        <f t="shared" si="131"/>
        <v>0</v>
      </c>
      <c r="S948" s="3" t="e" cm="1">
        <f t="array" aca="1" ref="S948" ca="1">SUMPRODUCT(MID($P948,ROW(INDIRECT("1:23")),1)*2^(-ROW(INDIRECT("1:23"))))</f>
        <v>#VALUE!</v>
      </c>
      <c r="T948" s="3" t="e">
        <f t="shared" ca="1" si="132"/>
        <v>#VALUE!</v>
      </c>
      <c r="U948" s="3" t="e">
        <f t="shared" ca="1" si="133"/>
        <v>#VALUE!</v>
      </c>
      <c r="V948" s="73"/>
      <c r="W948" s="9" t="str">
        <f t="shared" si="134"/>
        <v>OK</v>
      </c>
    </row>
    <row r="949" spans="1:23" x14ac:dyDescent="0.3">
      <c r="A949" s="44">
        <v>946</v>
      </c>
      <c r="B949" s="14">
        <v>9</v>
      </c>
      <c r="C949" s="4">
        <v>29</v>
      </c>
      <c r="D949" s="3" t="str">
        <f>VLOOKUP($C949,Overall!$K$5:$T$36,2)</f>
        <v>Normal</v>
      </c>
      <c r="E949" s="3">
        <f ca="1">VLOOKUP($C949,Overall!$K$5:$T$36,10)</f>
        <v>-12345.6787109375</v>
      </c>
      <c r="F949" s="9" t="str">
        <f>VLOOKUP($C949,Overall!$K$5:$T$36,6)</f>
        <v>101000110010000001110011010110111</v>
      </c>
      <c r="G949" s="8">
        <v>14</v>
      </c>
      <c r="H949" s="3" t="str">
        <f>VLOOKUP($G949,Overall!$K$5:$T$36,2)</f>
        <v>Normal</v>
      </c>
      <c r="I949" s="3">
        <f ca="1">VLOOKUP($G949,Overall!$K$5:$T$36,10)</f>
        <v>0</v>
      </c>
      <c r="J949" s="62" t="str">
        <f>VLOOKUP($G949,Overall!$K$5:$T$36,6)</f>
        <v>10000000000000000000000000000000</v>
      </c>
      <c r="K949" s="8">
        <f t="shared" ca="1" si="126"/>
        <v>0</v>
      </c>
      <c r="L949" s="62">
        <f>VLOOKUP($B949,Overall!$B$5:$I$13,8)</f>
        <v>0</v>
      </c>
      <c r="M949" s="58"/>
      <c r="N949" s="3" t="str">
        <f t="shared" si="127"/>
        <v/>
      </c>
      <c r="O949" s="3" t="str">
        <f t="shared" si="128"/>
        <v/>
      </c>
      <c r="P949" s="3" t="str">
        <f t="shared" si="129"/>
        <v/>
      </c>
      <c r="Q949" s="3">
        <f t="shared" si="130"/>
        <v>0</v>
      </c>
      <c r="R949" s="3">
        <f t="shared" si="131"/>
        <v>0</v>
      </c>
      <c r="S949" s="3" t="e" cm="1">
        <f t="array" aca="1" ref="S949" ca="1">SUMPRODUCT(MID($P949,ROW(INDIRECT("1:23")),1)*2^(-ROW(INDIRECT("1:23"))))</f>
        <v>#VALUE!</v>
      </c>
      <c r="T949" s="3" t="e">
        <f t="shared" ca="1" si="132"/>
        <v>#VALUE!</v>
      </c>
      <c r="U949" s="3" t="e">
        <f t="shared" ca="1" si="133"/>
        <v>#VALUE!</v>
      </c>
      <c r="V949" s="73"/>
      <c r="W949" s="9" t="str">
        <f t="shared" si="134"/>
        <v>OK</v>
      </c>
    </row>
    <row r="950" spans="1:23" x14ac:dyDescent="0.3">
      <c r="A950" s="44">
        <v>947</v>
      </c>
      <c r="B950" s="14">
        <v>9</v>
      </c>
      <c r="C950" s="4">
        <v>29</v>
      </c>
      <c r="D950" s="3" t="str">
        <f>VLOOKUP($C950,Overall!$K$5:$T$36,2)</f>
        <v>Normal</v>
      </c>
      <c r="E950" s="3">
        <f ca="1">VLOOKUP($C950,Overall!$K$5:$T$36,10)</f>
        <v>-12345.6787109375</v>
      </c>
      <c r="F950" s="9" t="str">
        <f>VLOOKUP($C950,Overall!$K$5:$T$36,6)</f>
        <v>101000110010000001110011010110111</v>
      </c>
      <c r="G950" s="8">
        <v>15</v>
      </c>
      <c r="H950" s="3" t="str">
        <f>VLOOKUP($G950,Overall!$K$5:$T$36,2)</f>
        <v>Normal</v>
      </c>
      <c r="I950" s="3">
        <f ca="1">VLOOKUP($G950,Overall!$K$5:$T$36,10)</f>
        <v>1.1754943508222875E-38</v>
      </c>
      <c r="J950" s="62" t="str">
        <f>VLOOKUP($G950,Overall!$K$5:$T$36,6)</f>
        <v>00000000100000000000000000000000</v>
      </c>
      <c r="K950" s="8">
        <f t="shared" ca="1" si="126"/>
        <v>-1.4512275581774012E-34</v>
      </c>
      <c r="L950" s="62">
        <f>VLOOKUP($B950,Overall!$B$5:$I$13,8)</f>
        <v>0</v>
      </c>
      <c r="M950" s="58"/>
      <c r="N950" s="3" t="str">
        <f t="shared" si="127"/>
        <v/>
      </c>
      <c r="O950" s="3" t="str">
        <f t="shared" si="128"/>
        <v/>
      </c>
      <c r="P950" s="3" t="str">
        <f t="shared" si="129"/>
        <v/>
      </c>
      <c r="Q950" s="3">
        <f t="shared" si="130"/>
        <v>0</v>
      </c>
      <c r="R950" s="3">
        <f t="shared" si="131"/>
        <v>0</v>
      </c>
      <c r="S950" s="3" t="e" cm="1">
        <f t="array" aca="1" ref="S950" ca="1">SUMPRODUCT(MID($P950,ROW(INDIRECT("1:23")),1)*2^(-ROW(INDIRECT("1:23"))))</f>
        <v>#VALUE!</v>
      </c>
      <c r="T950" s="3" t="e">
        <f t="shared" ca="1" si="132"/>
        <v>#VALUE!</v>
      </c>
      <c r="U950" s="3" t="e">
        <f t="shared" ca="1" si="133"/>
        <v>#VALUE!</v>
      </c>
      <c r="V950" s="73"/>
      <c r="W950" s="9" t="str">
        <f t="shared" si="134"/>
        <v>OK</v>
      </c>
    </row>
    <row r="951" spans="1:23" x14ac:dyDescent="0.3">
      <c r="A951" s="44">
        <v>948</v>
      </c>
      <c r="B951" s="14">
        <v>9</v>
      </c>
      <c r="C951" s="4">
        <v>29</v>
      </c>
      <c r="D951" s="3" t="str">
        <f>VLOOKUP($C951,Overall!$K$5:$T$36,2)</f>
        <v>Normal</v>
      </c>
      <c r="E951" s="3">
        <f ca="1">VLOOKUP($C951,Overall!$K$5:$T$36,10)</f>
        <v>-12345.6787109375</v>
      </c>
      <c r="F951" s="9" t="str">
        <f>VLOOKUP($C951,Overall!$K$5:$T$36,6)</f>
        <v>101000110010000001110011010110111</v>
      </c>
      <c r="G951" s="8">
        <v>16</v>
      </c>
      <c r="H951" s="3" t="str">
        <f>VLOOKUP($G951,Overall!$K$5:$T$36,2)</f>
        <v>Normal</v>
      </c>
      <c r="I951" s="3">
        <f ca="1">VLOOKUP($G951,Overall!$K$5:$T$36,10)</f>
        <v>1.1754944909521339E-38</v>
      </c>
      <c r="J951" s="62" t="str">
        <f>VLOOKUP($G951,Overall!$K$5:$T$36,6)</f>
        <v>00000000100000000000000000000001</v>
      </c>
      <c r="K951" s="8">
        <f t="shared" ca="1" si="126"/>
        <v>-1.4512277311772074E-34</v>
      </c>
      <c r="L951" s="62">
        <f>VLOOKUP($B951,Overall!$B$5:$I$13,8)</f>
        <v>0</v>
      </c>
      <c r="M951" s="58"/>
      <c r="N951" s="3" t="str">
        <f t="shared" si="127"/>
        <v/>
      </c>
      <c r="O951" s="3" t="str">
        <f t="shared" si="128"/>
        <v/>
      </c>
      <c r="P951" s="3" t="str">
        <f t="shared" si="129"/>
        <v/>
      </c>
      <c r="Q951" s="3">
        <f t="shared" si="130"/>
        <v>0</v>
      </c>
      <c r="R951" s="3">
        <f t="shared" si="131"/>
        <v>0</v>
      </c>
      <c r="S951" s="3" t="e" cm="1">
        <f t="array" aca="1" ref="S951" ca="1">SUMPRODUCT(MID($P951,ROW(INDIRECT("1:23")),1)*2^(-ROW(INDIRECT("1:23"))))</f>
        <v>#VALUE!</v>
      </c>
      <c r="T951" s="3" t="e">
        <f t="shared" ca="1" si="132"/>
        <v>#VALUE!</v>
      </c>
      <c r="U951" s="3" t="e">
        <f t="shared" ca="1" si="133"/>
        <v>#VALUE!</v>
      </c>
      <c r="V951" s="73"/>
      <c r="W951" s="9" t="str">
        <f t="shared" si="134"/>
        <v>OK</v>
      </c>
    </row>
    <row r="952" spans="1:23" x14ac:dyDescent="0.3">
      <c r="A952" s="44">
        <v>949</v>
      </c>
      <c r="B952" s="14">
        <v>9</v>
      </c>
      <c r="C952" s="4">
        <v>29</v>
      </c>
      <c r="D952" s="3" t="str">
        <f>VLOOKUP($C952,Overall!$K$5:$T$36,2)</f>
        <v>Normal</v>
      </c>
      <c r="E952" s="3">
        <f ca="1">VLOOKUP($C952,Overall!$K$5:$T$36,10)</f>
        <v>-12345.6787109375</v>
      </c>
      <c r="F952" s="9" t="str">
        <f>VLOOKUP($C952,Overall!$K$5:$T$36,6)</f>
        <v>101000110010000001110011010110111</v>
      </c>
      <c r="G952" s="8">
        <v>17</v>
      </c>
      <c r="H952" s="3" t="str">
        <f>VLOOKUP($G952,Overall!$K$5:$T$36,2)</f>
        <v>Normal</v>
      </c>
      <c r="I952" s="3">
        <f ca="1">VLOOKUP($G952,Overall!$K$5:$T$36,10)</f>
        <v>0.5</v>
      </c>
      <c r="J952" s="62" t="str">
        <f>VLOOKUP($G952,Overall!$K$5:$T$36,6)</f>
        <v>00111111000000000000000000000000</v>
      </c>
      <c r="K952" s="8">
        <f t="shared" ca="1" si="126"/>
        <v>-6172.83935546875</v>
      </c>
      <c r="L952" s="62">
        <f>VLOOKUP($B952,Overall!$B$5:$I$13,8)</f>
        <v>0</v>
      </c>
      <c r="M952" s="58"/>
      <c r="N952" s="3" t="str">
        <f t="shared" si="127"/>
        <v/>
      </c>
      <c r="O952" s="3" t="str">
        <f t="shared" si="128"/>
        <v/>
      </c>
      <c r="P952" s="3" t="str">
        <f t="shared" si="129"/>
        <v/>
      </c>
      <c r="Q952" s="3">
        <f t="shared" si="130"/>
        <v>0</v>
      </c>
      <c r="R952" s="3">
        <f t="shared" si="131"/>
        <v>0</v>
      </c>
      <c r="S952" s="3" t="e" cm="1">
        <f t="array" aca="1" ref="S952" ca="1">SUMPRODUCT(MID($P952,ROW(INDIRECT("1:23")),1)*2^(-ROW(INDIRECT("1:23"))))</f>
        <v>#VALUE!</v>
      </c>
      <c r="T952" s="3" t="e">
        <f t="shared" ca="1" si="132"/>
        <v>#VALUE!</v>
      </c>
      <c r="U952" s="3" t="e">
        <f t="shared" ca="1" si="133"/>
        <v>#VALUE!</v>
      </c>
      <c r="V952" s="73"/>
      <c r="W952" s="9" t="str">
        <f t="shared" si="134"/>
        <v>OK</v>
      </c>
    </row>
    <row r="953" spans="1:23" x14ac:dyDescent="0.3">
      <c r="A953" s="44">
        <v>950</v>
      </c>
      <c r="B953" s="14">
        <v>9</v>
      </c>
      <c r="C953" s="4">
        <v>29</v>
      </c>
      <c r="D953" s="3" t="str">
        <f>VLOOKUP($C953,Overall!$K$5:$T$36,2)</f>
        <v>Normal</v>
      </c>
      <c r="E953" s="3">
        <f ca="1">VLOOKUP($C953,Overall!$K$5:$T$36,10)</f>
        <v>-12345.6787109375</v>
      </c>
      <c r="F953" s="9" t="str">
        <f>VLOOKUP($C953,Overall!$K$5:$T$36,6)</f>
        <v>101000110010000001110011010110111</v>
      </c>
      <c r="G953" s="8">
        <v>18</v>
      </c>
      <c r="H953" s="3" t="str">
        <f>VLOOKUP($G953,Overall!$K$5:$T$36,2)</f>
        <v>Normal</v>
      </c>
      <c r="I953" s="3">
        <f ca="1">VLOOKUP($G953,Overall!$K$5:$T$36,10)</f>
        <v>1</v>
      </c>
      <c r="J953" s="62" t="str">
        <f>VLOOKUP($G953,Overall!$K$5:$T$36,6)</f>
        <v>00111111100000000000000000000000</v>
      </c>
      <c r="K953" s="8">
        <f t="shared" ca="1" si="126"/>
        <v>-12345.6787109375</v>
      </c>
      <c r="L953" s="62">
        <f>VLOOKUP($B953,Overall!$B$5:$I$13,8)</f>
        <v>0</v>
      </c>
      <c r="M953" s="58"/>
      <c r="N953" s="3" t="str">
        <f t="shared" si="127"/>
        <v/>
      </c>
      <c r="O953" s="3" t="str">
        <f t="shared" si="128"/>
        <v/>
      </c>
      <c r="P953" s="3" t="str">
        <f t="shared" si="129"/>
        <v/>
      </c>
      <c r="Q953" s="3">
        <f t="shared" si="130"/>
        <v>0</v>
      </c>
      <c r="R953" s="3">
        <f t="shared" si="131"/>
        <v>0</v>
      </c>
      <c r="S953" s="3" t="e" cm="1">
        <f t="array" aca="1" ref="S953" ca="1">SUMPRODUCT(MID($P953,ROW(INDIRECT("1:23")),1)*2^(-ROW(INDIRECT("1:23"))))</f>
        <v>#VALUE!</v>
      </c>
      <c r="T953" s="3" t="e">
        <f t="shared" ca="1" si="132"/>
        <v>#VALUE!</v>
      </c>
      <c r="U953" s="3" t="e">
        <f t="shared" ca="1" si="133"/>
        <v>#VALUE!</v>
      </c>
      <c r="V953" s="73"/>
      <c r="W953" s="9" t="str">
        <f t="shared" si="134"/>
        <v>OK</v>
      </c>
    </row>
    <row r="954" spans="1:23" x14ac:dyDescent="0.3">
      <c r="A954" s="44">
        <v>951</v>
      </c>
      <c r="B954" s="14">
        <v>9</v>
      </c>
      <c r="C954" s="4">
        <v>29</v>
      </c>
      <c r="D954" s="3" t="str">
        <f>VLOOKUP($C954,Overall!$K$5:$T$36,2)</f>
        <v>Normal</v>
      </c>
      <c r="E954" s="3">
        <f ca="1">VLOOKUP($C954,Overall!$K$5:$T$36,10)</f>
        <v>-12345.6787109375</v>
      </c>
      <c r="F954" s="9" t="str">
        <f>VLOOKUP($C954,Overall!$K$5:$T$36,6)</f>
        <v>101000110010000001110011010110111</v>
      </c>
      <c r="G954" s="8">
        <v>19</v>
      </c>
      <c r="H954" s="3" t="str">
        <f>VLOOKUP($G954,Overall!$K$5:$T$36,2)</f>
        <v>Normal</v>
      </c>
      <c r="I954" s="3">
        <f ca="1">VLOOKUP($G954,Overall!$K$5:$T$36,10)</f>
        <v>1.5</v>
      </c>
      <c r="J954" s="62" t="str">
        <f>VLOOKUP($G954,Overall!$K$5:$T$36,6)</f>
        <v>00111111110000000000000000000000</v>
      </c>
      <c r="K954" s="8">
        <f t="shared" ca="1" si="126"/>
        <v>-18518.51806640625</v>
      </c>
      <c r="L954" s="62">
        <f>VLOOKUP($B954,Overall!$B$5:$I$13,8)</f>
        <v>0</v>
      </c>
      <c r="M954" s="58"/>
      <c r="N954" s="3" t="str">
        <f t="shared" si="127"/>
        <v/>
      </c>
      <c r="O954" s="3" t="str">
        <f t="shared" si="128"/>
        <v/>
      </c>
      <c r="P954" s="3" t="str">
        <f t="shared" si="129"/>
        <v/>
      </c>
      <c r="Q954" s="3">
        <f t="shared" si="130"/>
        <v>0</v>
      </c>
      <c r="R954" s="3">
        <f t="shared" si="131"/>
        <v>0</v>
      </c>
      <c r="S954" s="3" t="e" cm="1">
        <f t="array" aca="1" ref="S954" ca="1">SUMPRODUCT(MID($P954,ROW(INDIRECT("1:23")),1)*2^(-ROW(INDIRECT("1:23"))))</f>
        <v>#VALUE!</v>
      </c>
      <c r="T954" s="3" t="e">
        <f t="shared" ca="1" si="132"/>
        <v>#VALUE!</v>
      </c>
      <c r="U954" s="3" t="e">
        <f t="shared" ca="1" si="133"/>
        <v>#VALUE!</v>
      </c>
      <c r="V954" s="73"/>
      <c r="W954" s="9" t="str">
        <f t="shared" si="134"/>
        <v>OK</v>
      </c>
    </row>
    <row r="955" spans="1:23" x14ac:dyDescent="0.3">
      <c r="A955" s="44">
        <v>952</v>
      </c>
      <c r="B955" s="14">
        <v>9</v>
      </c>
      <c r="C955" s="4">
        <v>29</v>
      </c>
      <c r="D955" s="3" t="str">
        <f>VLOOKUP($C955,Overall!$K$5:$T$36,2)</f>
        <v>Normal</v>
      </c>
      <c r="E955" s="3">
        <f ca="1">VLOOKUP($C955,Overall!$K$5:$T$36,10)</f>
        <v>-12345.6787109375</v>
      </c>
      <c r="F955" s="9" t="str">
        <f>VLOOKUP($C955,Overall!$K$5:$T$36,6)</f>
        <v>101000110010000001110011010110111</v>
      </c>
      <c r="G955" s="8">
        <v>20</v>
      </c>
      <c r="H955" s="3" t="str">
        <f>VLOOKUP($G955,Overall!$K$5:$T$36,2)</f>
        <v>Normal</v>
      </c>
      <c r="I955" s="3">
        <f ca="1">VLOOKUP($G955,Overall!$K$5:$T$36,10)</f>
        <v>12345.6787109375</v>
      </c>
      <c r="J955" s="62" t="str">
        <f>VLOOKUP($G955,Overall!$K$5:$T$36,6)</f>
        <v>001000110010000001110011010110111</v>
      </c>
      <c r="K955" s="8">
        <f t="shared" ca="1" si="126"/>
        <v>-152415782.83369541</v>
      </c>
      <c r="L955" s="62">
        <f>VLOOKUP($B955,Overall!$B$5:$I$13,8)</f>
        <v>0</v>
      </c>
      <c r="M955" s="58"/>
      <c r="N955" s="3" t="str">
        <f t="shared" si="127"/>
        <v/>
      </c>
      <c r="O955" s="3" t="str">
        <f t="shared" si="128"/>
        <v/>
      </c>
      <c r="P955" s="3" t="str">
        <f t="shared" si="129"/>
        <v/>
      </c>
      <c r="Q955" s="3">
        <f t="shared" si="130"/>
        <v>0</v>
      </c>
      <c r="R955" s="3">
        <f t="shared" si="131"/>
        <v>0</v>
      </c>
      <c r="S955" s="3" t="e" cm="1">
        <f t="array" aca="1" ref="S955" ca="1">SUMPRODUCT(MID($P955,ROW(INDIRECT("1:23")),1)*2^(-ROW(INDIRECT("1:23"))))</f>
        <v>#VALUE!</v>
      </c>
      <c r="T955" s="3" t="e">
        <f t="shared" ca="1" si="132"/>
        <v>#VALUE!</v>
      </c>
      <c r="U955" s="3" t="e">
        <f t="shared" ca="1" si="133"/>
        <v>#VALUE!</v>
      </c>
      <c r="V955" s="73"/>
      <c r="W955" s="9" t="str">
        <f t="shared" si="134"/>
        <v>OK</v>
      </c>
    </row>
    <row r="956" spans="1:23" x14ac:dyDescent="0.3">
      <c r="A956" s="44">
        <v>953</v>
      </c>
      <c r="B956" s="14">
        <v>9</v>
      </c>
      <c r="C956" s="4">
        <v>29</v>
      </c>
      <c r="D956" s="3" t="str">
        <f>VLOOKUP($C956,Overall!$K$5:$T$36,2)</f>
        <v>Normal</v>
      </c>
      <c r="E956" s="3">
        <f ca="1">VLOOKUP($C956,Overall!$K$5:$T$36,10)</f>
        <v>-12345.6787109375</v>
      </c>
      <c r="F956" s="9" t="str">
        <f>VLOOKUP($C956,Overall!$K$5:$T$36,6)</f>
        <v>101000110010000001110011010110111</v>
      </c>
      <c r="G956" s="8">
        <v>21</v>
      </c>
      <c r="H956" s="3" t="str">
        <f>VLOOKUP($G956,Overall!$K$5:$T$36,2)</f>
        <v>Normal</v>
      </c>
      <c r="I956" s="3">
        <f ca="1">VLOOKUP($G956,Overall!$K$5:$T$36,10)</f>
        <v>2.345678924830959E+38</v>
      </c>
      <c r="J956" s="62" t="str">
        <f>VLOOKUP($G956,Overall!$K$5:$T$36,6)</f>
        <v>01111111001100000111100000100010</v>
      </c>
      <c r="K956" s="8">
        <f t="shared" ca="1" si="126"/>
        <v>-2.8958998364980335E+42</v>
      </c>
      <c r="L956" s="62">
        <f>VLOOKUP($B956,Overall!$B$5:$I$13,8)</f>
        <v>0</v>
      </c>
      <c r="M956" s="58"/>
      <c r="N956" s="3" t="str">
        <f t="shared" si="127"/>
        <v/>
      </c>
      <c r="O956" s="3" t="str">
        <f t="shared" si="128"/>
        <v/>
      </c>
      <c r="P956" s="3" t="str">
        <f t="shared" si="129"/>
        <v/>
      </c>
      <c r="Q956" s="3">
        <f t="shared" si="130"/>
        <v>0</v>
      </c>
      <c r="R956" s="3">
        <f t="shared" si="131"/>
        <v>0</v>
      </c>
      <c r="S956" s="3" t="e" cm="1">
        <f t="array" aca="1" ref="S956" ca="1">SUMPRODUCT(MID($P956,ROW(INDIRECT("1:23")),1)*2^(-ROW(INDIRECT("1:23"))))</f>
        <v>#VALUE!</v>
      </c>
      <c r="T956" s="3" t="e">
        <f t="shared" ca="1" si="132"/>
        <v>#VALUE!</v>
      </c>
      <c r="U956" s="3" t="e">
        <f t="shared" ca="1" si="133"/>
        <v>#VALUE!</v>
      </c>
      <c r="V956" s="73"/>
      <c r="W956" s="9" t="str">
        <f t="shared" si="134"/>
        <v>OK</v>
      </c>
    </row>
    <row r="957" spans="1:23" x14ac:dyDescent="0.3">
      <c r="A957" s="44">
        <v>954</v>
      </c>
      <c r="B957" s="14">
        <v>9</v>
      </c>
      <c r="C957" s="4">
        <v>29</v>
      </c>
      <c r="D957" s="3" t="str">
        <f>VLOOKUP($C957,Overall!$K$5:$T$36,2)</f>
        <v>Normal</v>
      </c>
      <c r="E957" s="3">
        <f ca="1">VLOOKUP($C957,Overall!$K$5:$T$36,10)</f>
        <v>-12345.6787109375</v>
      </c>
      <c r="F957" s="9" t="str">
        <f>VLOOKUP($C957,Overall!$K$5:$T$36,6)</f>
        <v>101000110010000001110011010110111</v>
      </c>
      <c r="G957" s="8">
        <v>22</v>
      </c>
      <c r="H957" s="3" t="str">
        <f>VLOOKUP($G957,Overall!$K$5:$T$36,2)</f>
        <v>Normal</v>
      </c>
      <c r="I957" s="3">
        <f ca="1">VLOOKUP($G957,Overall!$K$5:$T$36,10)</f>
        <v>3.4028232635611926E+38</v>
      </c>
      <c r="J957" s="62" t="str">
        <f>VLOOKUP($G957,Overall!$K$5:$T$36,6)</f>
        <v>01111111011111111111111111111110</v>
      </c>
      <c r="K957" s="8">
        <f t="shared" ca="1" si="126"/>
        <v>-4.2010162722030281E+42</v>
      </c>
      <c r="L957" s="62">
        <f>VLOOKUP($B957,Overall!$B$5:$I$13,8)</f>
        <v>0</v>
      </c>
      <c r="M957" s="58"/>
      <c r="N957" s="3" t="str">
        <f t="shared" si="127"/>
        <v/>
      </c>
      <c r="O957" s="3" t="str">
        <f t="shared" si="128"/>
        <v/>
      </c>
      <c r="P957" s="3" t="str">
        <f t="shared" si="129"/>
        <v/>
      </c>
      <c r="Q957" s="3">
        <f t="shared" si="130"/>
        <v>0</v>
      </c>
      <c r="R957" s="3">
        <f t="shared" si="131"/>
        <v>0</v>
      </c>
      <c r="S957" s="3" t="e" cm="1">
        <f t="array" aca="1" ref="S957" ca="1">SUMPRODUCT(MID($P957,ROW(INDIRECT("1:23")),1)*2^(-ROW(INDIRECT("1:23"))))</f>
        <v>#VALUE!</v>
      </c>
      <c r="T957" s="3" t="e">
        <f t="shared" ca="1" si="132"/>
        <v>#VALUE!</v>
      </c>
      <c r="U957" s="3" t="e">
        <f t="shared" ca="1" si="133"/>
        <v>#VALUE!</v>
      </c>
      <c r="V957" s="73"/>
      <c r="W957" s="9" t="str">
        <f t="shared" si="134"/>
        <v>OK</v>
      </c>
    </row>
    <row r="958" spans="1:23" x14ac:dyDescent="0.3">
      <c r="A958" s="44">
        <v>955</v>
      </c>
      <c r="B958" s="14">
        <v>9</v>
      </c>
      <c r="C958" s="4">
        <v>29</v>
      </c>
      <c r="D958" s="3" t="str">
        <f>VLOOKUP($C958,Overall!$K$5:$T$36,2)</f>
        <v>Normal</v>
      </c>
      <c r="E958" s="3">
        <f ca="1">VLOOKUP($C958,Overall!$K$5:$T$36,10)</f>
        <v>-12345.6787109375</v>
      </c>
      <c r="F958" s="9" t="str">
        <f>VLOOKUP($C958,Overall!$K$5:$T$36,6)</f>
        <v>101000110010000001110011010110111</v>
      </c>
      <c r="G958" s="8">
        <v>23</v>
      </c>
      <c r="H958" s="3" t="str">
        <f>VLOOKUP($G958,Overall!$K$5:$T$36,2)</f>
        <v>Normal</v>
      </c>
      <c r="I958" s="3">
        <f ca="1">VLOOKUP($G958,Overall!$K$5:$T$36,10)</f>
        <v>3.4028234663852886E+38</v>
      </c>
      <c r="J958" s="62" t="str">
        <f>VLOOKUP($G958,Overall!$K$5:$T$36,6)</f>
        <v>01111111011111111111111111111111</v>
      </c>
      <c r="K958" s="8">
        <f t="shared" ca="1" si="126"/>
        <v>-4.2010165226031405E+42</v>
      </c>
      <c r="L958" s="62">
        <f>VLOOKUP($B958,Overall!$B$5:$I$13,8)</f>
        <v>0</v>
      </c>
      <c r="M958" s="58"/>
      <c r="N958" s="3" t="str">
        <f t="shared" si="127"/>
        <v/>
      </c>
      <c r="O958" s="3" t="str">
        <f t="shared" si="128"/>
        <v/>
      </c>
      <c r="P958" s="3" t="str">
        <f t="shared" si="129"/>
        <v/>
      </c>
      <c r="Q958" s="3">
        <f t="shared" si="130"/>
        <v>0</v>
      </c>
      <c r="R958" s="3">
        <f t="shared" si="131"/>
        <v>0</v>
      </c>
      <c r="S958" s="3" t="e" cm="1">
        <f t="array" aca="1" ref="S958" ca="1">SUMPRODUCT(MID($P958,ROW(INDIRECT("1:23")),1)*2^(-ROW(INDIRECT("1:23"))))</f>
        <v>#VALUE!</v>
      </c>
      <c r="T958" s="3" t="e">
        <f t="shared" ca="1" si="132"/>
        <v>#VALUE!</v>
      </c>
      <c r="U958" s="3" t="e">
        <f t="shared" ca="1" si="133"/>
        <v>#VALUE!</v>
      </c>
      <c r="V958" s="73"/>
      <c r="W958" s="9" t="str">
        <f t="shared" si="134"/>
        <v>OK</v>
      </c>
    </row>
    <row r="959" spans="1:23" x14ac:dyDescent="0.3">
      <c r="A959" s="44">
        <v>956</v>
      </c>
      <c r="B959" s="14">
        <v>9</v>
      </c>
      <c r="C959" s="4">
        <v>29</v>
      </c>
      <c r="D959" s="3" t="str">
        <f>VLOOKUP($C959,Overall!$K$5:$T$36,2)</f>
        <v>Normal</v>
      </c>
      <c r="E959" s="3">
        <f ca="1">VLOOKUP($C959,Overall!$K$5:$T$36,10)</f>
        <v>-12345.6787109375</v>
      </c>
      <c r="F959" s="9" t="str">
        <f>VLOOKUP($C959,Overall!$K$5:$T$36,6)</f>
        <v>101000110010000001110011010110111</v>
      </c>
      <c r="G959" s="8">
        <v>24</v>
      </c>
      <c r="H959" s="3" t="str">
        <f>VLOOKUP($G959,Overall!$K$5:$T$36,2)</f>
        <v>Normal</v>
      </c>
      <c r="I959" s="3">
        <f ca="1">VLOOKUP($G959,Overall!$K$5:$T$36,10)</f>
        <v>-1.1754943508222875E-38</v>
      </c>
      <c r="J959" s="62" t="str">
        <f>VLOOKUP($G959,Overall!$K$5:$T$36,6)</f>
        <v>10000000100000000000000000000000</v>
      </c>
      <c r="K959" s="8">
        <f t="shared" ca="1" si="126"/>
        <v>1.4512275581774012E-34</v>
      </c>
      <c r="L959" s="62">
        <f>VLOOKUP($B959,Overall!$B$5:$I$13,8)</f>
        <v>0</v>
      </c>
      <c r="M959" s="58"/>
      <c r="N959" s="3" t="str">
        <f t="shared" si="127"/>
        <v/>
      </c>
      <c r="O959" s="3" t="str">
        <f t="shared" si="128"/>
        <v/>
      </c>
      <c r="P959" s="3" t="str">
        <f t="shared" si="129"/>
        <v/>
      </c>
      <c r="Q959" s="3">
        <f t="shared" si="130"/>
        <v>0</v>
      </c>
      <c r="R959" s="3">
        <f t="shared" si="131"/>
        <v>0</v>
      </c>
      <c r="S959" s="3" t="e" cm="1">
        <f t="array" aca="1" ref="S959" ca="1">SUMPRODUCT(MID($P959,ROW(INDIRECT("1:23")),1)*2^(-ROW(INDIRECT("1:23"))))</f>
        <v>#VALUE!</v>
      </c>
      <c r="T959" s="3" t="e">
        <f t="shared" ca="1" si="132"/>
        <v>#VALUE!</v>
      </c>
      <c r="U959" s="3" t="e">
        <f t="shared" ca="1" si="133"/>
        <v>#VALUE!</v>
      </c>
      <c r="V959" s="73"/>
      <c r="W959" s="9" t="str">
        <f t="shared" si="134"/>
        <v>OK</v>
      </c>
    </row>
    <row r="960" spans="1:23" x14ac:dyDescent="0.3">
      <c r="A960" s="44">
        <v>957</v>
      </c>
      <c r="B960" s="14">
        <v>9</v>
      </c>
      <c r="C960" s="4">
        <v>29</v>
      </c>
      <c r="D960" s="3" t="str">
        <f>VLOOKUP($C960,Overall!$K$5:$T$36,2)</f>
        <v>Normal</v>
      </c>
      <c r="E960" s="3">
        <f ca="1">VLOOKUP($C960,Overall!$K$5:$T$36,10)</f>
        <v>-12345.6787109375</v>
      </c>
      <c r="F960" s="9" t="str">
        <f>VLOOKUP($C960,Overall!$K$5:$T$36,6)</f>
        <v>101000110010000001110011010110111</v>
      </c>
      <c r="G960" s="8">
        <v>25</v>
      </c>
      <c r="H960" s="3" t="str">
        <f>VLOOKUP($G960,Overall!$K$5:$T$36,2)</f>
        <v>Normal</v>
      </c>
      <c r="I960" s="3">
        <f ca="1">VLOOKUP($G960,Overall!$K$5:$T$36,10)</f>
        <v>-1.1754944909521339E-38</v>
      </c>
      <c r="J960" s="62" t="str">
        <f>VLOOKUP($G960,Overall!$K$5:$T$36,6)</f>
        <v>10000000100000000000000000000001</v>
      </c>
      <c r="K960" s="8">
        <f t="shared" ca="1" si="126"/>
        <v>1.4512277311772074E-34</v>
      </c>
      <c r="L960" s="62">
        <f>VLOOKUP($B960,Overall!$B$5:$I$13,8)</f>
        <v>0</v>
      </c>
      <c r="M960" s="58"/>
      <c r="N960" s="3" t="str">
        <f t="shared" si="127"/>
        <v/>
      </c>
      <c r="O960" s="3" t="str">
        <f t="shared" si="128"/>
        <v/>
      </c>
      <c r="P960" s="3" t="str">
        <f t="shared" si="129"/>
        <v/>
      </c>
      <c r="Q960" s="3">
        <f t="shared" si="130"/>
        <v>0</v>
      </c>
      <c r="R960" s="3">
        <f t="shared" si="131"/>
        <v>0</v>
      </c>
      <c r="S960" s="3" t="e" cm="1">
        <f t="array" aca="1" ref="S960" ca="1">SUMPRODUCT(MID($P960,ROW(INDIRECT("1:23")),1)*2^(-ROW(INDIRECT("1:23"))))</f>
        <v>#VALUE!</v>
      </c>
      <c r="T960" s="3" t="e">
        <f t="shared" ca="1" si="132"/>
        <v>#VALUE!</v>
      </c>
      <c r="U960" s="3" t="e">
        <f t="shared" ca="1" si="133"/>
        <v>#VALUE!</v>
      </c>
      <c r="V960" s="73"/>
      <c r="W960" s="9" t="str">
        <f t="shared" si="134"/>
        <v>OK</v>
      </c>
    </row>
    <row r="961" spans="1:23" x14ac:dyDescent="0.3">
      <c r="A961" s="44">
        <v>958</v>
      </c>
      <c r="B961" s="14">
        <v>9</v>
      </c>
      <c r="C961" s="4">
        <v>29</v>
      </c>
      <c r="D961" s="3" t="str">
        <f>VLOOKUP($C961,Overall!$K$5:$T$36,2)</f>
        <v>Normal</v>
      </c>
      <c r="E961" s="3">
        <f ca="1">VLOOKUP($C961,Overall!$K$5:$T$36,10)</f>
        <v>-12345.6787109375</v>
      </c>
      <c r="F961" s="9" t="str">
        <f>VLOOKUP($C961,Overall!$K$5:$T$36,6)</f>
        <v>101000110010000001110011010110111</v>
      </c>
      <c r="G961" s="8">
        <v>26</v>
      </c>
      <c r="H961" s="3" t="str">
        <f>VLOOKUP($G961,Overall!$K$5:$T$36,2)</f>
        <v>Normal</v>
      </c>
      <c r="I961" s="3">
        <f ca="1">VLOOKUP($G961,Overall!$K$5:$T$36,10)</f>
        <v>-0.5</v>
      </c>
      <c r="J961" s="62" t="str">
        <f>VLOOKUP($G961,Overall!$K$5:$T$36,6)</f>
        <v>10111111000000000000000000000000</v>
      </c>
      <c r="K961" s="8">
        <f t="shared" ca="1" si="126"/>
        <v>6172.83935546875</v>
      </c>
      <c r="L961" s="62">
        <f>VLOOKUP($B961,Overall!$B$5:$I$13,8)</f>
        <v>0</v>
      </c>
      <c r="M961" s="58"/>
      <c r="N961" s="3" t="str">
        <f t="shared" si="127"/>
        <v/>
      </c>
      <c r="O961" s="3" t="str">
        <f t="shared" si="128"/>
        <v/>
      </c>
      <c r="P961" s="3" t="str">
        <f t="shared" si="129"/>
        <v/>
      </c>
      <c r="Q961" s="3">
        <f t="shared" si="130"/>
        <v>0</v>
      </c>
      <c r="R961" s="3">
        <f t="shared" si="131"/>
        <v>0</v>
      </c>
      <c r="S961" s="3" t="e" cm="1">
        <f t="array" aca="1" ref="S961" ca="1">SUMPRODUCT(MID($P961,ROW(INDIRECT("1:23")),1)*2^(-ROW(INDIRECT("1:23"))))</f>
        <v>#VALUE!</v>
      </c>
      <c r="T961" s="3" t="e">
        <f t="shared" ca="1" si="132"/>
        <v>#VALUE!</v>
      </c>
      <c r="U961" s="3" t="e">
        <f t="shared" ca="1" si="133"/>
        <v>#VALUE!</v>
      </c>
      <c r="V961" s="73"/>
      <c r="W961" s="9" t="str">
        <f t="shared" si="134"/>
        <v>OK</v>
      </c>
    </row>
    <row r="962" spans="1:23" x14ac:dyDescent="0.3">
      <c r="A962" s="44">
        <v>959</v>
      </c>
      <c r="B962" s="14">
        <v>9</v>
      </c>
      <c r="C962" s="4">
        <v>29</v>
      </c>
      <c r="D962" s="3" t="str">
        <f>VLOOKUP($C962,Overall!$K$5:$T$36,2)</f>
        <v>Normal</v>
      </c>
      <c r="E962" s="3">
        <f ca="1">VLOOKUP($C962,Overall!$K$5:$T$36,10)</f>
        <v>-12345.6787109375</v>
      </c>
      <c r="F962" s="9" t="str">
        <f>VLOOKUP($C962,Overall!$K$5:$T$36,6)</f>
        <v>101000110010000001110011010110111</v>
      </c>
      <c r="G962" s="8">
        <v>27</v>
      </c>
      <c r="H962" s="3" t="str">
        <f>VLOOKUP($G962,Overall!$K$5:$T$36,2)</f>
        <v>Normal</v>
      </c>
      <c r="I962" s="3">
        <f ca="1">VLOOKUP($G962,Overall!$K$5:$T$36,10)</f>
        <v>-1</v>
      </c>
      <c r="J962" s="62" t="str">
        <f>VLOOKUP($G962,Overall!$K$5:$T$36,6)</f>
        <v>10111111100000000000000000000000</v>
      </c>
      <c r="K962" s="8">
        <f t="shared" ca="1" si="126"/>
        <v>12345.6787109375</v>
      </c>
      <c r="L962" s="62">
        <f>VLOOKUP($B962,Overall!$B$5:$I$13,8)</f>
        <v>0</v>
      </c>
      <c r="M962" s="58"/>
      <c r="N962" s="3" t="str">
        <f t="shared" si="127"/>
        <v/>
      </c>
      <c r="O962" s="3" t="str">
        <f t="shared" si="128"/>
        <v/>
      </c>
      <c r="P962" s="3" t="str">
        <f t="shared" si="129"/>
        <v/>
      </c>
      <c r="Q962" s="3">
        <f t="shared" si="130"/>
        <v>0</v>
      </c>
      <c r="R962" s="3">
        <f t="shared" si="131"/>
        <v>0</v>
      </c>
      <c r="S962" s="3" t="e" cm="1">
        <f t="array" aca="1" ref="S962" ca="1">SUMPRODUCT(MID($P962,ROW(INDIRECT("1:23")),1)*2^(-ROW(INDIRECT("1:23"))))</f>
        <v>#VALUE!</v>
      </c>
      <c r="T962" s="3" t="e">
        <f t="shared" ca="1" si="132"/>
        <v>#VALUE!</v>
      </c>
      <c r="U962" s="3" t="e">
        <f t="shared" ca="1" si="133"/>
        <v>#VALUE!</v>
      </c>
      <c r="V962" s="73"/>
      <c r="W962" s="9" t="str">
        <f t="shared" si="134"/>
        <v>OK</v>
      </c>
    </row>
    <row r="963" spans="1:23" x14ac:dyDescent="0.3">
      <c r="A963" s="44">
        <v>960</v>
      </c>
      <c r="B963" s="14">
        <v>9</v>
      </c>
      <c r="C963" s="4">
        <v>29</v>
      </c>
      <c r="D963" s="3" t="str">
        <f>VLOOKUP($C963,Overall!$K$5:$T$36,2)</f>
        <v>Normal</v>
      </c>
      <c r="E963" s="3">
        <f ca="1">VLOOKUP($C963,Overall!$K$5:$T$36,10)</f>
        <v>-12345.6787109375</v>
      </c>
      <c r="F963" s="9" t="str">
        <f>VLOOKUP($C963,Overall!$K$5:$T$36,6)</f>
        <v>101000110010000001110011010110111</v>
      </c>
      <c r="G963" s="8">
        <v>28</v>
      </c>
      <c r="H963" s="3" t="str">
        <f>VLOOKUP($G963,Overall!$K$5:$T$36,2)</f>
        <v>Normal</v>
      </c>
      <c r="I963" s="3">
        <f ca="1">VLOOKUP($G963,Overall!$K$5:$T$36,10)</f>
        <v>-1.5</v>
      </c>
      <c r="J963" s="62" t="str">
        <f>VLOOKUP($G963,Overall!$K$5:$T$36,6)</f>
        <v>10111111110000000000000000000000</v>
      </c>
      <c r="K963" s="8">
        <f t="shared" ca="1" si="126"/>
        <v>18518.51806640625</v>
      </c>
      <c r="L963" s="62">
        <f>VLOOKUP($B963,Overall!$B$5:$I$13,8)</f>
        <v>0</v>
      </c>
      <c r="M963" s="58"/>
      <c r="N963" s="3" t="str">
        <f t="shared" si="127"/>
        <v/>
      </c>
      <c r="O963" s="3" t="str">
        <f t="shared" si="128"/>
        <v/>
      </c>
      <c r="P963" s="3" t="str">
        <f t="shared" si="129"/>
        <v/>
      </c>
      <c r="Q963" s="3">
        <f t="shared" si="130"/>
        <v>0</v>
      </c>
      <c r="R963" s="3">
        <f t="shared" si="131"/>
        <v>0</v>
      </c>
      <c r="S963" s="3" t="e" cm="1">
        <f t="array" aca="1" ref="S963" ca="1">SUMPRODUCT(MID($P963,ROW(INDIRECT("1:23")),1)*2^(-ROW(INDIRECT("1:23"))))</f>
        <v>#VALUE!</v>
      </c>
      <c r="T963" s="3" t="e">
        <f t="shared" ca="1" si="132"/>
        <v>#VALUE!</v>
      </c>
      <c r="U963" s="3" t="e">
        <f t="shared" ca="1" si="133"/>
        <v>#VALUE!</v>
      </c>
      <c r="V963" s="73"/>
      <c r="W963" s="9" t="str">
        <f t="shared" si="134"/>
        <v>OK</v>
      </c>
    </row>
    <row r="964" spans="1:23" x14ac:dyDescent="0.3">
      <c r="A964" s="44">
        <v>961</v>
      </c>
      <c r="B964" s="14">
        <v>9</v>
      </c>
      <c r="C964" s="4">
        <v>29</v>
      </c>
      <c r="D964" s="3" t="str">
        <f>VLOOKUP($C964,Overall!$K$5:$T$36,2)</f>
        <v>Normal</v>
      </c>
      <c r="E964" s="3">
        <f ca="1">VLOOKUP($C964,Overall!$K$5:$T$36,10)</f>
        <v>-12345.6787109375</v>
      </c>
      <c r="F964" s="9" t="str">
        <f>VLOOKUP($C964,Overall!$K$5:$T$36,6)</f>
        <v>101000110010000001110011010110111</v>
      </c>
      <c r="G964" s="8">
        <v>29</v>
      </c>
      <c r="H964" s="3" t="str">
        <f>VLOOKUP($G964,Overall!$K$5:$T$36,2)</f>
        <v>Normal</v>
      </c>
      <c r="I964" s="3">
        <f ca="1">VLOOKUP($G964,Overall!$K$5:$T$36,10)</f>
        <v>-12345.6787109375</v>
      </c>
      <c r="J964" s="62" t="str">
        <f>VLOOKUP($G964,Overall!$K$5:$T$36,6)</f>
        <v>101000110010000001110011010110111</v>
      </c>
      <c r="K964" s="8">
        <f t="shared" ca="1" si="126"/>
        <v>152415782.83369541</v>
      </c>
      <c r="L964" s="62">
        <f>VLOOKUP($B964,Overall!$B$5:$I$13,8)</f>
        <v>0</v>
      </c>
      <c r="M964" s="58"/>
      <c r="N964" s="3" t="str">
        <f t="shared" si="127"/>
        <v/>
      </c>
      <c r="O964" s="3" t="str">
        <f t="shared" si="128"/>
        <v/>
      </c>
      <c r="P964" s="3" t="str">
        <f t="shared" si="129"/>
        <v/>
      </c>
      <c r="Q964" s="3">
        <f t="shared" si="130"/>
        <v>0</v>
      </c>
      <c r="R964" s="3">
        <f t="shared" si="131"/>
        <v>0</v>
      </c>
      <c r="S964" s="3" t="e" cm="1">
        <f t="array" aca="1" ref="S964" ca="1">SUMPRODUCT(MID($P964,ROW(INDIRECT("1:23")),1)*2^(-ROW(INDIRECT("1:23"))))</f>
        <v>#VALUE!</v>
      </c>
      <c r="T964" s="3" t="e">
        <f t="shared" ca="1" si="132"/>
        <v>#VALUE!</v>
      </c>
      <c r="U964" s="3" t="e">
        <f t="shared" ca="1" si="133"/>
        <v>#VALUE!</v>
      </c>
      <c r="V964" s="73"/>
      <c r="W964" s="9" t="str">
        <f t="shared" si="134"/>
        <v>OK</v>
      </c>
    </row>
    <row r="965" spans="1:23" x14ac:dyDescent="0.3">
      <c r="A965" s="44">
        <v>962</v>
      </c>
      <c r="B965" s="14">
        <v>9</v>
      </c>
      <c r="C965" s="4">
        <v>29</v>
      </c>
      <c r="D965" s="3" t="str">
        <f>VLOOKUP($C965,Overall!$K$5:$T$36,2)</f>
        <v>Normal</v>
      </c>
      <c r="E965" s="3">
        <f ca="1">VLOOKUP($C965,Overall!$K$5:$T$36,10)</f>
        <v>-12345.6787109375</v>
      </c>
      <c r="F965" s="9" t="str">
        <f>VLOOKUP($C965,Overall!$K$5:$T$36,6)</f>
        <v>101000110010000001110011010110111</v>
      </c>
      <c r="G965" s="8">
        <v>30</v>
      </c>
      <c r="H965" s="3" t="str">
        <f>VLOOKUP($G965,Overall!$K$5:$T$36,2)</f>
        <v>Normal</v>
      </c>
      <c r="I965" s="3">
        <f ca="1">VLOOKUP($G965,Overall!$K$5:$T$36,10)</f>
        <v>-2.345678924830959E+38</v>
      </c>
      <c r="J965" s="62" t="str">
        <f>VLOOKUP($G965,Overall!$K$5:$T$36,6)</f>
        <v>11111111001100000111100000100010</v>
      </c>
      <c r="K965" s="8">
        <f t="shared" ref="K965:K1027" ca="1" si="135">E965*I965</f>
        <v>2.8958998364980335E+42</v>
      </c>
      <c r="L965" s="62">
        <f>VLOOKUP($B965,Overall!$B$5:$I$13,8)</f>
        <v>0</v>
      </c>
      <c r="M965" s="58"/>
      <c r="N965" s="3" t="str">
        <f t="shared" ref="N965:N1027" si="136">LEFT($M965,1)</f>
        <v/>
      </c>
      <c r="O965" s="3" t="str">
        <f t="shared" ref="O965:O1027" si="137">MID($M965,2,8)</f>
        <v/>
      </c>
      <c r="P965" s="3" t="str">
        <f t="shared" ref="P965:P1027" si="138">MID($M965,10,23)</f>
        <v/>
      </c>
      <c r="Q965" s="3">
        <f t="shared" ref="Q965:Q1027" si="139">BIN2DEC($N965)</f>
        <v>0</v>
      </c>
      <c r="R965" s="3">
        <f t="shared" ref="R965:R1027" si="140">BIN2DEC($O965)</f>
        <v>0</v>
      </c>
      <c r="S965" s="3" t="e" cm="1">
        <f t="array" aca="1" ref="S965" ca="1">SUMPRODUCT(MID($P965,ROW(INDIRECT("1:23")),1)*2^(-ROW(INDIRECT("1:23"))))</f>
        <v>#VALUE!</v>
      </c>
      <c r="T965" s="3" t="e">
        <f t="shared" ref="T965:T1027" ca="1" si="141">IF($R965=0,
   (-1)^$Q965 * $S965 * 2^(-126),
   (-1)^$Q965 * (1 + $S965) * 2^($R965 - 127)
)</f>
        <v>#VALUE!</v>
      </c>
      <c r="U965" s="3" t="e">
        <f t="shared" ref="U965:U1027" ca="1" si="142">$T965-$K965</f>
        <v>#VALUE!</v>
      </c>
      <c r="V965" s="73"/>
      <c r="W965" s="9" t="str">
        <f t="shared" ref="W965:W1027" si="143">IF(L965=V965,"OK","NG")</f>
        <v>OK</v>
      </c>
    </row>
    <row r="966" spans="1:23" x14ac:dyDescent="0.3">
      <c r="A966" s="44">
        <v>963</v>
      </c>
      <c r="B966" s="14">
        <v>9</v>
      </c>
      <c r="C966" s="4">
        <v>29</v>
      </c>
      <c r="D966" s="3" t="str">
        <f>VLOOKUP($C966,Overall!$K$5:$T$36,2)</f>
        <v>Normal</v>
      </c>
      <c r="E966" s="3">
        <f ca="1">VLOOKUP($C966,Overall!$K$5:$T$36,10)</f>
        <v>-12345.6787109375</v>
      </c>
      <c r="F966" s="9" t="str">
        <f>VLOOKUP($C966,Overall!$K$5:$T$36,6)</f>
        <v>101000110010000001110011010110111</v>
      </c>
      <c r="G966" s="8">
        <v>31</v>
      </c>
      <c r="H966" s="3" t="str">
        <f>VLOOKUP($G966,Overall!$K$5:$T$36,2)</f>
        <v>Normal</v>
      </c>
      <c r="I966" s="3">
        <f ca="1">VLOOKUP($G966,Overall!$K$5:$T$36,10)</f>
        <v>-3.4028232635611926E+38</v>
      </c>
      <c r="J966" s="62" t="str">
        <f>VLOOKUP($G966,Overall!$K$5:$T$36,6)</f>
        <v>11111111011111111111111111111110</v>
      </c>
      <c r="K966" s="8">
        <f t="shared" ca="1" si="135"/>
        <v>4.2010162722030281E+42</v>
      </c>
      <c r="L966" s="62">
        <f>VLOOKUP($B966,Overall!$B$5:$I$13,8)</f>
        <v>0</v>
      </c>
      <c r="M966" s="58"/>
      <c r="N966" s="3" t="str">
        <f t="shared" si="136"/>
        <v/>
      </c>
      <c r="O966" s="3" t="str">
        <f t="shared" si="137"/>
        <v/>
      </c>
      <c r="P966" s="3" t="str">
        <f t="shared" si="138"/>
        <v/>
      </c>
      <c r="Q966" s="3">
        <f t="shared" si="139"/>
        <v>0</v>
      </c>
      <c r="R966" s="3">
        <f t="shared" si="140"/>
        <v>0</v>
      </c>
      <c r="S966" s="3" t="e" cm="1">
        <f t="array" aca="1" ref="S966" ca="1">SUMPRODUCT(MID($P966,ROW(INDIRECT("1:23")),1)*2^(-ROW(INDIRECT("1:23"))))</f>
        <v>#VALUE!</v>
      </c>
      <c r="T966" s="3" t="e">
        <f t="shared" ca="1" si="141"/>
        <v>#VALUE!</v>
      </c>
      <c r="U966" s="3" t="e">
        <f t="shared" ca="1" si="142"/>
        <v>#VALUE!</v>
      </c>
      <c r="V966" s="73"/>
      <c r="W966" s="9" t="str">
        <f t="shared" si="143"/>
        <v>OK</v>
      </c>
    </row>
    <row r="967" spans="1:23" x14ac:dyDescent="0.3">
      <c r="A967" s="44">
        <v>964</v>
      </c>
      <c r="B967" s="14">
        <v>9</v>
      </c>
      <c r="C967" s="4">
        <v>29</v>
      </c>
      <c r="D967" s="3" t="str">
        <f>VLOOKUP($C967,Overall!$K$5:$T$36,2)</f>
        <v>Normal</v>
      </c>
      <c r="E967" s="3">
        <f ca="1">VLOOKUP($C967,Overall!$K$5:$T$36,10)</f>
        <v>-12345.6787109375</v>
      </c>
      <c r="F967" s="9" t="str">
        <f>VLOOKUP($C967,Overall!$K$5:$T$36,6)</f>
        <v>101000110010000001110011010110111</v>
      </c>
      <c r="G967" s="8">
        <v>32</v>
      </c>
      <c r="H967" s="3" t="str">
        <f>VLOOKUP($G967,Overall!$K$5:$T$36,2)</f>
        <v>Normal</v>
      </c>
      <c r="I967" s="3">
        <f ca="1">VLOOKUP($G967,Overall!$K$5:$T$36,10)</f>
        <v>-3.4028234663852886E+38</v>
      </c>
      <c r="J967" s="62" t="str">
        <f>VLOOKUP($G967,Overall!$K$5:$T$36,6)</f>
        <v>11111111011111111111111111111111</v>
      </c>
      <c r="K967" s="8">
        <f t="shared" ca="1" si="135"/>
        <v>4.2010165226031405E+42</v>
      </c>
      <c r="L967" s="62">
        <f>VLOOKUP($B967,Overall!$B$5:$I$13,8)</f>
        <v>0</v>
      </c>
      <c r="M967" s="58"/>
      <c r="N967" s="3" t="str">
        <f t="shared" si="136"/>
        <v/>
      </c>
      <c r="O967" s="3" t="str">
        <f t="shared" si="137"/>
        <v/>
      </c>
      <c r="P967" s="3" t="str">
        <f t="shared" si="138"/>
        <v/>
      </c>
      <c r="Q967" s="3">
        <f t="shared" si="139"/>
        <v>0</v>
      </c>
      <c r="R967" s="3">
        <f t="shared" si="140"/>
        <v>0</v>
      </c>
      <c r="S967" s="3" t="e" cm="1">
        <f t="array" aca="1" ref="S967" ca="1">SUMPRODUCT(MID($P967,ROW(INDIRECT("1:23")),1)*2^(-ROW(INDIRECT("1:23"))))</f>
        <v>#VALUE!</v>
      </c>
      <c r="T967" s="3" t="e">
        <f t="shared" ca="1" si="141"/>
        <v>#VALUE!</v>
      </c>
      <c r="U967" s="3" t="e">
        <f t="shared" ca="1" si="142"/>
        <v>#VALUE!</v>
      </c>
      <c r="V967" s="73"/>
      <c r="W967" s="9" t="str">
        <f t="shared" si="143"/>
        <v>OK</v>
      </c>
    </row>
    <row r="968" spans="1:23" x14ac:dyDescent="0.3">
      <c r="A968" s="44">
        <v>965</v>
      </c>
      <c r="B968" s="14">
        <v>9</v>
      </c>
      <c r="C968" s="4">
        <v>30</v>
      </c>
      <c r="D968" s="3" t="str">
        <f>VLOOKUP($C968,Overall!$K$5:$T$36,2)</f>
        <v>Normal</v>
      </c>
      <c r="E968" s="3">
        <f ca="1">VLOOKUP($C968,Overall!$K$5:$T$36,10)</f>
        <v>-2.345678924830959E+38</v>
      </c>
      <c r="F968" s="9" t="str">
        <f>VLOOKUP($C968,Overall!$K$5:$T$36,6)</f>
        <v>11111111001100000111100000100010</v>
      </c>
      <c r="G968" s="8">
        <v>13</v>
      </c>
      <c r="H968" s="3" t="str">
        <f>VLOOKUP($G968,Overall!$K$5:$T$36,2)</f>
        <v>Normal</v>
      </c>
      <c r="I968" s="3">
        <f ca="1">VLOOKUP($G968,Overall!$K$5:$T$36,10)</f>
        <v>0</v>
      </c>
      <c r="J968" s="62" t="str">
        <f>VLOOKUP($G968,Overall!$K$5:$T$36,6)</f>
        <v>00000000000000000000000000000000</v>
      </c>
      <c r="K968" s="8">
        <f t="shared" ca="1" si="135"/>
        <v>0</v>
      </c>
      <c r="L968" s="62">
        <f>VLOOKUP($B968,Overall!$B$5:$I$13,8)</f>
        <v>0</v>
      </c>
      <c r="M968" s="58"/>
      <c r="N968" s="3" t="str">
        <f t="shared" si="136"/>
        <v/>
      </c>
      <c r="O968" s="3" t="str">
        <f t="shared" si="137"/>
        <v/>
      </c>
      <c r="P968" s="3" t="str">
        <f t="shared" si="138"/>
        <v/>
      </c>
      <c r="Q968" s="3">
        <f t="shared" si="139"/>
        <v>0</v>
      </c>
      <c r="R968" s="3">
        <f t="shared" si="140"/>
        <v>0</v>
      </c>
      <c r="S968" s="3" t="e" cm="1">
        <f t="array" aca="1" ref="S968" ca="1">SUMPRODUCT(MID($P968,ROW(INDIRECT("1:23")),1)*2^(-ROW(INDIRECT("1:23"))))</f>
        <v>#VALUE!</v>
      </c>
      <c r="T968" s="3" t="e">
        <f t="shared" ca="1" si="141"/>
        <v>#VALUE!</v>
      </c>
      <c r="U968" s="3" t="e">
        <f t="shared" ca="1" si="142"/>
        <v>#VALUE!</v>
      </c>
      <c r="V968" s="73"/>
      <c r="W968" s="9" t="str">
        <f t="shared" si="143"/>
        <v>OK</v>
      </c>
    </row>
    <row r="969" spans="1:23" x14ac:dyDescent="0.3">
      <c r="A969" s="44">
        <v>966</v>
      </c>
      <c r="B969" s="14">
        <v>9</v>
      </c>
      <c r="C969" s="4">
        <v>30</v>
      </c>
      <c r="D969" s="3" t="str">
        <f>VLOOKUP($C969,Overall!$K$5:$T$36,2)</f>
        <v>Normal</v>
      </c>
      <c r="E969" s="3">
        <f ca="1">VLOOKUP($C969,Overall!$K$5:$T$36,10)</f>
        <v>-2.345678924830959E+38</v>
      </c>
      <c r="F969" s="9" t="str">
        <f>VLOOKUP($C969,Overall!$K$5:$T$36,6)</f>
        <v>11111111001100000111100000100010</v>
      </c>
      <c r="G969" s="8">
        <v>14</v>
      </c>
      <c r="H969" s="3" t="str">
        <f>VLOOKUP($G969,Overall!$K$5:$T$36,2)</f>
        <v>Normal</v>
      </c>
      <c r="I969" s="3">
        <f ca="1">VLOOKUP($G969,Overall!$K$5:$T$36,10)</f>
        <v>0</v>
      </c>
      <c r="J969" s="62" t="str">
        <f>VLOOKUP($G969,Overall!$K$5:$T$36,6)</f>
        <v>10000000000000000000000000000000</v>
      </c>
      <c r="K969" s="8">
        <f t="shared" ca="1" si="135"/>
        <v>0</v>
      </c>
      <c r="L969" s="62">
        <f>VLOOKUP($B969,Overall!$B$5:$I$13,8)</f>
        <v>0</v>
      </c>
      <c r="M969" s="58"/>
      <c r="N969" s="3" t="str">
        <f t="shared" si="136"/>
        <v/>
      </c>
      <c r="O969" s="3" t="str">
        <f t="shared" si="137"/>
        <v/>
      </c>
      <c r="P969" s="3" t="str">
        <f t="shared" si="138"/>
        <v/>
      </c>
      <c r="Q969" s="3">
        <f t="shared" si="139"/>
        <v>0</v>
      </c>
      <c r="R969" s="3">
        <f t="shared" si="140"/>
        <v>0</v>
      </c>
      <c r="S969" s="3" t="e" cm="1">
        <f t="array" aca="1" ref="S969" ca="1">SUMPRODUCT(MID($P969,ROW(INDIRECT("1:23")),1)*2^(-ROW(INDIRECT("1:23"))))</f>
        <v>#VALUE!</v>
      </c>
      <c r="T969" s="3" t="e">
        <f t="shared" ca="1" si="141"/>
        <v>#VALUE!</v>
      </c>
      <c r="U969" s="3" t="e">
        <f t="shared" ca="1" si="142"/>
        <v>#VALUE!</v>
      </c>
      <c r="V969" s="73"/>
      <c r="W969" s="9" t="str">
        <f t="shared" si="143"/>
        <v>OK</v>
      </c>
    </row>
    <row r="970" spans="1:23" x14ac:dyDescent="0.3">
      <c r="A970" s="44">
        <v>967</v>
      </c>
      <c r="B970" s="14">
        <v>9</v>
      </c>
      <c r="C970" s="4">
        <v>30</v>
      </c>
      <c r="D970" s="3" t="str">
        <f>VLOOKUP($C970,Overall!$K$5:$T$36,2)</f>
        <v>Normal</v>
      </c>
      <c r="E970" s="3">
        <f ca="1">VLOOKUP($C970,Overall!$K$5:$T$36,10)</f>
        <v>-2.345678924830959E+38</v>
      </c>
      <c r="F970" s="9" t="str">
        <f>VLOOKUP($C970,Overall!$K$5:$T$36,6)</f>
        <v>11111111001100000111100000100010</v>
      </c>
      <c r="G970" s="8">
        <v>15</v>
      </c>
      <c r="H970" s="3" t="str">
        <f>VLOOKUP($G970,Overall!$K$5:$T$36,2)</f>
        <v>Normal</v>
      </c>
      <c r="I970" s="3">
        <f ca="1">VLOOKUP($G970,Overall!$K$5:$T$36,10)</f>
        <v>1.1754943508222875E-38</v>
      </c>
      <c r="J970" s="62" t="str">
        <f>VLOOKUP($G970,Overall!$K$5:$T$36,6)</f>
        <v>00000000100000000000000000000000</v>
      </c>
      <c r="K970" s="8">
        <f t="shared" ca="1" si="135"/>
        <v>-2.7573323249816895</v>
      </c>
      <c r="L970" s="62">
        <f>VLOOKUP($B970,Overall!$B$5:$I$13,8)</f>
        <v>0</v>
      </c>
      <c r="M970" s="58"/>
      <c r="N970" s="3" t="str">
        <f t="shared" si="136"/>
        <v/>
      </c>
      <c r="O970" s="3" t="str">
        <f t="shared" si="137"/>
        <v/>
      </c>
      <c r="P970" s="3" t="str">
        <f t="shared" si="138"/>
        <v/>
      </c>
      <c r="Q970" s="3">
        <f t="shared" si="139"/>
        <v>0</v>
      </c>
      <c r="R970" s="3">
        <f t="shared" si="140"/>
        <v>0</v>
      </c>
      <c r="S970" s="3" t="e" cm="1">
        <f t="array" aca="1" ref="S970" ca="1">SUMPRODUCT(MID($P970,ROW(INDIRECT("1:23")),1)*2^(-ROW(INDIRECT("1:23"))))</f>
        <v>#VALUE!</v>
      </c>
      <c r="T970" s="3" t="e">
        <f t="shared" ca="1" si="141"/>
        <v>#VALUE!</v>
      </c>
      <c r="U970" s="3" t="e">
        <f t="shared" ca="1" si="142"/>
        <v>#VALUE!</v>
      </c>
      <c r="V970" s="73"/>
      <c r="W970" s="9" t="str">
        <f t="shared" si="143"/>
        <v>OK</v>
      </c>
    </row>
    <row r="971" spans="1:23" x14ac:dyDescent="0.3">
      <c r="A971" s="44">
        <v>968</v>
      </c>
      <c r="B971" s="14">
        <v>9</v>
      </c>
      <c r="C971" s="4">
        <v>30</v>
      </c>
      <c r="D971" s="3" t="str">
        <f>VLOOKUP($C971,Overall!$K$5:$T$36,2)</f>
        <v>Normal</v>
      </c>
      <c r="E971" s="3">
        <f ca="1">VLOOKUP($C971,Overall!$K$5:$T$36,10)</f>
        <v>-2.345678924830959E+38</v>
      </c>
      <c r="F971" s="9" t="str">
        <f>VLOOKUP($C971,Overall!$K$5:$T$36,6)</f>
        <v>11111111001100000111100000100010</v>
      </c>
      <c r="G971" s="8">
        <v>16</v>
      </c>
      <c r="H971" s="3" t="str">
        <f>VLOOKUP($G971,Overall!$K$5:$T$36,2)</f>
        <v>Normal</v>
      </c>
      <c r="I971" s="3">
        <f ca="1">VLOOKUP($G971,Overall!$K$5:$T$36,10)</f>
        <v>1.1754944909521339E-38</v>
      </c>
      <c r="J971" s="62" t="str">
        <f>VLOOKUP($G971,Overall!$K$5:$T$36,6)</f>
        <v>00000000100000000000000000000001</v>
      </c>
      <c r="K971" s="8">
        <f t="shared" ca="1" si="135"/>
        <v>-2.757332653681317</v>
      </c>
      <c r="L971" s="62">
        <f>VLOOKUP($B971,Overall!$B$5:$I$13,8)</f>
        <v>0</v>
      </c>
      <c r="M971" s="58"/>
      <c r="N971" s="3" t="str">
        <f t="shared" si="136"/>
        <v/>
      </c>
      <c r="O971" s="3" t="str">
        <f t="shared" si="137"/>
        <v/>
      </c>
      <c r="P971" s="3" t="str">
        <f t="shared" si="138"/>
        <v/>
      </c>
      <c r="Q971" s="3">
        <f t="shared" si="139"/>
        <v>0</v>
      </c>
      <c r="R971" s="3">
        <f t="shared" si="140"/>
        <v>0</v>
      </c>
      <c r="S971" s="3" t="e" cm="1">
        <f t="array" aca="1" ref="S971" ca="1">SUMPRODUCT(MID($P971,ROW(INDIRECT("1:23")),1)*2^(-ROW(INDIRECT("1:23"))))</f>
        <v>#VALUE!</v>
      </c>
      <c r="T971" s="3" t="e">
        <f t="shared" ca="1" si="141"/>
        <v>#VALUE!</v>
      </c>
      <c r="U971" s="3" t="e">
        <f t="shared" ca="1" si="142"/>
        <v>#VALUE!</v>
      </c>
      <c r="V971" s="73"/>
      <c r="W971" s="9" t="str">
        <f t="shared" si="143"/>
        <v>OK</v>
      </c>
    </row>
    <row r="972" spans="1:23" x14ac:dyDescent="0.3">
      <c r="A972" s="44">
        <v>969</v>
      </c>
      <c r="B972" s="14">
        <v>9</v>
      </c>
      <c r="C972" s="4">
        <v>30</v>
      </c>
      <c r="D972" s="3" t="str">
        <f>VLOOKUP($C972,Overall!$K$5:$T$36,2)</f>
        <v>Normal</v>
      </c>
      <c r="E972" s="3">
        <f ca="1">VLOOKUP($C972,Overall!$K$5:$T$36,10)</f>
        <v>-2.345678924830959E+38</v>
      </c>
      <c r="F972" s="9" t="str">
        <f>VLOOKUP($C972,Overall!$K$5:$T$36,6)</f>
        <v>11111111001100000111100000100010</v>
      </c>
      <c r="G972" s="8">
        <v>17</v>
      </c>
      <c r="H972" s="3" t="str">
        <f>VLOOKUP($G972,Overall!$K$5:$T$36,2)</f>
        <v>Normal</v>
      </c>
      <c r="I972" s="3">
        <f ca="1">VLOOKUP($G972,Overall!$K$5:$T$36,10)</f>
        <v>0.5</v>
      </c>
      <c r="J972" s="62" t="str">
        <f>VLOOKUP($G972,Overall!$K$5:$T$36,6)</f>
        <v>00111111000000000000000000000000</v>
      </c>
      <c r="K972" s="8">
        <f t="shared" ca="1" si="135"/>
        <v>-1.1728394624154795E+38</v>
      </c>
      <c r="L972" s="62">
        <f>VLOOKUP($B972,Overall!$B$5:$I$13,8)</f>
        <v>0</v>
      </c>
      <c r="M972" s="58"/>
      <c r="N972" s="3" t="str">
        <f t="shared" si="136"/>
        <v/>
      </c>
      <c r="O972" s="3" t="str">
        <f t="shared" si="137"/>
        <v/>
      </c>
      <c r="P972" s="3" t="str">
        <f t="shared" si="138"/>
        <v/>
      </c>
      <c r="Q972" s="3">
        <f t="shared" si="139"/>
        <v>0</v>
      </c>
      <c r="R972" s="3">
        <f t="shared" si="140"/>
        <v>0</v>
      </c>
      <c r="S972" s="3" t="e" cm="1">
        <f t="array" aca="1" ref="S972" ca="1">SUMPRODUCT(MID($P972,ROW(INDIRECT("1:23")),1)*2^(-ROW(INDIRECT("1:23"))))</f>
        <v>#VALUE!</v>
      </c>
      <c r="T972" s="3" t="e">
        <f t="shared" ca="1" si="141"/>
        <v>#VALUE!</v>
      </c>
      <c r="U972" s="3" t="e">
        <f t="shared" ca="1" si="142"/>
        <v>#VALUE!</v>
      </c>
      <c r="V972" s="73"/>
      <c r="W972" s="9" t="str">
        <f t="shared" si="143"/>
        <v>OK</v>
      </c>
    </row>
    <row r="973" spans="1:23" x14ac:dyDescent="0.3">
      <c r="A973" s="44">
        <v>970</v>
      </c>
      <c r="B973" s="14">
        <v>9</v>
      </c>
      <c r="C973" s="4">
        <v>30</v>
      </c>
      <c r="D973" s="3" t="str">
        <f>VLOOKUP($C973,Overall!$K$5:$T$36,2)</f>
        <v>Normal</v>
      </c>
      <c r="E973" s="3">
        <f ca="1">VLOOKUP($C973,Overall!$K$5:$T$36,10)</f>
        <v>-2.345678924830959E+38</v>
      </c>
      <c r="F973" s="9" t="str">
        <f>VLOOKUP($C973,Overall!$K$5:$T$36,6)</f>
        <v>11111111001100000111100000100010</v>
      </c>
      <c r="G973" s="8">
        <v>18</v>
      </c>
      <c r="H973" s="3" t="str">
        <f>VLOOKUP($G973,Overall!$K$5:$T$36,2)</f>
        <v>Normal</v>
      </c>
      <c r="I973" s="3">
        <f ca="1">VLOOKUP($G973,Overall!$K$5:$T$36,10)</f>
        <v>1</v>
      </c>
      <c r="J973" s="62" t="str">
        <f>VLOOKUP($G973,Overall!$K$5:$T$36,6)</f>
        <v>00111111100000000000000000000000</v>
      </c>
      <c r="K973" s="8">
        <f t="shared" ca="1" si="135"/>
        <v>-2.345678924830959E+38</v>
      </c>
      <c r="L973" s="62">
        <f>VLOOKUP($B973,Overall!$B$5:$I$13,8)</f>
        <v>0</v>
      </c>
      <c r="M973" s="58"/>
      <c r="N973" s="3" t="str">
        <f t="shared" si="136"/>
        <v/>
      </c>
      <c r="O973" s="3" t="str">
        <f t="shared" si="137"/>
        <v/>
      </c>
      <c r="P973" s="3" t="str">
        <f t="shared" si="138"/>
        <v/>
      </c>
      <c r="Q973" s="3">
        <f t="shared" si="139"/>
        <v>0</v>
      </c>
      <c r="R973" s="3">
        <f t="shared" si="140"/>
        <v>0</v>
      </c>
      <c r="S973" s="3" t="e" cm="1">
        <f t="array" aca="1" ref="S973" ca="1">SUMPRODUCT(MID($P973,ROW(INDIRECT("1:23")),1)*2^(-ROW(INDIRECT("1:23"))))</f>
        <v>#VALUE!</v>
      </c>
      <c r="T973" s="3" t="e">
        <f t="shared" ca="1" si="141"/>
        <v>#VALUE!</v>
      </c>
      <c r="U973" s="3" t="e">
        <f t="shared" ca="1" si="142"/>
        <v>#VALUE!</v>
      </c>
      <c r="V973" s="73"/>
      <c r="W973" s="9" t="str">
        <f t="shared" si="143"/>
        <v>OK</v>
      </c>
    </row>
    <row r="974" spans="1:23" x14ac:dyDescent="0.3">
      <c r="A974" s="44">
        <v>971</v>
      </c>
      <c r="B974" s="14">
        <v>9</v>
      </c>
      <c r="C974" s="4">
        <v>30</v>
      </c>
      <c r="D974" s="3" t="str">
        <f>VLOOKUP($C974,Overall!$K$5:$T$36,2)</f>
        <v>Normal</v>
      </c>
      <c r="E974" s="3">
        <f ca="1">VLOOKUP($C974,Overall!$K$5:$T$36,10)</f>
        <v>-2.345678924830959E+38</v>
      </c>
      <c r="F974" s="9" t="str">
        <f>VLOOKUP($C974,Overall!$K$5:$T$36,6)</f>
        <v>11111111001100000111100000100010</v>
      </c>
      <c r="G974" s="8">
        <v>19</v>
      </c>
      <c r="H974" s="3" t="str">
        <f>VLOOKUP($G974,Overall!$K$5:$T$36,2)</f>
        <v>Normal</v>
      </c>
      <c r="I974" s="3">
        <f ca="1">VLOOKUP($G974,Overall!$K$5:$T$36,10)</f>
        <v>1.5</v>
      </c>
      <c r="J974" s="62" t="str">
        <f>VLOOKUP($G974,Overall!$K$5:$T$36,6)</f>
        <v>00111111110000000000000000000000</v>
      </c>
      <c r="K974" s="8">
        <f t="shared" ca="1" si="135"/>
        <v>-3.5185183872464385E+38</v>
      </c>
      <c r="L974" s="62">
        <f>VLOOKUP($B974,Overall!$B$5:$I$13,8)</f>
        <v>0</v>
      </c>
      <c r="M974" s="58"/>
      <c r="N974" s="3" t="str">
        <f t="shared" si="136"/>
        <v/>
      </c>
      <c r="O974" s="3" t="str">
        <f t="shared" si="137"/>
        <v/>
      </c>
      <c r="P974" s="3" t="str">
        <f t="shared" si="138"/>
        <v/>
      </c>
      <c r="Q974" s="3">
        <f t="shared" si="139"/>
        <v>0</v>
      </c>
      <c r="R974" s="3">
        <f t="shared" si="140"/>
        <v>0</v>
      </c>
      <c r="S974" s="3" t="e" cm="1">
        <f t="array" aca="1" ref="S974" ca="1">SUMPRODUCT(MID($P974,ROW(INDIRECT("1:23")),1)*2^(-ROW(INDIRECT("1:23"))))</f>
        <v>#VALUE!</v>
      </c>
      <c r="T974" s="3" t="e">
        <f t="shared" ca="1" si="141"/>
        <v>#VALUE!</v>
      </c>
      <c r="U974" s="3" t="e">
        <f t="shared" ca="1" si="142"/>
        <v>#VALUE!</v>
      </c>
      <c r="V974" s="73"/>
      <c r="W974" s="9" t="str">
        <f t="shared" si="143"/>
        <v>OK</v>
      </c>
    </row>
    <row r="975" spans="1:23" x14ac:dyDescent="0.3">
      <c r="A975" s="44">
        <v>972</v>
      </c>
      <c r="B975" s="14">
        <v>9</v>
      </c>
      <c r="C975" s="4">
        <v>30</v>
      </c>
      <c r="D975" s="3" t="str">
        <f>VLOOKUP($C975,Overall!$K$5:$T$36,2)</f>
        <v>Normal</v>
      </c>
      <c r="E975" s="3">
        <f ca="1">VLOOKUP($C975,Overall!$K$5:$T$36,10)</f>
        <v>-2.345678924830959E+38</v>
      </c>
      <c r="F975" s="9" t="str">
        <f>VLOOKUP($C975,Overall!$K$5:$T$36,6)</f>
        <v>11111111001100000111100000100010</v>
      </c>
      <c r="G975" s="8">
        <v>20</v>
      </c>
      <c r="H975" s="3" t="str">
        <f>VLOOKUP($G975,Overall!$K$5:$T$36,2)</f>
        <v>Normal</v>
      </c>
      <c r="I975" s="3">
        <f ca="1">VLOOKUP($G975,Overall!$K$5:$T$36,10)</f>
        <v>12345.6787109375</v>
      </c>
      <c r="J975" s="62" t="str">
        <f>VLOOKUP($G975,Overall!$K$5:$T$36,6)</f>
        <v>001000110010000001110011010110111</v>
      </c>
      <c r="K975" s="8">
        <f t="shared" ca="1" si="135"/>
        <v>-2.8958998364980335E+42</v>
      </c>
      <c r="L975" s="62">
        <f>VLOOKUP($B975,Overall!$B$5:$I$13,8)</f>
        <v>0</v>
      </c>
      <c r="M975" s="58"/>
      <c r="N975" s="3" t="str">
        <f t="shared" si="136"/>
        <v/>
      </c>
      <c r="O975" s="3" t="str">
        <f t="shared" si="137"/>
        <v/>
      </c>
      <c r="P975" s="3" t="str">
        <f t="shared" si="138"/>
        <v/>
      </c>
      <c r="Q975" s="3">
        <f t="shared" si="139"/>
        <v>0</v>
      </c>
      <c r="R975" s="3">
        <f t="shared" si="140"/>
        <v>0</v>
      </c>
      <c r="S975" s="3" t="e" cm="1">
        <f t="array" aca="1" ref="S975" ca="1">SUMPRODUCT(MID($P975,ROW(INDIRECT("1:23")),1)*2^(-ROW(INDIRECT("1:23"))))</f>
        <v>#VALUE!</v>
      </c>
      <c r="T975" s="3" t="e">
        <f t="shared" ca="1" si="141"/>
        <v>#VALUE!</v>
      </c>
      <c r="U975" s="3" t="e">
        <f t="shared" ca="1" si="142"/>
        <v>#VALUE!</v>
      </c>
      <c r="V975" s="73"/>
      <c r="W975" s="9" t="str">
        <f t="shared" si="143"/>
        <v>OK</v>
      </c>
    </row>
    <row r="976" spans="1:23" x14ac:dyDescent="0.3">
      <c r="A976" s="44">
        <v>973</v>
      </c>
      <c r="B976" s="14">
        <v>9</v>
      </c>
      <c r="C976" s="4">
        <v>30</v>
      </c>
      <c r="D976" s="3" t="str">
        <f>VLOOKUP($C976,Overall!$K$5:$T$36,2)</f>
        <v>Normal</v>
      </c>
      <c r="E976" s="3">
        <f ca="1">VLOOKUP($C976,Overall!$K$5:$T$36,10)</f>
        <v>-2.345678924830959E+38</v>
      </c>
      <c r="F976" s="9" t="str">
        <f>VLOOKUP($C976,Overall!$K$5:$T$36,6)</f>
        <v>11111111001100000111100000100010</v>
      </c>
      <c r="G976" s="8">
        <v>21</v>
      </c>
      <c r="H976" s="3" t="str">
        <f>VLOOKUP($G976,Overall!$K$5:$T$36,2)</f>
        <v>Normal</v>
      </c>
      <c r="I976" s="3">
        <f ca="1">VLOOKUP($G976,Overall!$K$5:$T$36,10)</f>
        <v>2.345678924830959E+38</v>
      </c>
      <c r="J976" s="62" t="str">
        <f>VLOOKUP($G976,Overall!$K$5:$T$36,6)</f>
        <v>01111111001100000111100000100010</v>
      </c>
      <c r="K976" s="8">
        <f t="shared" ca="1" si="135"/>
        <v>-5.5022096183961237E+76</v>
      </c>
      <c r="L976" s="62">
        <f>VLOOKUP($B976,Overall!$B$5:$I$13,8)</f>
        <v>0</v>
      </c>
      <c r="M976" s="58"/>
      <c r="N976" s="3" t="str">
        <f t="shared" si="136"/>
        <v/>
      </c>
      <c r="O976" s="3" t="str">
        <f t="shared" si="137"/>
        <v/>
      </c>
      <c r="P976" s="3" t="str">
        <f t="shared" si="138"/>
        <v/>
      </c>
      <c r="Q976" s="3">
        <f t="shared" si="139"/>
        <v>0</v>
      </c>
      <c r="R976" s="3">
        <f t="shared" si="140"/>
        <v>0</v>
      </c>
      <c r="S976" s="3" t="e" cm="1">
        <f t="array" aca="1" ref="S976" ca="1">SUMPRODUCT(MID($P976,ROW(INDIRECT("1:23")),1)*2^(-ROW(INDIRECT("1:23"))))</f>
        <v>#VALUE!</v>
      </c>
      <c r="T976" s="3" t="e">
        <f t="shared" ca="1" si="141"/>
        <v>#VALUE!</v>
      </c>
      <c r="U976" s="3" t="e">
        <f t="shared" ca="1" si="142"/>
        <v>#VALUE!</v>
      </c>
      <c r="V976" s="73"/>
      <c r="W976" s="9" t="str">
        <f t="shared" si="143"/>
        <v>OK</v>
      </c>
    </row>
    <row r="977" spans="1:23" x14ac:dyDescent="0.3">
      <c r="A977" s="44">
        <v>974</v>
      </c>
      <c r="B977" s="14">
        <v>9</v>
      </c>
      <c r="C977" s="4">
        <v>30</v>
      </c>
      <c r="D977" s="3" t="str">
        <f>VLOOKUP($C977,Overall!$K$5:$T$36,2)</f>
        <v>Normal</v>
      </c>
      <c r="E977" s="3">
        <f ca="1">VLOOKUP($C977,Overall!$K$5:$T$36,10)</f>
        <v>-2.345678924830959E+38</v>
      </c>
      <c r="F977" s="9" t="str">
        <f>VLOOKUP($C977,Overall!$K$5:$T$36,6)</f>
        <v>11111111001100000111100000100010</v>
      </c>
      <c r="G977" s="8">
        <v>22</v>
      </c>
      <c r="H977" s="3" t="str">
        <f>VLOOKUP($G977,Overall!$K$5:$T$36,2)</f>
        <v>Normal</v>
      </c>
      <c r="I977" s="3">
        <f ca="1">VLOOKUP($G977,Overall!$K$5:$T$36,10)</f>
        <v>3.4028232635611926E+38</v>
      </c>
      <c r="J977" s="62" t="str">
        <f>VLOOKUP($G977,Overall!$K$5:$T$36,6)</f>
        <v>01111111011111111111111111111110</v>
      </c>
      <c r="K977" s="8">
        <f t="shared" ca="1" si="135"/>
        <v>-7.9819308142599931E+76</v>
      </c>
      <c r="L977" s="62">
        <f>VLOOKUP($B977,Overall!$B$5:$I$13,8)</f>
        <v>0</v>
      </c>
      <c r="M977" s="58"/>
      <c r="N977" s="3" t="str">
        <f t="shared" si="136"/>
        <v/>
      </c>
      <c r="O977" s="3" t="str">
        <f t="shared" si="137"/>
        <v/>
      </c>
      <c r="P977" s="3" t="str">
        <f t="shared" si="138"/>
        <v/>
      </c>
      <c r="Q977" s="3">
        <f t="shared" si="139"/>
        <v>0</v>
      </c>
      <c r="R977" s="3">
        <f t="shared" si="140"/>
        <v>0</v>
      </c>
      <c r="S977" s="3" t="e" cm="1">
        <f t="array" aca="1" ref="S977" ca="1">SUMPRODUCT(MID($P977,ROW(INDIRECT("1:23")),1)*2^(-ROW(INDIRECT("1:23"))))</f>
        <v>#VALUE!</v>
      </c>
      <c r="T977" s="3" t="e">
        <f t="shared" ca="1" si="141"/>
        <v>#VALUE!</v>
      </c>
      <c r="U977" s="3" t="e">
        <f t="shared" ca="1" si="142"/>
        <v>#VALUE!</v>
      </c>
      <c r="V977" s="73"/>
      <c r="W977" s="9" t="str">
        <f t="shared" si="143"/>
        <v>OK</v>
      </c>
    </row>
    <row r="978" spans="1:23" x14ac:dyDescent="0.3">
      <c r="A978" s="44">
        <v>975</v>
      </c>
      <c r="B978" s="14">
        <v>9</v>
      </c>
      <c r="C978" s="4">
        <v>30</v>
      </c>
      <c r="D978" s="3" t="str">
        <f>VLOOKUP($C978,Overall!$K$5:$T$36,2)</f>
        <v>Normal</v>
      </c>
      <c r="E978" s="3">
        <f ca="1">VLOOKUP($C978,Overall!$K$5:$T$36,10)</f>
        <v>-2.345678924830959E+38</v>
      </c>
      <c r="F978" s="9" t="str">
        <f>VLOOKUP($C978,Overall!$K$5:$T$36,6)</f>
        <v>11111111001100000111100000100010</v>
      </c>
      <c r="G978" s="8">
        <v>23</v>
      </c>
      <c r="H978" s="3" t="str">
        <f>VLOOKUP($G978,Overall!$K$5:$T$36,2)</f>
        <v>Normal</v>
      </c>
      <c r="I978" s="3">
        <f ca="1">VLOOKUP($G978,Overall!$K$5:$T$36,10)</f>
        <v>3.4028234663852886E+38</v>
      </c>
      <c r="J978" s="62" t="str">
        <f>VLOOKUP($G978,Overall!$K$5:$T$36,6)</f>
        <v>01111111011111111111111111111111</v>
      </c>
      <c r="K978" s="8">
        <f t="shared" ca="1" si="135"/>
        <v>-7.9819312900202006E+76</v>
      </c>
      <c r="L978" s="62">
        <f>VLOOKUP($B978,Overall!$B$5:$I$13,8)</f>
        <v>0</v>
      </c>
      <c r="M978" s="58"/>
      <c r="N978" s="3" t="str">
        <f t="shared" si="136"/>
        <v/>
      </c>
      <c r="O978" s="3" t="str">
        <f t="shared" si="137"/>
        <v/>
      </c>
      <c r="P978" s="3" t="str">
        <f t="shared" si="138"/>
        <v/>
      </c>
      <c r="Q978" s="3">
        <f t="shared" si="139"/>
        <v>0</v>
      </c>
      <c r="R978" s="3">
        <f t="shared" si="140"/>
        <v>0</v>
      </c>
      <c r="S978" s="3" t="e" cm="1">
        <f t="array" aca="1" ref="S978" ca="1">SUMPRODUCT(MID($P978,ROW(INDIRECT("1:23")),1)*2^(-ROW(INDIRECT("1:23"))))</f>
        <v>#VALUE!</v>
      </c>
      <c r="T978" s="3" t="e">
        <f t="shared" ca="1" si="141"/>
        <v>#VALUE!</v>
      </c>
      <c r="U978" s="3" t="e">
        <f t="shared" ca="1" si="142"/>
        <v>#VALUE!</v>
      </c>
      <c r="V978" s="73"/>
      <c r="W978" s="9" t="str">
        <f t="shared" si="143"/>
        <v>OK</v>
      </c>
    </row>
    <row r="979" spans="1:23" x14ac:dyDescent="0.3">
      <c r="A979" s="44">
        <v>976</v>
      </c>
      <c r="B979" s="14">
        <v>9</v>
      </c>
      <c r="C979" s="4">
        <v>30</v>
      </c>
      <c r="D979" s="3" t="str">
        <f>VLOOKUP($C979,Overall!$K$5:$T$36,2)</f>
        <v>Normal</v>
      </c>
      <c r="E979" s="3">
        <f ca="1">VLOOKUP($C979,Overall!$K$5:$T$36,10)</f>
        <v>-2.345678924830959E+38</v>
      </c>
      <c r="F979" s="9" t="str">
        <f>VLOOKUP($C979,Overall!$K$5:$T$36,6)</f>
        <v>11111111001100000111100000100010</v>
      </c>
      <c r="G979" s="8">
        <v>24</v>
      </c>
      <c r="H979" s="3" t="str">
        <f>VLOOKUP($G979,Overall!$K$5:$T$36,2)</f>
        <v>Normal</v>
      </c>
      <c r="I979" s="3">
        <f ca="1">VLOOKUP($G979,Overall!$K$5:$T$36,10)</f>
        <v>-1.1754943508222875E-38</v>
      </c>
      <c r="J979" s="62" t="str">
        <f>VLOOKUP($G979,Overall!$K$5:$T$36,6)</f>
        <v>10000000100000000000000000000000</v>
      </c>
      <c r="K979" s="8">
        <f t="shared" ca="1" si="135"/>
        <v>2.7573323249816895</v>
      </c>
      <c r="L979" s="62">
        <f>VLOOKUP($B979,Overall!$B$5:$I$13,8)</f>
        <v>0</v>
      </c>
      <c r="M979" s="58"/>
      <c r="N979" s="3" t="str">
        <f t="shared" si="136"/>
        <v/>
      </c>
      <c r="O979" s="3" t="str">
        <f t="shared" si="137"/>
        <v/>
      </c>
      <c r="P979" s="3" t="str">
        <f t="shared" si="138"/>
        <v/>
      </c>
      <c r="Q979" s="3">
        <f t="shared" si="139"/>
        <v>0</v>
      </c>
      <c r="R979" s="3">
        <f t="shared" si="140"/>
        <v>0</v>
      </c>
      <c r="S979" s="3" t="e" cm="1">
        <f t="array" aca="1" ref="S979" ca="1">SUMPRODUCT(MID($P979,ROW(INDIRECT("1:23")),1)*2^(-ROW(INDIRECT("1:23"))))</f>
        <v>#VALUE!</v>
      </c>
      <c r="T979" s="3" t="e">
        <f t="shared" ca="1" si="141"/>
        <v>#VALUE!</v>
      </c>
      <c r="U979" s="3" t="e">
        <f t="shared" ca="1" si="142"/>
        <v>#VALUE!</v>
      </c>
      <c r="V979" s="73"/>
      <c r="W979" s="9" t="str">
        <f t="shared" si="143"/>
        <v>OK</v>
      </c>
    </row>
    <row r="980" spans="1:23" x14ac:dyDescent="0.3">
      <c r="A980" s="44">
        <v>977</v>
      </c>
      <c r="B980" s="14">
        <v>9</v>
      </c>
      <c r="C980" s="4">
        <v>30</v>
      </c>
      <c r="D980" s="3" t="str">
        <f>VLOOKUP($C980,Overall!$K$5:$T$36,2)</f>
        <v>Normal</v>
      </c>
      <c r="E980" s="3">
        <f ca="1">VLOOKUP($C980,Overall!$K$5:$T$36,10)</f>
        <v>-2.345678924830959E+38</v>
      </c>
      <c r="F980" s="9" t="str">
        <f>VLOOKUP($C980,Overall!$K$5:$T$36,6)</f>
        <v>11111111001100000111100000100010</v>
      </c>
      <c r="G980" s="8">
        <v>25</v>
      </c>
      <c r="H980" s="3" t="str">
        <f>VLOOKUP($G980,Overall!$K$5:$T$36,2)</f>
        <v>Normal</v>
      </c>
      <c r="I980" s="3">
        <f ca="1">VLOOKUP($G980,Overall!$K$5:$T$36,10)</f>
        <v>-1.1754944909521339E-38</v>
      </c>
      <c r="J980" s="62" t="str">
        <f>VLOOKUP($G980,Overall!$K$5:$T$36,6)</f>
        <v>10000000100000000000000000000001</v>
      </c>
      <c r="K980" s="8">
        <f t="shared" ca="1" si="135"/>
        <v>2.757332653681317</v>
      </c>
      <c r="L980" s="62">
        <f>VLOOKUP($B980,Overall!$B$5:$I$13,8)</f>
        <v>0</v>
      </c>
      <c r="M980" s="58"/>
      <c r="N980" s="3" t="str">
        <f t="shared" si="136"/>
        <v/>
      </c>
      <c r="O980" s="3" t="str">
        <f t="shared" si="137"/>
        <v/>
      </c>
      <c r="P980" s="3" t="str">
        <f t="shared" si="138"/>
        <v/>
      </c>
      <c r="Q980" s="3">
        <f t="shared" si="139"/>
        <v>0</v>
      </c>
      <c r="R980" s="3">
        <f t="shared" si="140"/>
        <v>0</v>
      </c>
      <c r="S980" s="3" t="e" cm="1">
        <f t="array" aca="1" ref="S980" ca="1">SUMPRODUCT(MID($P980,ROW(INDIRECT("1:23")),1)*2^(-ROW(INDIRECT("1:23"))))</f>
        <v>#VALUE!</v>
      </c>
      <c r="T980" s="3" t="e">
        <f t="shared" ca="1" si="141"/>
        <v>#VALUE!</v>
      </c>
      <c r="U980" s="3" t="e">
        <f t="shared" ca="1" si="142"/>
        <v>#VALUE!</v>
      </c>
      <c r="V980" s="73"/>
      <c r="W980" s="9" t="str">
        <f t="shared" si="143"/>
        <v>OK</v>
      </c>
    </row>
    <row r="981" spans="1:23" x14ac:dyDescent="0.3">
      <c r="A981" s="44">
        <v>978</v>
      </c>
      <c r="B981" s="14">
        <v>9</v>
      </c>
      <c r="C981" s="4">
        <v>30</v>
      </c>
      <c r="D981" s="3" t="str">
        <f>VLOOKUP($C981,Overall!$K$5:$T$36,2)</f>
        <v>Normal</v>
      </c>
      <c r="E981" s="3">
        <f ca="1">VLOOKUP($C981,Overall!$K$5:$T$36,10)</f>
        <v>-2.345678924830959E+38</v>
      </c>
      <c r="F981" s="9" t="str">
        <f>VLOOKUP($C981,Overall!$K$5:$T$36,6)</f>
        <v>11111111001100000111100000100010</v>
      </c>
      <c r="G981" s="8">
        <v>26</v>
      </c>
      <c r="H981" s="3" t="str">
        <f>VLOOKUP($G981,Overall!$K$5:$T$36,2)</f>
        <v>Normal</v>
      </c>
      <c r="I981" s="3">
        <f ca="1">VLOOKUP($G981,Overall!$K$5:$T$36,10)</f>
        <v>-0.5</v>
      </c>
      <c r="J981" s="62" t="str">
        <f>VLOOKUP($G981,Overall!$K$5:$T$36,6)</f>
        <v>10111111000000000000000000000000</v>
      </c>
      <c r="K981" s="8">
        <f t="shared" ca="1" si="135"/>
        <v>1.1728394624154795E+38</v>
      </c>
      <c r="L981" s="62">
        <f>VLOOKUP($B981,Overall!$B$5:$I$13,8)</f>
        <v>0</v>
      </c>
      <c r="M981" s="58"/>
      <c r="N981" s="3" t="str">
        <f t="shared" si="136"/>
        <v/>
      </c>
      <c r="O981" s="3" t="str">
        <f t="shared" si="137"/>
        <v/>
      </c>
      <c r="P981" s="3" t="str">
        <f t="shared" si="138"/>
        <v/>
      </c>
      <c r="Q981" s="3">
        <f t="shared" si="139"/>
        <v>0</v>
      </c>
      <c r="R981" s="3">
        <f t="shared" si="140"/>
        <v>0</v>
      </c>
      <c r="S981" s="3" t="e" cm="1">
        <f t="array" aca="1" ref="S981" ca="1">SUMPRODUCT(MID($P981,ROW(INDIRECT("1:23")),1)*2^(-ROW(INDIRECT("1:23"))))</f>
        <v>#VALUE!</v>
      </c>
      <c r="T981" s="3" t="e">
        <f t="shared" ca="1" si="141"/>
        <v>#VALUE!</v>
      </c>
      <c r="U981" s="3" t="e">
        <f t="shared" ca="1" si="142"/>
        <v>#VALUE!</v>
      </c>
      <c r="V981" s="73"/>
      <c r="W981" s="9" t="str">
        <f t="shared" si="143"/>
        <v>OK</v>
      </c>
    </row>
    <row r="982" spans="1:23" x14ac:dyDescent="0.3">
      <c r="A982" s="44">
        <v>979</v>
      </c>
      <c r="B982" s="14">
        <v>9</v>
      </c>
      <c r="C982" s="4">
        <v>30</v>
      </c>
      <c r="D982" s="3" t="str">
        <f>VLOOKUP($C982,Overall!$K$5:$T$36,2)</f>
        <v>Normal</v>
      </c>
      <c r="E982" s="3">
        <f ca="1">VLOOKUP($C982,Overall!$K$5:$T$36,10)</f>
        <v>-2.345678924830959E+38</v>
      </c>
      <c r="F982" s="9" t="str">
        <f>VLOOKUP($C982,Overall!$K$5:$T$36,6)</f>
        <v>11111111001100000111100000100010</v>
      </c>
      <c r="G982" s="8">
        <v>27</v>
      </c>
      <c r="H982" s="3" t="str">
        <f>VLOOKUP($G982,Overall!$K$5:$T$36,2)</f>
        <v>Normal</v>
      </c>
      <c r="I982" s="3">
        <f ca="1">VLOOKUP($G982,Overall!$K$5:$T$36,10)</f>
        <v>-1</v>
      </c>
      <c r="J982" s="62" t="str">
        <f>VLOOKUP($G982,Overall!$K$5:$T$36,6)</f>
        <v>10111111100000000000000000000000</v>
      </c>
      <c r="K982" s="8">
        <f t="shared" ca="1" si="135"/>
        <v>2.345678924830959E+38</v>
      </c>
      <c r="L982" s="62">
        <f>VLOOKUP($B982,Overall!$B$5:$I$13,8)</f>
        <v>0</v>
      </c>
      <c r="M982" s="58"/>
      <c r="N982" s="3" t="str">
        <f t="shared" si="136"/>
        <v/>
      </c>
      <c r="O982" s="3" t="str">
        <f t="shared" si="137"/>
        <v/>
      </c>
      <c r="P982" s="3" t="str">
        <f t="shared" si="138"/>
        <v/>
      </c>
      <c r="Q982" s="3">
        <f t="shared" si="139"/>
        <v>0</v>
      </c>
      <c r="R982" s="3">
        <f t="shared" si="140"/>
        <v>0</v>
      </c>
      <c r="S982" s="3" t="e" cm="1">
        <f t="array" aca="1" ref="S982" ca="1">SUMPRODUCT(MID($P982,ROW(INDIRECT("1:23")),1)*2^(-ROW(INDIRECT("1:23"))))</f>
        <v>#VALUE!</v>
      </c>
      <c r="T982" s="3" t="e">
        <f t="shared" ca="1" si="141"/>
        <v>#VALUE!</v>
      </c>
      <c r="U982" s="3" t="e">
        <f t="shared" ca="1" si="142"/>
        <v>#VALUE!</v>
      </c>
      <c r="V982" s="73"/>
      <c r="W982" s="9" t="str">
        <f t="shared" si="143"/>
        <v>OK</v>
      </c>
    </row>
    <row r="983" spans="1:23" x14ac:dyDescent="0.3">
      <c r="A983" s="44">
        <v>980</v>
      </c>
      <c r="B983" s="14">
        <v>9</v>
      </c>
      <c r="C983" s="4">
        <v>30</v>
      </c>
      <c r="D983" s="3" t="str">
        <f>VLOOKUP($C983,Overall!$K$5:$T$36,2)</f>
        <v>Normal</v>
      </c>
      <c r="E983" s="3">
        <f ca="1">VLOOKUP($C983,Overall!$K$5:$T$36,10)</f>
        <v>-2.345678924830959E+38</v>
      </c>
      <c r="F983" s="9" t="str">
        <f>VLOOKUP($C983,Overall!$K$5:$T$36,6)</f>
        <v>11111111001100000111100000100010</v>
      </c>
      <c r="G983" s="8">
        <v>28</v>
      </c>
      <c r="H983" s="3" t="str">
        <f>VLOOKUP($G983,Overall!$K$5:$T$36,2)</f>
        <v>Normal</v>
      </c>
      <c r="I983" s="3">
        <f ca="1">VLOOKUP($G983,Overall!$K$5:$T$36,10)</f>
        <v>-1.5</v>
      </c>
      <c r="J983" s="62" t="str">
        <f>VLOOKUP($G983,Overall!$K$5:$T$36,6)</f>
        <v>10111111110000000000000000000000</v>
      </c>
      <c r="K983" s="8">
        <f t="shared" ca="1" si="135"/>
        <v>3.5185183872464385E+38</v>
      </c>
      <c r="L983" s="62">
        <f>VLOOKUP($B983,Overall!$B$5:$I$13,8)</f>
        <v>0</v>
      </c>
      <c r="M983" s="58"/>
      <c r="N983" s="3" t="str">
        <f t="shared" si="136"/>
        <v/>
      </c>
      <c r="O983" s="3" t="str">
        <f t="shared" si="137"/>
        <v/>
      </c>
      <c r="P983" s="3" t="str">
        <f t="shared" si="138"/>
        <v/>
      </c>
      <c r="Q983" s="3">
        <f t="shared" si="139"/>
        <v>0</v>
      </c>
      <c r="R983" s="3">
        <f t="shared" si="140"/>
        <v>0</v>
      </c>
      <c r="S983" s="3" t="e" cm="1">
        <f t="array" aca="1" ref="S983" ca="1">SUMPRODUCT(MID($P983,ROW(INDIRECT("1:23")),1)*2^(-ROW(INDIRECT("1:23"))))</f>
        <v>#VALUE!</v>
      </c>
      <c r="T983" s="3" t="e">
        <f t="shared" ca="1" si="141"/>
        <v>#VALUE!</v>
      </c>
      <c r="U983" s="3" t="e">
        <f t="shared" ca="1" si="142"/>
        <v>#VALUE!</v>
      </c>
      <c r="V983" s="73"/>
      <c r="W983" s="9" t="str">
        <f t="shared" si="143"/>
        <v>OK</v>
      </c>
    </row>
    <row r="984" spans="1:23" x14ac:dyDescent="0.3">
      <c r="A984" s="44">
        <v>981</v>
      </c>
      <c r="B984" s="14">
        <v>9</v>
      </c>
      <c r="C984" s="4">
        <v>30</v>
      </c>
      <c r="D984" s="3" t="str">
        <f>VLOOKUP($C984,Overall!$K$5:$T$36,2)</f>
        <v>Normal</v>
      </c>
      <c r="E984" s="3">
        <f ca="1">VLOOKUP($C984,Overall!$K$5:$T$36,10)</f>
        <v>-2.345678924830959E+38</v>
      </c>
      <c r="F984" s="9" t="str">
        <f>VLOOKUP($C984,Overall!$K$5:$T$36,6)</f>
        <v>11111111001100000111100000100010</v>
      </c>
      <c r="G984" s="8">
        <v>29</v>
      </c>
      <c r="H984" s="3" t="str">
        <f>VLOOKUP($G984,Overall!$K$5:$T$36,2)</f>
        <v>Normal</v>
      </c>
      <c r="I984" s="3">
        <f ca="1">VLOOKUP($G984,Overall!$K$5:$T$36,10)</f>
        <v>-12345.6787109375</v>
      </c>
      <c r="J984" s="62" t="str">
        <f>VLOOKUP($G984,Overall!$K$5:$T$36,6)</f>
        <v>101000110010000001110011010110111</v>
      </c>
      <c r="K984" s="8">
        <f t="shared" ca="1" si="135"/>
        <v>2.8958998364980335E+42</v>
      </c>
      <c r="L984" s="62">
        <f>VLOOKUP($B984,Overall!$B$5:$I$13,8)</f>
        <v>0</v>
      </c>
      <c r="M984" s="58"/>
      <c r="N984" s="3" t="str">
        <f t="shared" si="136"/>
        <v/>
      </c>
      <c r="O984" s="3" t="str">
        <f t="shared" si="137"/>
        <v/>
      </c>
      <c r="P984" s="3" t="str">
        <f t="shared" si="138"/>
        <v/>
      </c>
      <c r="Q984" s="3">
        <f t="shared" si="139"/>
        <v>0</v>
      </c>
      <c r="R984" s="3">
        <f t="shared" si="140"/>
        <v>0</v>
      </c>
      <c r="S984" s="3" t="e" cm="1">
        <f t="array" aca="1" ref="S984" ca="1">SUMPRODUCT(MID($P984,ROW(INDIRECT("1:23")),1)*2^(-ROW(INDIRECT("1:23"))))</f>
        <v>#VALUE!</v>
      </c>
      <c r="T984" s="3" t="e">
        <f t="shared" ca="1" si="141"/>
        <v>#VALUE!</v>
      </c>
      <c r="U984" s="3" t="e">
        <f t="shared" ca="1" si="142"/>
        <v>#VALUE!</v>
      </c>
      <c r="V984" s="73"/>
      <c r="W984" s="9" t="str">
        <f t="shared" si="143"/>
        <v>OK</v>
      </c>
    </row>
    <row r="985" spans="1:23" x14ac:dyDescent="0.3">
      <c r="A985" s="44">
        <v>982</v>
      </c>
      <c r="B985" s="14">
        <v>9</v>
      </c>
      <c r="C985" s="4">
        <v>30</v>
      </c>
      <c r="D985" s="3" t="str">
        <f>VLOOKUP($C985,Overall!$K$5:$T$36,2)</f>
        <v>Normal</v>
      </c>
      <c r="E985" s="3">
        <f ca="1">VLOOKUP($C985,Overall!$K$5:$T$36,10)</f>
        <v>-2.345678924830959E+38</v>
      </c>
      <c r="F985" s="9" t="str">
        <f>VLOOKUP($C985,Overall!$K$5:$T$36,6)</f>
        <v>11111111001100000111100000100010</v>
      </c>
      <c r="G985" s="8">
        <v>30</v>
      </c>
      <c r="H985" s="3" t="str">
        <f>VLOOKUP($G985,Overall!$K$5:$T$36,2)</f>
        <v>Normal</v>
      </c>
      <c r="I985" s="3">
        <f ca="1">VLOOKUP($G985,Overall!$K$5:$T$36,10)</f>
        <v>-2.345678924830959E+38</v>
      </c>
      <c r="J985" s="62" t="str">
        <f>VLOOKUP($G985,Overall!$K$5:$T$36,6)</f>
        <v>11111111001100000111100000100010</v>
      </c>
      <c r="K985" s="8">
        <f t="shared" ca="1" si="135"/>
        <v>5.5022096183961237E+76</v>
      </c>
      <c r="L985" s="62">
        <f>VLOOKUP($B985,Overall!$B$5:$I$13,8)</f>
        <v>0</v>
      </c>
      <c r="M985" s="58"/>
      <c r="N985" s="3" t="str">
        <f t="shared" si="136"/>
        <v/>
      </c>
      <c r="O985" s="3" t="str">
        <f t="shared" si="137"/>
        <v/>
      </c>
      <c r="P985" s="3" t="str">
        <f t="shared" si="138"/>
        <v/>
      </c>
      <c r="Q985" s="3">
        <f t="shared" si="139"/>
        <v>0</v>
      </c>
      <c r="R985" s="3">
        <f t="shared" si="140"/>
        <v>0</v>
      </c>
      <c r="S985" s="3" t="e" cm="1">
        <f t="array" aca="1" ref="S985" ca="1">SUMPRODUCT(MID($P985,ROW(INDIRECT("1:23")),1)*2^(-ROW(INDIRECT("1:23"))))</f>
        <v>#VALUE!</v>
      </c>
      <c r="T985" s="3" t="e">
        <f t="shared" ca="1" si="141"/>
        <v>#VALUE!</v>
      </c>
      <c r="U985" s="3" t="e">
        <f t="shared" ca="1" si="142"/>
        <v>#VALUE!</v>
      </c>
      <c r="V985" s="73"/>
      <c r="W985" s="9" t="str">
        <f t="shared" si="143"/>
        <v>OK</v>
      </c>
    </row>
    <row r="986" spans="1:23" x14ac:dyDescent="0.3">
      <c r="A986" s="44">
        <v>983</v>
      </c>
      <c r="B986" s="14">
        <v>9</v>
      </c>
      <c r="C986" s="4">
        <v>30</v>
      </c>
      <c r="D986" s="3" t="str">
        <f>VLOOKUP($C986,Overall!$K$5:$T$36,2)</f>
        <v>Normal</v>
      </c>
      <c r="E986" s="3">
        <f ca="1">VLOOKUP($C986,Overall!$K$5:$T$36,10)</f>
        <v>-2.345678924830959E+38</v>
      </c>
      <c r="F986" s="9" t="str">
        <f>VLOOKUP($C986,Overall!$K$5:$T$36,6)</f>
        <v>11111111001100000111100000100010</v>
      </c>
      <c r="G986" s="8">
        <v>31</v>
      </c>
      <c r="H986" s="3" t="str">
        <f>VLOOKUP($G986,Overall!$K$5:$T$36,2)</f>
        <v>Normal</v>
      </c>
      <c r="I986" s="3">
        <f ca="1">VLOOKUP($G986,Overall!$K$5:$T$36,10)</f>
        <v>-3.4028232635611926E+38</v>
      </c>
      <c r="J986" s="62" t="str">
        <f>VLOOKUP($G986,Overall!$K$5:$T$36,6)</f>
        <v>11111111011111111111111111111110</v>
      </c>
      <c r="K986" s="8">
        <f t="shared" ca="1" si="135"/>
        <v>7.9819308142599931E+76</v>
      </c>
      <c r="L986" s="62">
        <f>VLOOKUP($B986,Overall!$B$5:$I$13,8)</f>
        <v>0</v>
      </c>
      <c r="M986" s="58"/>
      <c r="N986" s="3" t="str">
        <f t="shared" si="136"/>
        <v/>
      </c>
      <c r="O986" s="3" t="str">
        <f t="shared" si="137"/>
        <v/>
      </c>
      <c r="P986" s="3" t="str">
        <f t="shared" si="138"/>
        <v/>
      </c>
      <c r="Q986" s="3">
        <f t="shared" si="139"/>
        <v>0</v>
      </c>
      <c r="R986" s="3">
        <f t="shared" si="140"/>
        <v>0</v>
      </c>
      <c r="S986" s="3" t="e" cm="1">
        <f t="array" aca="1" ref="S986" ca="1">SUMPRODUCT(MID($P986,ROW(INDIRECT("1:23")),1)*2^(-ROW(INDIRECT("1:23"))))</f>
        <v>#VALUE!</v>
      </c>
      <c r="T986" s="3" t="e">
        <f t="shared" ca="1" si="141"/>
        <v>#VALUE!</v>
      </c>
      <c r="U986" s="3" t="e">
        <f t="shared" ca="1" si="142"/>
        <v>#VALUE!</v>
      </c>
      <c r="V986" s="73"/>
      <c r="W986" s="9" t="str">
        <f t="shared" si="143"/>
        <v>OK</v>
      </c>
    </row>
    <row r="987" spans="1:23" x14ac:dyDescent="0.3">
      <c r="A987" s="44">
        <v>984</v>
      </c>
      <c r="B987" s="14">
        <v>9</v>
      </c>
      <c r="C987" s="4">
        <v>30</v>
      </c>
      <c r="D987" s="3" t="str">
        <f>VLOOKUP($C987,Overall!$K$5:$T$36,2)</f>
        <v>Normal</v>
      </c>
      <c r="E987" s="3">
        <f ca="1">VLOOKUP($C987,Overall!$K$5:$T$36,10)</f>
        <v>-2.345678924830959E+38</v>
      </c>
      <c r="F987" s="9" t="str">
        <f>VLOOKUP($C987,Overall!$K$5:$T$36,6)</f>
        <v>11111111001100000111100000100010</v>
      </c>
      <c r="G987" s="8">
        <v>32</v>
      </c>
      <c r="H987" s="3" t="str">
        <f>VLOOKUP($G987,Overall!$K$5:$T$36,2)</f>
        <v>Normal</v>
      </c>
      <c r="I987" s="3">
        <f ca="1">VLOOKUP($G987,Overall!$K$5:$T$36,10)</f>
        <v>-3.4028234663852886E+38</v>
      </c>
      <c r="J987" s="62" t="str">
        <f>VLOOKUP($G987,Overall!$K$5:$T$36,6)</f>
        <v>11111111011111111111111111111111</v>
      </c>
      <c r="K987" s="8">
        <f t="shared" ca="1" si="135"/>
        <v>7.9819312900202006E+76</v>
      </c>
      <c r="L987" s="62">
        <f>VLOOKUP($B987,Overall!$B$5:$I$13,8)</f>
        <v>0</v>
      </c>
      <c r="M987" s="58"/>
      <c r="N987" s="3" t="str">
        <f t="shared" si="136"/>
        <v/>
      </c>
      <c r="O987" s="3" t="str">
        <f t="shared" si="137"/>
        <v/>
      </c>
      <c r="P987" s="3" t="str">
        <f t="shared" si="138"/>
        <v/>
      </c>
      <c r="Q987" s="3">
        <f t="shared" si="139"/>
        <v>0</v>
      </c>
      <c r="R987" s="3">
        <f t="shared" si="140"/>
        <v>0</v>
      </c>
      <c r="S987" s="3" t="e" cm="1">
        <f t="array" aca="1" ref="S987" ca="1">SUMPRODUCT(MID($P987,ROW(INDIRECT("1:23")),1)*2^(-ROW(INDIRECT("1:23"))))</f>
        <v>#VALUE!</v>
      </c>
      <c r="T987" s="3" t="e">
        <f t="shared" ca="1" si="141"/>
        <v>#VALUE!</v>
      </c>
      <c r="U987" s="3" t="e">
        <f t="shared" ca="1" si="142"/>
        <v>#VALUE!</v>
      </c>
      <c r="V987" s="73"/>
      <c r="W987" s="9" t="str">
        <f t="shared" si="143"/>
        <v>OK</v>
      </c>
    </row>
    <row r="988" spans="1:23" x14ac:dyDescent="0.3">
      <c r="A988" s="44">
        <v>985</v>
      </c>
      <c r="B988" s="14">
        <v>9</v>
      </c>
      <c r="C988" s="4">
        <v>31</v>
      </c>
      <c r="D988" s="3" t="str">
        <f>VLOOKUP($C988,Overall!$K$5:$T$36,2)</f>
        <v>Normal</v>
      </c>
      <c r="E988" s="3">
        <f ca="1">VLOOKUP($C988,Overall!$K$5:$T$36,10)</f>
        <v>-3.4028232635611926E+38</v>
      </c>
      <c r="F988" s="9" t="str">
        <f>VLOOKUP($C988,Overall!$K$5:$T$36,6)</f>
        <v>11111111011111111111111111111110</v>
      </c>
      <c r="G988" s="8">
        <v>13</v>
      </c>
      <c r="H988" s="3" t="str">
        <f>VLOOKUP($G988,Overall!$K$5:$T$36,2)</f>
        <v>Normal</v>
      </c>
      <c r="I988" s="3">
        <f ca="1">VLOOKUP($G988,Overall!$K$5:$T$36,10)</f>
        <v>0</v>
      </c>
      <c r="J988" s="62" t="str">
        <f>VLOOKUP($G988,Overall!$K$5:$T$36,6)</f>
        <v>00000000000000000000000000000000</v>
      </c>
      <c r="K988" s="8">
        <f t="shared" ca="1" si="135"/>
        <v>0</v>
      </c>
      <c r="L988" s="62">
        <f>VLOOKUP($B988,Overall!$B$5:$I$13,8)</f>
        <v>0</v>
      </c>
      <c r="M988" s="58"/>
      <c r="N988" s="3" t="str">
        <f t="shared" si="136"/>
        <v/>
      </c>
      <c r="O988" s="3" t="str">
        <f t="shared" si="137"/>
        <v/>
      </c>
      <c r="P988" s="3" t="str">
        <f t="shared" si="138"/>
        <v/>
      </c>
      <c r="Q988" s="3">
        <f t="shared" si="139"/>
        <v>0</v>
      </c>
      <c r="R988" s="3">
        <f t="shared" si="140"/>
        <v>0</v>
      </c>
      <c r="S988" s="3" t="e" cm="1">
        <f t="array" aca="1" ref="S988" ca="1">SUMPRODUCT(MID($P988,ROW(INDIRECT("1:23")),1)*2^(-ROW(INDIRECT("1:23"))))</f>
        <v>#VALUE!</v>
      </c>
      <c r="T988" s="3" t="e">
        <f t="shared" ca="1" si="141"/>
        <v>#VALUE!</v>
      </c>
      <c r="U988" s="3" t="e">
        <f t="shared" ca="1" si="142"/>
        <v>#VALUE!</v>
      </c>
      <c r="V988" s="73"/>
      <c r="W988" s="9" t="str">
        <f t="shared" si="143"/>
        <v>OK</v>
      </c>
    </row>
    <row r="989" spans="1:23" x14ac:dyDescent="0.3">
      <c r="A989" s="44">
        <v>986</v>
      </c>
      <c r="B989" s="14">
        <v>9</v>
      </c>
      <c r="C989" s="4">
        <v>31</v>
      </c>
      <c r="D989" s="3" t="str">
        <f>VLOOKUP($C989,Overall!$K$5:$T$36,2)</f>
        <v>Normal</v>
      </c>
      <c r="E989" s="3">
        <f ca="1">VLOOKUP($C989,Overall!$K$5:$T$36,10)</f>
        <v>-3.4028232635611926E+38</v>
      </c>
      <c r="F989" s="9" t="str">
        <f>VLOOKUP($C989,Overall!$K$5:$T$36,6)</f>
        <v>11111111011111111111111111111110</v>
      </c>
      <c r="G989" s="8">
        <v>14</v>
      </c>
      <c r="H989" s="3" t="str">
        <f>VLOOKUP($G989,Overall!$K$5:$T$36,2)</f>
        <v>Normal</v>
      </c>
      <c r="I989" s="3">
        <f ca="1">VLOOKUP($G989,Overall!$K$5:$T$36,10)</f>
        <v>0</v>
      </c>
      <c r="J989" s="62" t="str">
        <f>VLOOKUP($G989,Overall!$K$5:$T$36,6)</f>
        <v>10000000000000000000000000000000</v>
      </c>
      <c r="K989" s="8">
        <f t="shared" ca="1" si="135"/>
        <v>0</v>
      </c>
      <c r="L989" s="62">
        <f>VLOOKUP($B989,Overall!$B$5:$I$13,8)</f>
        <v>0</v>
      </c>
      <c r="M989" s="58"/>
      <c r="N989" s="3" t="str">
        <f t="shared" si="136"/>
        <v/>
      </c>
      <c r="O989" s="3" t="str">
        <f t="shared" si="137"/>
        <v/>
      </c>
      <c r="P989" s="3" t="str">
        <f t="shared" si="138"/>
        <v/>
      </c>
      <c r="Q989" s="3">
        <f t="shared" si="139"/>
        <v>0</v>
      </c>
      <c r="R989" s="3">
        <f t="shared" si="140"/>
        <v>0</v>
      </c>
      <c r="S989" s="3" t="e" cm="1">
        <f t="array" aca="1" ref="S989" ca="1">SUMPRODUCT(MID($P989,ROW(INDIRECT("1:23")),1)*2^(-ROW(INDIRECT("1:23"))))</f>
        <v>#VALUE!</v>
      </c>
      <c r="T989" s="3" t="e">
        <f t="shared" ca="1" si="141"/>
        <v>#VALUE!</v>
      </c>
      <c r="U989" s="3" t="e">
        <f t="shared" ca="1" si="142"/>
        <v>#VALUE!</v>
      </c>
      <c r="V989" s="73"/>
      <c r="W989" s="9" t="str">
        <f t="shared" si="143"/>
        <v>OK</v>
      </c>
    </row>
    <row r="990" spans="1:23" x14ac:dyDescent="0.3">
      <c r="A990" s="44">
        <v>987</v>
      </c>
      <c r="B990" s="14">
        <v>9</v>
      </c>
      <c r="C990" s="4">
        <v>31</v>
      </c>
      <c r="D990" s="3" t="str">
        <f>VLOOKUP($C990,Overall!$K$5:$T$36,2)</f>
        <v>Normal</v>
      </c>
      <c r="E990" s="3">
        <f ca="1">VLOOKUP($C990,Overall!$K$5:$T$36,10)</f>
        <v>-3.4028232635611926E+38</v>
      </c>
      <c r="F990" s="9" t="str">
        <f>VLOOKUP($C990,Overall!$K$5:$T$36,6)</f>
        <v>11111111011111111111111111111110</v>
      </c>
      <c r="G990" s="8">
        <v>15</v>
      </c>
      <c r="H990" s="3" t="str">
        <f>VLOOKUP($G990,Overall!$K$5:$T$36,2)</f>
        <v>Normal</v>
      </c>
      <c r="I990" s="3">
        <f ca="1">VLOOKUP($G990,Overall!$K$5:$T$36,10)</f>
        <v>1.1754943508222875E-38</v>
      </c>
      <c r="J990" s="62" t="str">
        <f>VLOOKUP($G990,Overall!$K$5:$T$36,6)</f>
        <v>00000000100000000000000000000000</v>
      </c>
      <c r="K990" s="8">
        <f t="shared" ca="1" si="135"/>
        <v>-3.9999995231628418</v>
      </c>
      <c r="L990" s="62">
        <f>VLOOKUP($B990,Overall!$B$5:$I$13,8)</f>
        <v>0</v>
      </c>
      <c r="M990" s="58"/>
      <c r="N990" s="3" t="str">
        <f t="shared" si="136"/>
        <v/>
      </c>
      <c r="O990" s="3" t="str">
        <f t="shared" si="137"/>
        <v/>
      </c>
      <c r="P990" s="3" t="str">
        <f t="shared" si="138"/>
        <v/>
      </c>
      <c r="Q990" s="3">
        <f t="shared" si="139"/>
        <v>0</v>
      </c>
      <c r="R990" s="3">
        <f t="shared" si="140"/>
        <v>0</v>
      </c>
      <c r="S990" s="3" t="e" cm="1">
        <f t="array" aca="1" ref="S990" ca="1">SUMPRODUCT(MID($P990,ROW(INDIRECT("1:23")),1)*2^(-ROW(INDIRECT("1:23"))))</f>
        <v>#VALUE!</v>
      </c>
      <c r="T990" s="3" t="e">
        <f t="shared" ca="1" si="141"/>
        <v>#VALUE!</v>
      </c>
      <c r="U990" s="3" t="e">
        <f t="shared" ca="1" si="142"/>
        <v>#VALUE!</v>
      </c>
      <c r="V990" s="73"/>
      <c r="W990" s="9" t="str">
        <f t="shared" si="143"/>
        <v>OK</v>
      </c>
    </row>
    <row r="991" spans="1:23" x14ac:dyDescent="0.3">
      <c r="A991" s="44">
        <v>988</v>
      </c>
      <c r="B991" s="14">
        <v>9</v>
      </c>
      <c r="C991" s="4">
        <v>31</v>
      </c>
      <c r="D991" s="3" t="str">
        <f>VLOOKUP($C991,Overall!$K$5:$T$36,2)</f>
        <v>Normal</v>
      </c>
      <c r="E991" s="3">
        <f ca="1">VLOOKUP($C991,Overall!$K$5:$T$36,10)</f>
        <v>-3.4028232635611926E+38</v>
      </c>
      <c r="F991" s="9" t="str">
        <f>VLOOKUP($C991,Overall!$K$5:$T$36,6)</f>
        <v>11111111011111111111111111111110</v>
      </c>
      <c r="G991" s="8">
        <v>16</v>
      </c>
      <c r="H991" s="3" t="str">
        <f>VLOOKUP($G991,Overall!$K$5:$T$36,2)</f>
        <v>Normal</v>
      </c>
      <c r="I991" s="3">
        <f ca="1">VLOOKUP($G991,Overall!$K$5:$T$36,10)</f>
        <v>1.1754944909521339E-38</v>
      </c>
      <c r="J991" s="62" t="str">
        <f>VLOOKUP($G991,Overall!$K$5:$T$36,6)</f>
        <v>00000000100000000000000000000001</v>
      </c>
      <c r="K991" s="8">
        <f t="shared" ca="1" si="135"/>
        <v>-3.9999999999999432</v>
      </c>
      <c r="L991" s="62">
        <f>VLOOKUP($B991,Overall!$B$5:$I$13,8)</f>
        <v>0</v>
      </c>
      <c r="M991" s="58"/>
      <c r="N991" s="3" t="str">
        <f t="shared" si="136"/>
        <v/>
      </c>
      <c r="O991" s="3" t="str">
        <f t="shared" si="137"/>
        <v/>
      </c>
      <c r="P991" s="3" t="str">
        <f t="shared" si="138"/>
        <v/>
      </c>
      <c r="Q991" s="3">
        <f t="shared" si="139"/>
        <v>0</v>
      </c>
      <c r="R991" s="3">
        <f t="shared" si="140"/>
        <v>0</v>
      </c>
      <c r="S991" s="3" t="e" cm="1">
        <f t="array" aca="1" ref="S991" ca="1">SUMPRODUCT(MID($P991,ROW(INDIRECT("1:23")),1)*2^(-ROW(INDIRECT("1:23"))))</f>
        <v>#VALUE!</v>
      </c>
      <c r="T991" s="3" t="e">
        <f t="shared" ca="1" si="141"/>
        <v>#VALUE!</v>
      </c>
      <c r="U991" s="3" t="e">
        <f t="shared" ca="1" si="142"/>
        <v>#VALUE!</v>
      </c>
      <c r="V991" s="73"/>
      <c r="W991" s="9" t="str">
        <f t="shared" si="143"/>
        <v>OK</v>
      </c>
    </row>
    <row r="992" spans="1:23" x14ac:dyDescent="0.3">
      <c r="A992" s="44">
        <v>989</v>
      </c>
      <c r="B992" s="14">
        <v>9</v>
      </c>
      <c r="C992" s="4">
        <v>31</v>
      </c>
      <c r="D992" s="3" t="str">
        <f>VLOOKUP($C992,Overall!$K$5:$T$36,2)</f>
        <v>Normal</v>
      </c>
      <c r="E992" s="3">
        <f ca="1">VLOOKUP($C992,Overall!$K$5:$T$36,10)</f>
        <v>-3.4028232635611926E+38</v>
      </c>
      <c r="F992" s="9" t="str">
        <f>VLOOKUP($C992,Overall!$K$5:$T$36,6)</f>
        <v>11111111011111111111111111111110</v>
      </c>
      <c r="G992" s="8">
        <v>17</v>
      </c>
      <c r="H992" s="3" t="str">
        <f>VLOOKUP($G992,Overall!$K$5:$T$36,2)</f>
        <v>Normal</v>
      </c>
      <c r="I992" s="3">
        <f ca="1">VLOOKUP($G992,Overall!$K$5:$T$36,10)</f>
        <v>0.5</v>
      </c>
      <c r="J992" s="62" t="str">
        <f>VLOOKUP($G992,Overall!$K$5:$T$36,6)</f>
        <v>00111111000000000000000000000000</v>
      </c>
      <c r="K992" s="8">
        <f t="shared" ca="1" si="135"/>
        <v>-1.7014116317805963E+38</v>
      </c>
      <c r="L992" s="62">
        <f>VLOOKUP($B992,Overall!$B$5:$I$13,8)</f>
        <v>0</v>
      </c>
      <c r="M992" s="58"/>
      <c r="N992" s="3" t="str">
        <f t="shared" si="136"/>
        <v/>
      </c>
      <c r="O992" s="3" t="str">
        <f t="shared" si="137"/>
        <v/>
      </c>
      <c r="P992" s="3" t="str">
        <f t="shared" si="138"/>
        <v/>
      </c>
      <c r="Q992" s="3">
        <f t="shared" si="139"/>
        <v>0</v>
      </c>
      <c r="R992" s="3">
        <f t="shared" si="140"/>
        <v>0</v>
      </c>
      <c r="S992" s="3" t="e" cm="1">
        <f t="array" aca="1" ref="S992" ca="1">SUMPRODUCT(MID($P992,ROW(INDIRECT("1:23")),1)*2^(-ROW(INDIRECT("1:23"))))</f>
        <v>#VALUE!</v>
      </c>
      <c r="T992" s="3" t="e">
        <f t="shared" ca="1" si="141"/>
        <v>#VALUE!</v>
      </c>
      <c r="U992" s="3" t="e">
        <f t="shared" ca="1" si="142"/>
        <v>#VALUE!</v>
      </c>
      <c r="V992" s="73"/>
      <c r="W992" s="9" t="str">
        <f t="shared" si="143"/>
        <v>OK</v>
      </c>
    </row>
    <row r="993" spans="1:23" x14ac:dyDescent="0.3">
      <c r="A993" s="44">
        <v>990</v>
      </c>
      <c r="B993" s="14">
        <v>9</v>
      </c>
      <c r="C993" s="4">
        <v>31</v>
      </c>
      <c r="D993" s="3" t="str">
        <f>VLOOKUP($C993,Overall!$K$5:$T$36,2)</f>
        <v>Normal</v>
      </c>
      <c r="E993" s="3">
        <f ca="1">VLOOKUP($C993,Overall!$K$5:$T$36,10)</f>
        <v>-3.4028232635611926E+38</v>
      </c>
      <c r="F993" s="9" t="str">
        <f>VLOOKUP($C993,Overall!$K$5:$T$36,6)</f>
        <v>11111111011111111111111111111110</v>
      </c>
      <c r="G993" s="8">
        <v>18</v>
      </c>
      <c r="H993" s="3" t="str">
        <f>VLOOKUP($G993,Overall!$K$5:$T$36,2)</f>
        <v>Normal</v>
      </c>
      <c r="I993" s="3">
        <f ca="1">VLOOKUP($G993,Overall!$K$5:$T$36,10)</f>
        <v>1</v>
      </c>
      <c r="J993" s="62" t="str">
        <f>VLOOKUP($G993,Overall!$K$5:$T$36,6)</f>
        <v>00111111100000000000000000000000</v>
      </c>
      <c r="K993" s="8">
        <f t="shared" ca="1" si="135"/>
        <v>-3.4028232635611926E+38</v>
      </c>
      <c r="L993" s="62">
        <f>VLOOKUP($B993,Overall!$B$5:$I$13,8)</f>
        <v>0</v>
      </c>
      <c r="M993" s="58"/>
      <c r="N993" s="3" t="str">
        <f t="shared" si="136"/>
        <v/>
      </c>
      <c r="O993" s="3" t="str">
        <f t="shared" si="137"/>
        <v/>
      </c>
      <c r="P993" s="3" t="str">
        <f t="shared" si="138"/>
        <v/>
      </c>
      <c r="Q993" s="3">
        <f t="shared" si="139"/>
        <v>0</v>
      </c>
      <c r="R993" s="3">
        <f t="shared" si="140"/>
        <v>0</v>
      </c>
      <c r="S993" s="3" t="e" cm="1">
        <f t="array" aca="1" ref="S993" ca="1">SUMPRODUCT(MID($P993,ROW(INDIRECT("1:23")),1)*2^(-ROW(INDIRECT("1:23"))))</f>
        <v>#VALUE!</v>
      </c>
      <c r="T993" s="3" t="e">
        <f t="shared" ca="1" si="141"/>
        <v>#VALUE!</v>
      </c>
      <c r="U993" s="3" t="e">
        <f t="shared" ca="1" si="142"/>
        <v>#VALUE!</v>
      </c>
      <c r="V993" s="73"/>
      <c r="W993" s="9" t="str">
        <f t="shared" si="143"/>
        <v>OK</v>
      </c>
    </row>
    <row r="994" spans="1:23" x14ac:dyDescent="0.3">
      <c r="A994" s="44">
        <v>991</v>
      </c>
      <c r="B994" s="14">
        <v>9</v>
      </c>
      <c r="C994" s="4">
        <v>31</v>
      </c>
      <c r="D994" s="3" t="str">
        <f>VLOOKUP($C994,Overall!$K$5:$T$36,2)</f>
        <v>Normal</v>
      </c>
      <c r="E994" s="3">
        <f ca="1">VLOOKUP($C994,Overall!$K$5:$T$36,10)</f>
        <v>-3.4028232635611926E+38</v>
      </c>
      <c r="F994" s="9" t="str">
        <f>VLOOKUP($C994,Overall!$K$5:$T$36,6)</f>
        <v>11111111011111111111111111111110</v>
      </c>
      <c r="G994" s="8">
        <v>19</v>
      </c>
      <c r="H994" s="3" t="str">
        <f>VLOOKUP($G994,Overall!$K$5:$T$36,2)</f>
        <v>Normal</v>
      </c>
      <c r="I994" s="3">
        <f ca="1">VLOOKUP($G994,Overall!$K$5:$T$36,10)</f>
        <v>1.5</v>
      </c>
      <c r="J994" s="62" t="str">
        <f>VLOOKUP($G994,Overall!$K$5:$T$36,6)</f>
        <v>00111111110000000000000000000000</v>
      </c>
      <c r="K994" s="8">
        <f t="shared" ca="1" si="135"/>
        <v>-5.1042348953417888E+38</v>
      </c>
      <c r="L994" s="62">
        <f>VLOOKUP($B994,Overall!$B$5:$I$13,8)</f>
        <v>0</v>
      </c>
      <c r="M994" s="58"/>
      <c r="N994" s="3" t="str">
        <f t="shared" si="136"/>
        <v/>
      </c>
      <c r="O994" s="3" t="str">
        <f t="shared" si="137"/>
        <v/>
      </c>
      <c r="P994" s="3" t="str">
        <f t="shared" si="138"/>
        <v/>
      </c>
      <c r="Q994" s="3">
        <f t="shared" si="139"/>
        <v>0</v>
      </c>
      <c r="R994" s="3">
        <f t="shared" si="140"/>
        <v>0</v>
      </c>
      <c r="S994" s="3" t="e" cm="1">
        <f t="array" aca="1" ref="S994" ca="1">SUMPRODUCT(MID($P994,ROW(INDIRECT("1:23")),1)*2^(-ROW(INDIRECT("1:23"))))</f>
        <v>#VALUE!</v>
      </c>
      <c r="T994" s="3" t="e">
        <f t="shared" ca="1" si="141"/>
        <v>#VALUE!</v>
      </c>
      <c r="U994" s="3" t="e">
        <f t="shared" ca="1" si="142"/>
        <v>#VALUE!</v>
      </c>
      <c r="V994" s="73"/>
      <c r="W994" s="9" t="str">
        <f t="shared" si="143"/>
        <v>OK</v>
      </c>
    </row>
    <row r="995" spans="1:23" x14ac:dyDescent="0.3">
      <c r="A995" s="44">
        <v>992</v>
      </c>
      <c r="B995" s="14">
        <v>9</v>
      </c>
      <c r="C995" s="4">
        <v>31</v>
      </c>
      <c r="D995" s="3" t="str">
        <f>VLOOKUP($C995,Overall!$K$5:$T$36,2)</f>
        <v>Normal</v>
      </c>
      <c r="E995" s="3">
        <f ca="1">VLOOKUP($C995,Overall!$K$5:$T$36,10)</f>
        <v>-3.4028232635611926E+38</v>
      </c>
      <c r="F995" s="9" t="str">
        <f>VLOOKUP($C995,Overall!$K$5:$T$36,6)</f>
        <v>11111111011111111111111111111110</v>
      </c>
      <c r="G995" s="8">
        <v>20</v>
      </c>
      <c r="H995" s="3" t="str">
        <f>VLOOKUP($G995,Overall!$K$5:$T$36,2)</f>
        <v>Normal</v>
      </c>
      <c r="I995" s="3">
        <f ca="1">VLOOKUP($G995,Overall!$K$5:$T$36,10)</f>
        <v>12345.6787109375</v>
      </c>
      <c r="J995" s="62" t="str">
        <f>VLOOKUP($G995,Overall!$K$5:$T$36,6)</f>
        <v>001000110010000001110011010110111</v>
      </c>
      <c r="K995" s="8">
        <f t="shared" ca="1" si="135"/>
        <v>-4.2010162722030281E+42</v>
      </c>
      <c r="L995" s="62">
        <f>VLOOKUP($B995,Overall!$B$5:$I$13,8)</f>
        <v>0</v>
      </c>
      <c r="M995" s="58"/>
      <c r="N995" s="3" t="str">
        <f t="shared" si="136"/>
        <v/>
      </c>
      <c r="O995" s="3" t="str">
        <f t="shared" si="137"/>
        <v/>
      </c>
      <c r="P995" s="3" t="str">
        <f t="shared" si="138"/>
        <v/>
      </c>
      <c r="Q995" s="3">
        <f t="shared" si="139"/>
        <v>0</v>
      </c>
      <c r="R995" s="3">
        <f t="shared" si="140"/>
        <v>0</v>
      </c>
      <c r="S995" s="3" t="e" cm="1">
        <f t="array" aca="1" ref="S995" ca="1">SUMPRODUCT(MID($P995,ROW(INDIRECT("1:23")),1)*2^(-ROW(INDIRECT("1:23"))))</f>
        <v>#VALUE!</v>
      </c>
      <c r="T995" s="3" t="e">
        <f t="shared" ca="1" si="141"/>
        <v>#VALUE!</v>
      </c>
      <c r="U995" s="3" t="e">
        <f t="shared" ca="1" si="142"/>
        <v>#VALUE!</v>
      </c>
      <c r="V995" s="73"/>
      <c r="W995" s="9" t="str">
        <f t="shared" si="143"/>
        <v>OK</v>
      </c>
    </row>
    <row r="996" spans="1:23" x14ac:dyDescent="0.3">
      <c r="A996" s="44">
        <v>993</v>
      </c>
      <c r="B996" s="14">
        <v>9</v>
      </c>
      <c r="C996" s="4">
        <v>31</v>
      </c>
      <c r="D996" s="3" t="str">
        <f>VLOOKUP($C996,Overall!$K$5:$T$36,2)</f>
        <v>Normal</v>
      </c>
      <c r="E996" s="3">
        <f ca="1">VLOOKUP($C996,Overall!$K$5:$T$36,10)</f>
        <v>-3.4028232635611926E+38</v>
      </c>
      <c r="F996" s="9" t="str">
        <f>VLOOKUP($C996,Overall!$K$5:$T$36,6)</f>
        <v>11111111011111111111111111111110</v>
      </c>
      <c r="G996" s="8">
        <v>21</v>
      </c>
      <c r="H996" s="3" t="str">
        <f>VLOOKUP($G996,Overall!$K$5:$T$36,2)</f>
        <v>Normal</v>
      </c>
      <c r="I996" s="3">
        <f ca="1">VLOOKUP($G996,Overall!$K$5:$T$36,10)</f>
        <v>2.345678924830959E+38</v>
      </c>
      <c r="J996" s="62" t="str">
        <f>VLOOKUP($G996,Overall!$K$5:$T$36,6)</f>
        <v>01111111001100000111100000100010</v>
      </c>
      <c r="K996" s="8">
        <f t="shared" ca="1" si="135"/>
        <v>-7.9819308142599931E+76</v>
      </c>
      <c r="L996" s="62">
        <f>VLOOKUP($B996,Overall!$B$5:$I$13,8)</f>
        <v>0</v>
      </c>
      <c r="M996" s="58"/>
      <c r="N996" s="3" t="str">
        <f t="shared" si="136"/>
        <v/>
      </c>
      <c r="O996" s="3" t="str">
        <f t="shared" si="137"/>
        <v/>
      </c>
      <c r="P996" s="3" t="str">
        <f t="shared" si="138"/>
        <v/>
      </c>
      <c r="Q996" s="3">
        <f t="shared" si="139"/>
        <v>0</v>
      </c>
      <c r="R996" s="3">
        <f t="shared" si="140"/>
        <v>0</v>
      </c>
      <c r="S996" s="3" t="e" cm="1">
        <f t="array" aca="1" ref="S996" ca="1">SUMPRODUCT(MID($P996,ROW(INDIRECT("1:23")),1)*2^(-ROW(INDIRECT("1:23"))))</f>
        <v>#VALUE!</v>
      </c>
      <c r="T996" s="3" t="e">
        <f t="shared" ca="1" si="141"/>
        <v>#VALUE!</v>
      </c>
      <c r="U996" s="3" t="e">
        <f t="shared" ca="1" si="142"/>
        <v>#VALUE!</v>
      </c>
      <c r="V996" s="73"/>
      <c r="W996" s="9" t="str">
        <f t="shared" si="143"/>
        <v>OK</v>
      </c>
    </row>
    <row r="997" spans="1:23" x14ac:dyDescent="0.3">
      <c r="A997" s="44">
        <v>994</v>
      </c>
      <c r="B997" s="14">
        <v>9</v>
      </c>
      <c r="C997" s="4">
        <v>31</v>
      </c>
      <c r="D997" s="3" t="str">
        <f>VLOOKUP($C997,Overall!$K$5:$T$36,2)</f>
        <v>Normal</v>
      </c>
      <c r="E997" s="3">
        <f ca="1">VLOOKUP($C997,Overall!$K$5:$T$36,10)</f>
        <v>-3.4028232635611926E+38</v>
      </c>
      <c r="F997" s="9" t="str">
        <f>VLOOKUP($C997,Overall!$K$5:$T$36,6)</f>
        <v>11111111011111111111111111111110</v>
      </c>
      <c r="G997" s="8">
        <v>22</v>
      </c>
      <c r="H997" s="3" t="str">
        <f>VLOOKUP($G997,Overall!$K$5:$T$36,2)</f>
        <v>Normal</v>
      </c>
      <c r="I997" s="3">
        <f ca="1">VLOOKUP($G997,Overall!$K$5:$T$36,10)</f>
        <v>3.4028232635611926E+38</v>
      </c>
      <c r="J997" s="62" t="str">
        <f>VLOOKUP($G997,Overall!$K$5:$T$36,6)</f>
        <v>01111111011111111111111111111110</v>
      </c>
      <c r="K997" s="8">
        <f t="shared" ca="1" si="135"/>
        <v>-1.1579206163033245E+77</v>
      </c>
      <c r="L997" s="62">
        <f>VLOOKUP($B997,Overall!$B$5:$I$13,8)</f>
        <v>0</v>
      </c>
      <c r="M997" s="58"/>
      <c r="N997" s="3" t="str">
        <f t="shared" si="136"/>
        <v/>
      </c>
      <c r="O997" s="3" t="str">
        <f t="shared" si="137"/>
        <v/>
      </c>
      <c r="P997" s="3" t="str">
        <f t="shared" si="138"/>
        <v/>
      </c>
      <c r="Q997" s="3">
        <f t="shared" si="139"/>
        <v>0</v>
      </c>
      <c r="R997" s="3">
        <f t="shared" si="140"/>
        <v>0</v>
      </c>
      <c r="S997" s="3" t="e" cm="1">
        <f t="array" aca="1" ref="S997" ca="1">SUMPRODUCT(MID($P997,ROW(INDIRECT("1:23")),1)*2^(-ROW(INDIRECT("1:23"))))</f>
        <v>#VALUE!</v>
      </c>
      <c r="T997" s="3" t="e">
        <f t="shared" ca="1" si="141"/>
        <v>#VALUE!</v>
      </c>
      <c r="U997" s="3" t="e">
        <f t="shared" ca="1" si="142"/>
        <v>#VALUE!</v>
      </c>
      <c r="V997" s="73"/>
      <c r="W997" s="9" t="str">
        <f t="shared" si="143"/>
        <v>OK</v>
      </c>
    </row>
    <row r="998" spans="1:23" x14ac:dyDescent="0.3">
      <c r="A998" s="44">
        <v>995</v>
      </c>
      <c r="B998" s="14">
        <v>9</v>
      </c>
      <c r="C998" s="4">
        <v>31</v>
      </c>
      <c r="D998" s="3" t="str">
        <f>VLOOKUP($C998,Overall!$K$5:$T$36,2)</f>
        <v>Normal</v>
      </c>
      <c r="E998" s="3">
        <f ca="1">VLOOKUP($C998,Overall!$K$5:$T$36,10)</f>
        <v>-3.4028232635611926E+38</v>
      </c>
      <c r="F998" s="9" t="str">
        <f>VLOOKUP($C998,Overall!$K$5:$T$36,6)</f>
        <v>11111111011111111111111111111110</v>
      </c>
      <c r="G998" s="8">
        <v>23</v>
      </c>
      <c r="H998" s="3" t="str">
        <f>VLOOKUP($G998,Overall!$K$5:$T$36,2)</f>
        <v>Normal</v>
      </c>
      <c r="I998" s="3">
        <f ca="1">VLOOKUP($G998,Overall!$K$5:$T$36,10)</f>
        <v>3.4028234663852886E+38</v>
      </c>
      <c r="J998" s="62" t="str">
        <f>VLOOKUP($G998,Overall!$K$5:$T$36,6)</f>
        <v>01111111011111111111111111111111</v>
      </c>
      <c r="K998" s="8">
        <f t="shared" ca="1" si="135"/>
        <v>-1.1579206853207798E+77</v>
      </c>
      <c r="L998" s="62">
        <f>VLOOKUP($B998,Overall!$B$5:$I$13,8)</f>
        <v>0</v>
      </c>
      <c r="M998" s="58"/>
      <c r="N998" s="3" t="str">
        <f t="shared" si="136"/>
        <v/>
      </c>
      <c r="O998" s="3" t="str">
        <f t="shared" si="137"/>
        <v/>
      </c>
      <c r="P998" s="3" t="str">
        <f t="shared" si="138"/>
        <v/>
      </c>
      <c r="Q998" s="3">
        <f t="shared" si="139"/>
        <v>0</v>
      </c>
      <c r="R998" s="3">
        <f t="shared" si="140"/>
        <v>0</v>
      </c>
      <c r="S998" s="3" t="e" cm="1">
        <f t="array" aca="1" ref="S998" ca="1">SUMPRODUCT(MID($P998,ROW(INDIRECT("1:23")),1)*2^(-ROW(INDIRECT("1:23"))))</f>
        <v>#VALUE!</v>
      </c>
      <c r="T998" s="3" t="e">
        <f t="shared" ca="1" si="141"/>
        <v>#VALUE!</v>
      </c>
      <c r="U998" s="3" t="e">
        <f t="shared" ca="1" si="142"/>
        <v>#VALUE!</v>
      </c>
      <c r="V998" s="73"/>
      <c r="W998" s="9" t="str">
        <f t="shared" si="143"/>
        <v>OK</v>
      </c>
    </row>
    <row r="999" spans="1:23" x14ac:dyDescent="0.3">
      <c r="A999" s="44">
        <v>996</v>
      </c>
      <c r="B999" s="14">
        <v>9</v>
      </c>
      <c r="C999" s="4">
        <v>31</v>
      </c>
      <c r="D999" s="3" t="str">
        <f>VLOOKUP($C999,Overall!$K$5:$T$36,2)</f>
        <v>Normal</v>
      </c>
      <c r="E999" s="3">
        <f ca="1">VLOOKUP($C999,Overall!$K$5:$T$36,10)</f>
        <v>-3.4028232635611926E+38</v>
      </c>
      <c r="F999" s="9" t="str">
        <f>VLOOKUP($C999,Overall!$K$5:$T$36,6)</f>
        <v>11111111011111111111111111111110</v>
      </c>
      <c r="G999" s="8">
        <v>24</v>
      </c>
      <c r="H999" s="3" t="str">
        <f>VLOOKUP($G999,Overall!$K$5:$T$36,2)</f>
        <v>Normal</v>
      </c>
      <c r="I999" s="3">
        <f ca="1">VLOOKUP($G999,Overall!$K$5:$T$36,10)</f>
        <v>-1.1754943508222875E-38</v>
      </c>
      <c r="J999" s="62" t="str">
        <f>VLOOKUP($G999,Overall!$K$5:$T$36,6)</f>
        <v>10000000100000000000000000000000</v>
      </c>
      <c r="K999" s="8">
        <f t="shared" ca="1" si="135"/>
        <v>3.9999995231628418</v>
      </c>
      <c r="L999" s="62">
        <f>VLOOKUP($B999,Overall!$B$5:$I$13,8)</f>
        <v>0</v>
      </c>
      <c r="M999" s="58"/>
      <c r="N999" s="3" t="str">
        <f t="shared" si="136"/>
        <v/>
      </c>
      <c r="O999" s="3" t="str">
        <f t="shared" si="137"/>
        <v/>
      </c>
      <c r="P999" s="3" t="str">
        <f t="shared" si="138"/>
        <v/>
      </c>
      <c r="Q999" s="3">
        <f t="shared" si="139"/>
        <v>0</v>
      </c>
      <c r="R999" s="3">
        <f t="shared" si="140"/>
        <v>0</v>
      </c>
      <c r="S999" s="3" t="e" cm="1">
        <f t="array" aca="1" ref="S999" ca="1">SUMPRODUCT(MID($P999,ROW(INDIRECT("1:23")),1)*2^(-ROW(INDIRECT("1:23"))))</f>
        <v>#VALUE!</v>
      </c>
      <c r="T999" s="3" t="e">
        <f t="shared" ca="1" si="141"/>
        <v>#VALUE!</v>
      </c>
      <c r="U999" s="3" t="e">
        <f t="shared" ca="1" si="142"/>
        <v>#VALUE!</v>
      </c>
      <c r="V999" s="73"/>
      <c r="W999" s="9" t="str">
        <f t="shared" si="143"/>
        <v>OK</v>
      </c>
    </row>
    <row r="1000" spans="1:23" x14ac:dyDescent="0.3">
      <c r="A1000" s="44">
        <v>997</v>
      </c>
      <c r="B1000" s="14">
        <v>9</v>
      </c>
      <c r="C1000" s="4">
        <v>31</v>
      </c>
      <c r="D1000" s="3" t="str">
        <f>VLOOKUP($C1000,Overall!$K$5:$T$36,2)</f>
        <v>Normal</v>
      </c>
      <c r="E1000" s="3">
        <f ca="1">VLOOKUP($C1000,Overall!$K$5:$T$36,10)</f>
        <v>-3.4028232635611926E+38</v>
      </c>
      <c r="F1000" s="9" t="str">
        <f>VLOOKUP($C1000,Overall!$K$5:$T$36,6)</f>
        <v>11111111011111111111111111111110</v>
      </c>
      <c r="G1000" s="8">
        <v>25</v>
      </c>
      <c r="H1000" s="3" t="str">
        <f>VLOOKUP($G1000,Overall!$K$5:$T$36,2)</f>
        <v>Normal</v>
      </c>
      <c r="I1000" s="3">
        <f ca="1">VLOOKUP($G1000,Overall!$K$5:$T$36,10)</f>
        <v>-1.1754944909521339E-38</v>
      </c>
      <c r="J1000" s="62" t="str">
        <f>VLOOKUP($G1000,Overall!$K$5:$T$36,6)</f>
        <v>10000000100000000000000000000001</v>
      </c>
      <c r="K1000" s="8">
        <f t="shared" ca="1" si="135"/>
        <v>3.9999999999999432</v>
      </c>
      <c r="L1000" s="62">
        <f>VLOOKUP($B1000,Overall!$B$5:$I$13,8)</f>
        <v>0</v>
      </c>
      <c r="M1000" s="58"/>
      <c r="N1000" s="3" t="str">
        <f t="shared" si="136"/>
        <v/>
      </c>
      <c r="O1000" s="3" t="str">
        <f t="shared" si="137"/>
        <v/>
      </c>
      <c r="P1000" s="3" t="str">
        <f t="shared" si="138"/>
        <v/>
      </c>
      <c r="Q1000" s="3">
        <f t="shared" si="139"/>
        <v>0</v>
      </c>
      <c r="R1000" s="3">
        <f t="shared" si="140"/>
        <v>0</v>
      </c>
      <c r="S1000" s="3" t="e" cm="1">
        <f t="array" aca="1" ref="S1000" ca="1">SUMPRODUCT(MID($P1000,ROW(INDIRECT("1:23")),1)*2^(-ROW(INDIRECT("1:23"))))</f>
        <v>#VALUE!</v>
      </c>
      <c r="T1000" s="3" t="e">
        <f t="shared" ca="1" si="141"/>
        <v>#VALUE!</v>
      </c>
      <c r="U1000" s="3" t="e">
        <f t="shared" ca="1" si="142"/>
        <v>#VALUE!</v>
      </c>
      <c r="V1000" s="73"/>
      <c r="W1000" s="9" t="str">
        <f t="shared" si="143"/>
        <v>OK</v>
      </c>
    </row>
    <row r="1001" spans="1:23" x14ac:dyDescent="0.3">
      <c r="A1001" s="44">
        <v>998</v>
      </c>
      <c r="B1001" s="14">
        <v>9</v>
      </c>
      <c r="C1001" s="4">
        <v>31</v>
      </c>
      <c r="D1001" s="3" t="str">
        <f>VLOOKUP($C1001,Overall!$K$5:$T$36,2)</f>
        <v>Normal</v>
      </c>
      <c r="E1001" s="3">
        <f ca="1">VLOOKUP($C1001,Overall!$K$5:$T$36,10)</f>
        <v>-3.4028232635611926E+38</v>
      </c>
      <c r="F1001" s="9" t="str">
        <f>VLOOKUP($C1001,Overall!$K$5:$T$36,6)</f>
        <v>11111111011111111111111111111110</v>
      </c>
      <c r="G1001" s="8">
        <v>26</v>
      </c>
      <c r="H1001" s="3" t="str">
        <f>VLOOKUP($G1001,Overall!$K$5:$T$36,2)</f>
        <v>Normal</v>
      </c>
      <c r="I1001" s="3">
        <f ca="1">VLOOKUP($G1001,Overall!$K$5:$T$36,10)</f>
        <v>-0.5</v>
      </c>
      <c r="J1001" s="62" t="str">
        <f>VLOOKUP($G1001,Overall!$K$5:$T$36,6)</f>
        <v>10111111000000000000000000000000</v>
      </c>
      <c r="K1001" s="8">
        <f t="shared" ca="1" si="135"/>
        <v>1.7014116317805963E+38</v>
      </c>
      <c r="L1001" s="62">
        <f>VLOOKUP($B1001,Overall!$B$5:$I$13,8)</f>
        <v>0</v>
      </c>
      <c r="M1001" s="58"/>
      <c r="N1001" s="3" t="str">
        <f t="shared" si="136"/>
        <v/>
      </c>
      <c r="O1001" s="3" t="str">
        <f t="shared" si="137"/>
        <v/>
      </c>
      <c r="P1001" s="3" t="str">
        <f t="shared" si="138"/>
        <v/>
      </c>
      <c r="Q1001" s="3">
        <f t="shared" si="139"/>
        <v>0</v>
      </c>
      <c r="R1001" s="3">
        <f t="shared" si="140"/>
        <v>0</v>
      </c>
      <c r="S1001" s="3" t="e" cm="1">
        <f t="array" aca="1" ref="S1001" ca="1">SUMPRODUCT(MID($P1001,ROW(INDIRECT("1:23")),1)*2^(-ROW(INDIRECT("1:23"))))</f>
        <v>#VALUE!</v>
      </c>
      <c r="T1001" s="3" t="e">
        <f t="shared" ca="1" si="141"/>
        <v>#VALUE!</v>
      </c>
      <c r="U1001" s="3" t="e">
        <f t="shared" ca="1" si="142"/>
        <v>#VALUE!</v>
      </c>
      <c r="V1001" s="73"/>
      <c r="W1001" s="9" t="str">
        <f t="shared" si="143"/>
        <v>OK</v>
      </c>
    </row>
    <row r="1002" spans="1:23" x14ac:dyDescent="0.3">
      <c r="A1002" s="44">
        <v>999</v>
      </c>
      <c r="B1002" s="14">
        <v>9</v>
      </c>
      <c r="C1002" s="4">
        <v>31</v>
      </c>
      <c r="D1002" s="3" t="str">
        <f>VLOOKUP($C1002,Overall!$K$5:$T$36,2)</f>
        <v>Normal</v>
      </c>
      <c r="E1002" s="3">
        <f ca="1">VLOOKUP($C1002,Overall!$K$5:$T$36,10)</f>
        <v>-3.4028232635611926E+38</v>
      </c>
      <c r="F1002" s="9" t="str">
        <f>VLOOKUP($C1002,Overall!$K$5:$T$36,6)</f>
        <v>11111111011111111111111111111110</v>
      </c>
      <c r="G1002" s="8">
        <v>27</v>
      </c>
      <c r="H1002" s="3" t="str">
        <f>VLOOKUP($G1002,Overall!$K$5:$T$36,2)</f>
        <v>Normal</v>
      </c>
      <c r="I1002" s="3">
        <f ca="1">VLOOKUP($G1002,Overall!$K$5:$T$36,10)</f>
        <v>-1</v>
      </c>
      <c r="J1002" s="62" t="str">
        <f>VLOOKUP($G1002,Overall!$K$5:$T$36,6)</f>
        <v>10111111100000000000000000000000</v>
      </c>
      <c r="K1002" s="8">
        <f t="shared" ca="1" si="135"/>
        <v>3.4028232635611926E+38</v>
      </c>
      <c r="L1002" s="62">
        <f>VLOOKUP($B1002,Overall!$B$5:$I$13,8)</f>
        <v>0</v>
      </c>
      <c r="M1002" s="58"/>
      <c r="N1002" s="3" t="str">
        <f t="shared" si="136"/>
        <v/>
      </c>
      <c r="O1002" s="3" t="str">
        <f t="shared" si="137"/>
        <v/>
      </c>
      <c r="P1002" s="3" t="str">
        <f t="shared" si="138"/>
        <v/>
      </c>
      <c r="Q1002" s="3">
        <f t="shared" si="139"/>
        <v>0</v>
      </c>
      <c r="R1002" s="3">
        <f t="shared" si="140"/>
        <v>0</v>
      </c>
      <c r="S1002" s="3" t="e" cm="1">
        <f t="array" aca="1" ref="S1002" ca="1">SUMPRODUCT(MID($P1002,ROW(INDIRECT("1:23")),1)*2^(-ROW(INDIRECT("1:23"))))</f>
        <v>#VALUE!</v>
      </c>
      <c r="T1002" s="3" t="e">
        <f t="shared" ca="1" si="141"/>
        <v>#VALUE!</v>
      </c>
      <c r="U1002" s="3" t="e">
        <f t="shared" ca="1" si="142"/>
        <v>#VALUE!</v>
      </c>
      <c r="V1002" s="73"/>
      <c r="W1002" s="9" t="str">
        <f t="shared" si="143"/>
        <v>OK</v>
      </c>
    </row>
    <row r="1003" spans="1:23" x14ac:dyDescent="0.3">
      <c r="A1003" s="44">
        <v>1000</v>
      </c>
      <c r="B1003" s="14">
        <v>9</v>
      </c>
      <c r="C1003" s="4">
        <v>31</v>
      </c>
      <c r="D1003" s="3" t="str">
        <f>VLOOKUP($C1003,Overall!$K$5:$T$36,2)</f>
        <v>Normal</v>
      </c>
      <c r="E1003" s="3">
        <f ca="1">VLOOKUP($C1003,Overall!$K$5:$T$36,10)</f>
        <v>-3.4028232635611926E+38</v>
      </c>
      <c r="F1003" s="9" t="str">
        <f>VLOOKUP($C1003,Overall!$K$5:$T$36,6)</f>
        <v>11111111011111111111111111111110</v>
      </c>
      <c r="G1003" s="8">
        <v>28</v>
      </c>
      <c r="H1003" s="3" t="str">
        <f>VLOOKUP($G1003,Overall!$K$5:$T$36,2)</f>
        <v>Normal</v>
      </c>
      <c r="I1003" s="3">
        <f ca="1">VLOOKUP($G1003,Overall!$K$5:$T$36,10)</f>
        <v>-1.5</v>
      </c>
      <c r="J1003" s="62" t="str">
        <f>VLOOKUP($G1003,Overall!$K$5:$T$36,6)</f>
        <v>10111111110000000000000000000000</v>
      </c>
      <c r="K1003" s="8">
        <f t="shared" ca="1" si="135"/>
        <v>5.1042348953417888E+38</v>
      </c>
      <c r="L1003" s="62">
        <f>VLOOKUP($B1003,Overall!$B$5:$I$13,8)</f>
        <v>0</v>
      </c>
      <c r="M1003" s="58"/>
      <c r="N1003" s="3" t="str">
        <f t="shared" si="136"/>
        <v/>
      </c>
      <c r="O1003" s="3" t="str">
        <f t="shared" si="137"/>
        <v/>
      </c>
      <c r="P1003" s="3" t="str">
        <f t="shared" si="138"/>
        <v/>
      </c>
      <c r="Q1003" s="3">
        <f t="shared" si="139"/>
        <v>0</v>
      </c>
      <c r="R1003" s="3">
        <f t="shared" si="140"/>
        <v>0</v>
      </c>
      <c r="S1003" s="3" t="e" cm="1">
        <f t="array" aca="1" ref="S1003" ca="1">SUMPRODUCT(MID($P1003,ROW(INDIRECT("1:23")),1)*2^(-ROW(INDIRECT("1:23"))))</f>
        <v>#VALUE!</v>
      </c>
      <c r="T1003" s="3" t="e">
        <f t="shared" ca="1" si="141"/>
        <v>#VALUE!</v>
      </c>
      <c r="U1003" s="3" t="e">
        <f t="shared" ca="1" si="142"/>
        <v>#VALUE!</v>
      </c>
      <c r="V1003" s="73"/>
      <c r="W1003" s="9" t="str">
        <f t="shared" si="143"/>
        <v>OK</v>
      </c>
    </row>
    <row r="1004" spans="1:23" x14ac:dyDescent="0.3">
      <c r="A1004" s="44">
        <v>1001</v>
      </c>
      <c r="B1004" s="14">
        <v>9</v>
      </c>
      <c r="C1004" s="4">
        <v>31</v>
      </c>
      <c r="D1004" s="3" t="str">
        <f>VLOOKUP($C1004,Overall!$K$5:$T$36,2)</f>
        <v>Normal</v>
      </c>
      <c r="E1004" s="3">
        <f ca="1">VLOOKUP($C1004,Overall!$K$5:$T$36,10)</f>
        <v>-3.4028232635611926E+38</v>
      </c>
      <c r="F1004" s="9" t="str">
        <f>VLOOKUP($C1004,Overall!$K$5:$T$36,6)</f>
        <v>11111111011111111111111111111110</v>
      </c>
      <c r="G1004" s="8">
        <v>29</v>
      </c>
      <c r="H1004" s="3" t="str">
        <f>VLOOKUP($G1004,Overall!$K$5:$T$36,2)</f>
        <v>Normal</v>
      </c>
      <c r="I1004" s="3">
        <f ca="1">VLOOKUP($G1004,Overall!$K$5:$T$36,10)</f>
        <v>-12345.6787109375</v>
      </c>
      <c r="J1004" s="62" t="str">
        <f>VLOOKUP($G1004,Overall!$K$5:$T$36,6)</f>
        <v>101000110010000001110011010110111</v>
      </c>
      <c r="K1004" s="8">
        <f t="shared" ca="1" si="135"/>
        <v>4.2010162722030281E+42</v>
      </c>
      <c r="L1004" s="62">
        <f>VLOOKUP($B1004,Overall!$B$5:$I$13,8)</f>
        <v>0</v>
      </c>
      <c r="M1004" s="58"/>
      <c r="N1004" s="3" t="str">
        <f t="shared" si="136"/>
        <v/>
      </c>
      <c r="O1004" s="3" t="str">
        <f t="shared" si="137"/>
        <v/>
      </c>
      <c r="P1004" s="3" t="str">
        <f t="shared" si="138"/>
        <v/>
      </c>
      <c r="Q1004" s="3">
        <f t="shared" si="139"/>
        <v>0</v>
      </c>
      <c r="R1004" s="3">
        <f t="shared" si="140"/>
        <v>0</v>
      </c>
      <c r="S1004" s="3" t="e" cm="1">
        <f t="array" aca="1" ref="S1004" ca="1">SUMPRODUCT(MID($P1004,ROW(INDIRECT("1:23")),1)*2^(-ROW(INDIRECT("1:23"))))</f>
        <v>#VALUE!</v>
      </c>
      <c r="T1004" s="3" t="e">
        <f t="shared" ca="1" si="141"/>
        <v>#VALUE!</v>
      </c>
      <c r="U1004" s="3" t="e">
        <f t="shared" ca="1" si="142"/>
        <v>#VALUE!</v>
      </c>
      <c r="V1004" s="73"/>
      <c r="W1004" s="9" t="str">
        <f t="shared" si="143"/>
        <v>OK</v>
      </c>
    </row>
    <row r="1005" spans="1:23" x14ac:dyDescent="0.3">
      <c r="A1005" s="44">
        <v>1002</v>
      </c>
      <c r="B1005" s="14">
        <v>9</v>
      </c>
      <c r="C1005" s="4">
        <v>31</v>
      </c>
      <c r="D1005" s="3" t="str">
        <f>VLOOKUP($C1005,Overall!$K$5:$T$36,2)</f>
        <v>Normal</v>
      </c>
      <c r="E1005" s="3">
        <f ca="1">VLOOKUP($C1005,Overall!$K$5:$T$36,10)</f>
        <v>-3.4028232635611926E+38</v>
      </c>
      <c r="F1005" s="9" t="str">
        <f>VLOOKUP($C1005,Overall!$K$5:$T$36,6)</f>
        <v>11111111011111111111111111111110</v>
      </c>
      <c r="G1005" s="8">
        <v>30</v>
      </c>
      <c r="H1005" s="3" t="str">
        <f>VLOOKUP($G1005,Overall!$K$5:$T$36,2)</f>
        <v>Normal</v>
      </c>
      <c r="I1005" s="3">
        <f ca="1">VLOOKUP($G1005,Overall!$K$5:$T$36,10)</f>
        <v>-2.345678924830959E+38</v>
      </c>
      <c r="J1005" s="62" t="str">
        <f>VLOOKUP($G1005,Overall!$K$5:$T$36,6)</f>
        <v>11111111001100000111100000100010</v>
      </c>
      <c r="K1005" s="8">
        <f t="shared" ca="1" si="135"/>
        <v>7.9819308142599931E+76</v>
      </c>
      <c r="L1005" s="62">
        <f>VLOOKUP($B1005,Overall!$B$5:$I$13,8)</f>
        <v>0</v>
      </c>
      <c r="M1005" s="58"/>
      <c r="N1005" s="3" t="str">
        <f t="shared" si="136"/>
        <v/>
      </c>
      <c r="O1005" s="3" t="str">
        <f t="shared" si="137"/>
        <v/>
      </c>
      <c r="P1005" s="3" t="str">
        <f t="shared" si="138"/>
        <v/>
      </c>
      <c r="Q1005" s="3">
        <f t="shared" si="139"/>
        <v>0</v>
      </c>
      <c r="R1005" s="3">
        <f t="shared" si="140"/>
        <v>0</v>
      </c>
      <c r="S1005" s="3" t="e" cm="1">
        <f t="array" aca="1" ref="S1005" ca="1">SUMPRODUCT(MID($P1005,ROW(INDIRECT("1:23")),1)*2^(-ROW(INDIRECT("1:23"))))</f>
        <v>#VALUE!</v>
      </c>
      <c r="T1005" s="3" t="e">
        <f t="shared" ca="1" si="141"/>
        <v>#VALUE!</v>
      </c>
      <c r="U1005" s="3" t="e">
        <f t="shared" ca="1" si="142"/>
        <v>#VALUE!</v>
      </c>
      <c r="V1005" s="73"/>
      <c r="W1005" s="9" t="str">
        <f t="shared" si="143"/>
        <v>OK</v>
      </c>
    </row>
    <row r="1006" spans="1:23" x14ac:dyDescent="0.3">
      <c r="A1006" s="44">
        <v>1003</v>
      </c>
      <c r="B1006" s="14">
        <v>9</v>
      </c>
      <c r="C1006" s="4">
        <v>31</v>
      </c>
      <c r="D1006" s="3" t="str">
        <f>VLOOKUP($C1006,Overall!$K$5:$T$36,2)</f>
        <v>Normal</v>
      </c>
      <c r="E1006" s="3">
        <f ca="1">VLOOKUP($C1006,Overall!$K$5:$T$36,10)</f>
        <v>-3.4028232635611926E+38</v>
      </c>
      <c r="F1006" s="9" t="str">
        <f>VLOOKUP($C1006,Overall!$K$5:$T$36,6)</f>
        <v>11111111011111111111111111111110</v>
      </c>
      <c r="G1006" s="8">
        <v>31</v>
      </c>
      <c r="H1006" s="3" t="str">
        <f>VLOOKUP($G1006,Overall!$K$5:$T$36,2)</f>
        <v>Normal</v>
      </c>
      <c r="I1006" s="3">
        <f ca="1">VLOOKUP($G1006,Overall!$K$5:$T$36,10)</f>
        <v>-3.4028232635611926E+38</v>
      </c>
      <c r="J1006" s="62" t="str">
        <f>VLOOKUP($G1006,Overall!$K$5:$T$36,6)</f>
        <v>11111111011111111111111111111110</v>
      </c>
      <c r="K1006" s="8">
        <f t="shared" ca="1" si="135"/>
        <v>1.1579206163033245E+77</v>
      </c>
      <c r="L1006" s="62">
        <f>VLOOKUP($B1006,Overall!$B$5:$I$13,8)</f>
        <v>0</v>
      </c>
      <c r="M1006" s="58"/>
      <c r="N1006" s="3" t="str">
        <f t="shared" si="136"/>
        <v/>
      </c>
      <c r="O1006" s="3" t="str">
        <f t="shared" si="137"/>
        <v/>
      </c>
      <c r="P1006" s="3" t="str">
        <f t="shared" si="138"/>
        <v/>
      </c>
      <c r="Q1006" s="3">
        <f t="shared" si="139"/>
        <v>0</v>
      </c>
      <c r="R1006" s="3">
        <f t="shared" si="140"/>
        <v>0</v>
      </c>
      <c r="S1006" s="3" t="e" cm="1">
        <f t="array" aca="1" ref="S1006" ca="1">SUMPRODUCT(MID($P1006,ROW(INDIRECT("1:23")),1)*2^(-ROW(INDIRECT("1:23"))))</f>
        <v>#VALUE!</v>
      </c>
      <c r="T1006" s="3" t="e">
        <f t="shared" ca="1" si="141"/>
        <v>#VALUE!</v>
      </c>
      <c r="U1006" s="3" t="e">
        <f t="shared" ca="1" si="142"/>
        <v>#VALUE!</v>
      </c>
      <c r="V1006" s="73"/>
      <c r="W1006" s="9" t="str">
        <f t="shared" si="143"/>
        <v>OK</v>
      </c>
    </row>
    <row r="1007" spans="1:23" x14ac:dyDescent="0.3">
      <c r="A1007" s="44">
        <v>1004</v>
      </c>
      <c r="B1007" s="14">
        <v>9</v>
      </c>
      <c r="C1007" s="4">
        <v>31</v>
      </c>
      <c r="D1007" s="3" t="str">
        <f>VLOOKUP($C1007,Overall!$K$5:$T$36,2)</f>
        <v>Normal</v>
      </c>
      <c r="E1007" s="3">
        <f ca="1">VLOOKUP($C1007,Overall!$K$5:$T$36,10)</f>
        <v>-3.4028232635611926E+38</v>
      </c>
      <c r="F1007" s="9" t="str">
        <f>VLOOKUP($C1007,Overall!$K$5:$T$36,6)</f>
        <v>11111111011111111111111111111110</v>
      </c>
      <c r="G1007" s="8">
        <v>32</v>
      </c>
      <c r="H1007" s="3" t="str">
        <f>VLOOKUP($G1007,Overall!$K$5:$T$36,2)</f>
        <v>Normal</v>
      </c>
      <c r="I1007" s="3">
        <f ca="1">VLOOKUP($G1007,Overall!$K$5:$T$36,10)</f>
        <v>-3.4028234663852886E+38</v>
      </c>
      <c r="J1007" s="62" t="str">
        <f>VLOOKUP($G1007,Overall!$K$5:$T$36,6)</f>
        <v>11111111011111111111111111111111</v>
      </c>
      <c r="K1007" s="8">
        <f t="shared" ca="1" si="135"/>
        <v>1.1579206853207798E+77</v>
      </c>
      <c r="L1007" s="62">
        <f>VLOOKUP($B1007,Overall!$B$5:$I$13,8)</f>
        <v>0</v>
      </c>
      <c r="M1007" s="58"/>
      <c r="N1007" s="3" t="str">
        <f t="shared" si="136"/>
        <v/>
      </c>
      <c r="O1007" s="3" t="str">
        <f t="shared" si="137"/>
        <v/>
      </c>
      <c r="P1007" s="3" t="str">
        <f t="shared" si="138"/>
        <v/>
      </c>
      <c r="Q1007" s="3">
        <f t="shared" si="139"/>
        <v>0</v>
      </c>
      <c r="R1007" s="3">
        <f t="shared" si="140"/>
        <v>0</v>
      </c>
      <c r="S1007" s="3" t="e" cm="1">
        <f t="array" aca="1" ref="S1007" ca="1">SUMPRODUCT(MID($P1007,ROW(INDIRECT("1:23")),1)*2^(-ROW(INDIRECT("1:23"))))</f>
        <v>#VALUE!</v>
      </c>
      <c r="T1007" s="3" t="e">
        <f t="shared" ca="1" si="141"/>
        <v>#VALUE!</v>
      </c>
      <c r="U1007" s="3" t="e">
        <f t="shared" ca="1" si="142"/>
        <v>#VALUE!</v>
      </c>
      <c r="V1007" s="73"/>
      <c r="W1007" s="9" t="str">
        <f t="shared" si="143"/>
        <v>OK</v>
      </c>
    </row>
    <row r="1008" spans="1:23" x14ac:dyDescent="0.3">
      <c r="A1008" s="44">
        <v>1005</v>
      </c>
      <c r="B1008" s="14">
        <v>9</v>
      </c>
      <c r="C1008" s="4">
        <v>32</v>
      </c>
      <c r="D1008" s="3" t="str">
        <f>VLOOKUP($C1008,Overall!$K$5:$T$36,2)</f>
        <v>Normal</v>
      </c>
      <c r="E1008" s="3">
        <f ca="1">VLOOKUP($C1008,Overall!$K$5:$T$36,10)</f>
        <v>-3.4028234663852886E+38</v>
      </c>
      <c r="F1008" s="9" t="str">
        <f>VLOOKUP($C1008,Overall!$K$5:$T$36,6)</f>
        <v>11111111011111111111111111111111</v>
      </c>
      <c r="G1008" s="8">
        <v>13</v>
      </c>
      <c r="H1008" s="3" t="str">
        <f>VLOOKUP($G1008,Overall!$K$5:$T$36,2)</f>
        <v>Normal</v>
      </c>
      <c r="I1008" s="3">
        <f ca="1">VLOOKUP($G1008,Overall!$K$5:$T$36,10)</f>
        <v>0</v>
      </c>
      <c r="J1008" s="62" t="str">
        <f>VLOOKUP($G1008,Overall!$K$5:$T$36,6)</f>
        <v>00000000000000000000000000000000</v>
      </c>
      <c r="K1008" s="8">
        <f t="shared" ca="1" si="135"/>
        <v>0</v>
      </c>
      <c r="L1008" s="62">
        <f>VLOOKUP($B1008,Overall!$B$5:$I$13,8)</f>
        <v>0</v>
      </c>
      <c r="M1008" s="58"/>
      <c r="N1008" s="3" t="str">
        <f t="shared" si="136"/>
        <v/>
      </c>
      <c r="O1008" s="3" t="str">
        <f t="shared" si="137"/>
        <v/>
      </c>
      <c r="P1008" s="3" t="str">
        <f t="shared" si="138"/>
        <v/>
      </c>
      <c r="Q1008" s="3">
        <f t="shared" si="139"/>
        <v>0</v>
      </c>
      <c r="R1008" s="3">
        <f t="shared" si="140"/>
        <v>0</v>
      </c>
      <c r="S1008" s="3" t="e" cm="1">
        <f t="array" aca="1" ref="S1008" ca="1">SUMPRODUCT(MID($P1008,ROW(INDIRECT("1:23")),1)*2^(-ROW(INDIRECT("1:23"))))</f>
        <v>#VALUE!</v>
      </c>
      <c r="T1008" s="3" t="e">
        <f t="shared" ca="1" si="141"/>
        <v>#VALUE!</v>
      </c>
      <c r="U1008" s="3" t="e">
        <f t="shared" ca="1" si="142"/>
        <v>#VALUE!</v>
      </c>
      <c r="V1008" s="73"/>
      <c r="W1008" s="9" t="str">
        <f t="shared" si="143"/>
        <v>OK</v>
      </c>
    </row>
    <row r="1009" spans="1:23" x14ac:dyDescent="0.3">
      <c r="A1009" s="44">
        <v>1006</v>
      </c>
      <c r="B1009" s="14">
        <v>9</v>
      </c>
      <c r="C1009" s="4">
        <v>32</v>
      </c>
      <c r="D1009" s="3" t="str">
        <f>VLOOKUP($C1009,Overall!$K$5:$T$36,2)</f>
        <v>Normal</v>
      </c>
      <c r="E1009" s="3">
        <f ca="1">VLOOKUP($C1009,Overall!$K$5:$T$36,10)</f>
        <v>-3.4028234663852886E+38</v>
      </c>
      <c r="F1009" s="9" t="str">
        <f>VLOOKUP($C1009,Overall!$K$5:$T$36,6)</f>
        <v>11111111011111111111111111111111</v>
      </c>
      <c r="G1009" s="8">
        <v>14</v>
      </c>
      <c r="H1009" s="3" t="str">
        <f>VLOOKUP($G1009,Overall!$K$5:$T$36,2)</f>
        <v>Normal</v>
      </c>
      <c r="I1009" s="3">
        <f ca="1">VLOOKUP($G1009,Overall!$K$5:$T$36,10)</f>
        <v>0</v>
      </c>
      <c r="J1009" s="62" t="str">
        <f>VLOOKUP($G1009,Overall!$K$5:$T$36,6)</f>
        <v>10000000000000000000000000000000</v>
      </c>
      <c r="K1009" s="8">
        <f t="shared" ca="1" si="135"/>
        <v>0</v>
      </c>
      <c r="L1009" s="62">
        <f>VLOOKUP($B1009,Overall!$B$5:$I$13,8)</f>
        <v>0</v>
      </c>
      <c r="M1009" s="58"/>
      <c r="N1009" s="3" t="str">
        <f t="shared" si="136"/>
        <v/>
      </c>
      <c r="O1009" s="3" t="str">
        <f t="shared" si="137"/>
        <v/>
      </c>
      <c r="P1009" s="3" t="str">
        <f t="shared" si="138"/>
        <v/>
      </c>
      <c r="Q1009" s="3">
        <f t="shared" si="139"/>
        <v>0</v>
      </c>
      <c r="R1009" s="3">
        <f t="shared" si="140"/>
        <v>0</v>
      </c>
      <c r="S1009" s="3" t="e" cm="1">
        <f t="array" aca="1" ref="S1009" ca="1">SUMPRODUCT(MID($P1009,ROW(INDIRECT("1:23")),1)*2^(-ROW(INDIRECT("1:23"))))</f>
        <v>#VALUE!</v>
      </c>
      <c r="T1009" s="3" t="e">
        <f t="shared" ca="1" si="141"/>
        <v>#VALUE!</v>
      </c>
      <c r="U1009" s="3" t="e">
        <f t="shared" ca="1" si="142"/>
        <v>#VALUE!</v>
      </c>
      <c r="V1009" s="73"/>
      <c r="W1009" s="9" t="str">
        <f t="shared" si="143"/>
        <v>OK</v>
      </c>
    </row>
    <row r="1010" spans="1:23" x14ac:dyDescent="0.3">
      <c r="A1010" s="44">
        <v>1007</v>
      </c>
      <c r="B1010" s="14">
        <v>9</v>
      </c>
      <c r="C1010" s="4">
        <v>32</v>
      </c>
      <c r="D1010" s="3" t="str">
        <f>VLOOKUP($C1010,Overall!$K$5:$T$36,2)</f>
        <v>Normal</v>
      </c>
      <c r="E1010" s="3">
        <f ca="1">VLOOKUP($C1010,Overall!$K$5:$T$36,10)</f>
        <v>-3.4028234663852886E+38</v>
      </c>
      <c r="F1010" s="9" t="str">
        <f>VLOOKUP($C1010,Overall!$K$5:$T$36,6)</f>
        <v>11111111011111111111111111111111</v>
      </c>
      <c r="G1010" s="8">
        <v>15</v>
      </c>
      <c r="H1010" s="3" t="str">
        <f>VLOOKUP($G1010,Overall!$K$5:$T$36,2)</f>
        <v>Normal</v>
      </c>
      <c r="I1010" s="3">
        <f ca="1">VLOOKUP($G1010,Overall!$K$5:$T$36,10)</f>
        <v>1.1754943508222875E-38</v>
      </c>
      <c r="J1010" s="62" t="str">
        <f>VLOOKUP($G1010,Overall!$K$5:$T$36,6)</f>
        <v>00000000100000000000000000000000</v>
      </c>
      <c r="K1010" s="8">
        <f t="shared" ca="1" si="135"/>
        <v>-3.9999997615814209</v>
      </c>
      <c r="L1010" s="62">
        <f>VLOOKUP($B1010,Overall!$B$5:$I$13,8)</f>
        <v>0</v>
      </c>
      <c r="M1010" s="58"/>
      <c r="N1010" s="3" t="str">
        <f t="shared" si="136"/>
        <v/>
      </c>
      <c r="O1010" s="3" t="str">
        <f t="shared" si="137"/>
        <v/>
      </c>
      <c r="P1010" s="3" t="str">
        <f t="shared" si="138"/>
        <v/>
      </c>
      <c r="Q1010" s="3">
        <f t="shared" si="139"/>
        <v>0</v>
      </c>
      <c r="R1010" s="3">
        <f t="shared" si="140"/>
        <v>0</v>
      </c>
      <c r="S1010" s="3" t="e" cm="1">
        <f t="array" aca="1" ref="S1010" ca="1">SUMPRODUCT(MID($P1010,ROW(INDIRECT("1:23")),1)*2^(-ROW(INDIRECT("1:23"))))</f>
        <v>#VALUE!</v>
      </c>
      <c r="T1010" s="3" t="e">
        <f t="shared" ca="1" si="141"/>
        <v>#VALUE!</v>
      </c>
      <c r="U1010" s="3" t="e">
        <f t="shared" ca="1" si="142"/>
        <v>#VALUE!</v>
      </c>
      <c r="V1010" s="73"/>
      <c r="W1010" s="9" t="str">
        <f t="shared" si="143"/>
        <v>OK</v>
      </c>
    </row>
    <row r="1011" spans="1:23" x14ac:dyDescent="0.3">
      <c r="A1011" s="44">
        <v>1008</v>
      </c>
      <c r="B1011" s="14">
        <v>9</v>
      </c>
      <c r="C1011" s="4">
        <v>32</v>
      </c>
      <c r="D1011" s="3" t="str">
        <f>VLOOKUP($C1011,Overall!$K$5:$T$36,2)</f>
        <v>Normal</v>
      </c>
      <c r="E1011" s="3">
        <f ca="1">VLOOKUP($C1011,Overall!$K$5:$T$36,10)</f>
        <v>-3.4028234663852886E+38</v>
      </c>
      <c r="F1011" s="9" t="str">
        <f>VLOOKUP($C1011,Overall!$K$5:$T$36,6)</f>
        <v>11111111011111111111111111111111</v>
      </c>
      <c r="G1011" s="8">
        <v>16</v>
      </c>
      <c r="H1011" s="3" t="str">
        <f>VLOOKUP($G1011,Overall!$K$5:$T$36,2)</f>
        <v>Normal</v>
      </c>
      <c r="I1011" s="3">
        <f ca="1">VLOOKUP($G1011,Overall!$K$5:$T$36,10)</f>
        <v>1.1754944909521339E-38</v>
      </c>
      <c r="J1011" s="62" t="str">
        <f>VLOOKUP($G1011,Overall!$K$5:$T$36,6)</f>
        <v>00000000100000000000000000000001</v>
      </c>
      <c r="K1011" s="8">
        <f t="shared" ca="1" si="135"/>
        <v>-4.0000002384185507</v>
      </c>
      <c r="L1011" s="62">
        <f>VLOOKUP($B1011,Overall!$B$5:$I$13,8)</f>
        <v>0</v>
      </c>
      <c r="M1011" s="58"/>
      <c r="N1011" s="3" t="str">
        <f t="shared" si="136"/>
        <v/>
      </c>
      <c r="O1011" s="3" t="str">
        <f t="shared" si="137"/>
        <v/>
      </c>
      <c r="P1011" s="3" t="str">
        <f t="shared" si="138"/>
        <v/>
      </c>
      <c r="Q1011" s="3">
        <f t="shared" si="139"/>
        <v>0</v>
      </c>
      <c r="R1011" s="3">
        <f t="shared" si="140"/>
        <v>0</v>
      </c>
      <c r="S1011" s="3" t="e" cm="1">
        <f t="array" aca="1" ref="S1011" ca="1">SUMPRODUCT(MID($P1011,ROW(INDIRECT("1:23")),1)*2^(-ROW(INDIRECT("1:23"))))</f>
        <v>#VALUE!</v>
      </c>
      <c r="T1011" s="3" t="e">
        <f t="shared" ca="1" si="141"/>
        <v>#VALUE!</v>
      </c>
      <c r="U1011" s="3" t="e">
        <f t="shared" ca="1" si="142"/>
        <v>#VALUE!</v>
      </c>
      <c r="V1011" s="73"/>
      <c r="W1011" s="9" t="str">
        <f t="shared" si="143"/>
        <v>OK</v>
      </c>
    </row>
    <row r="1012" spans="1:23" x14ac:dyDescent="0.3">
      <c r="A1012" s="44">
        <v>1009</v>
      </c>
      <c r="B1012" s="14">
        <v>9</v>
      </c>
      <c r="C1012" s="4">
        <v>32</v>
      </c>
      <c r="D1012" s="3" t="str">
        <f>VLOOKUP($C1012,Overall!$K$5:$T$36,2)</f>
        <v>Normal</v>
      </c>
      <c r="E1012" s="3">
        <f ca="1">VLOOKUP($C1012,Overall!$K$5:$T$36,10)</f>
        <v>-3.4028234663852886E+38</v>
      </c>
      <c r="F1012" s="9" t="str">
        <f>VLOOKUP($C1012,Overall!$K$5:$T$36,6)</f>
        <v>11111111011111111111111111111111</v>
      </c>
      <c r="G1012" s="8">
        <v>17</v>
      </c>
      <c r="H1012" s="3" t="str">
        <f>VLOOKUP($G1012,Overall!$K$5:$T$36,2)</f>
        <v>Normal</v>
      </c>
      <c r="I1012" s="3">
        <f ca="1">VLOOKUP($G1012,Overall!$K$5:$T$36,10)</f>
        <v>0.5</v>
      </c>
      <c r="J1012" s="62" t="str">
        <f>VLOOKUP($G1012,Overall!$K$5:$T$36,6)</f>
        <v>00111111000000000000000000000000</v>
      </c>
      <c r="K1012" s="8">
        <f t="shared" ca="1" si="135"/>
        <v>-1.7014117331926443E+38</v>
      </c>
      <c r="L1012" s="62">
        <f>VLOOKUP($B1012,Overall!$B$5:$I$13,8)</f>
        <v>0</v>
      </c>
      <c r="M1012" s="58"/>
      <c r="N1012" s="3" t="str">
        <f t="shared" si="136"/>
        <v/>
      </c>
      <c r="O1012" s="3" t="str">
        <f t="shared" si="137"/>
        <v/>
      </c>
      <c r="P1012" s="3" t="str">
        <f t="shared" si="138"/>
        <v/>
      </c>
      <c r="Q1012" s="3">
        <f t="shared" si="139"/>
        <v>0</v>
      </c>
      <c r="R1012" s="3">
        <f t="shared" si="140"/>
        <v>0</v>
      </c>
      <c r="S1012" s="3" t="e" cm="1">
        <f t="array" aca="1" ref="S1012" ca="1">SUMPRODUCT(MID($P1012,ROW(INDIRECT("1:23")),1)*2^(-ROW(INDIRECT("1:23"))))</f>
        <v>#VALUE!</v>
      </c>
      <c r="T1012" s="3" t="e">
        <f t="shared" ca="1" si="141"/>
        <v>#VALUE!</v>
      </c>
      <c r="U1012" s="3" t="e">
        <f t="shared" ca="1" si="142"/>
        <v>#VALUE!</v>
      </c>
      <c r="V1012" s="73"/>
      <c r="W1012" s="9" t="str">
        <f t="shared" si="143"/>
        <v>OK</v>
      </c>
    </row>
    <row r="1013" spans="1:23" x14ac:dyDescent="0.3">
      <c r="A1013" s="44">
        <v>1010</v>
      </c>
      <c r="B1013" s="14">
        <v>9</v>
      </c>
      <c r="C1013" s="4">
        <v>32</v>
      </c>
      <c r="D1013" s="3" t="str">
        <f>VLOOKUP($C1013,Overall!$K$5:$T$36,2)</f>
        <v>Normal</v>
      </c>
      <c r="E1013" s="3">
        <f ca="1">VLOOKUP($C1013,Overall!$K$5:$T$36,10)</f>
        <v>-3.4028234663852886E+38</v>
      </c>
      <c r="F1013" s="9" t="str">
        <f>VLOOKUP($C1013,Overall!$K$5:$T$36,6)</f>
        <v>11111111011111111111111111111111</v>
      </c>
      <c r="G1013" s="8">
        <v>18</v>
      </c>
      <c r="H1013" s="3" t="str">
        <f>VLOOKUP($G1013,Overall!$K$5:$T$36,2)</f>
        <v>Normal</v>
      </c>
      <c r="I1013" s="3">
        <f ca="1">VLOOKUP($G1013,Overall!$K$5:$T$36,10)</f>
        <v>1</v>
      </c>
      <c r="J1013" s="62" t="str">
        <f>VLOOKUP($G1013,Overall!$K$5:$T$36,6)</f>
        <v>00111111100000000000000000000000</v>
      </c>
      <c r="K1013" s="8">
        <f t="shared" ca="1" si="135"/>
        <v>-3.4028234663852886E+38</v>
      </c>
      <c r="L1013" s="62">
        <f>VLOOKUP($B1013,Overall!$B$5:$I$13,8)</f>
        <v>0</v>
      </c>
      <c r="M1013" s="58"/>
      <c r="N1013" s="3" t="str">
        <f t="shared" si="136"/>
        <v/>
      </c>
      <c r="O1013" s="3" t="str">
        <f t="shared" si="137"/>
        <v/>
      </c>
      <c r="P1013" s="3" t="str">
        <f t="shared" si="138"/>
        <v/>
      </c>
      <c r="Q1013" s="3">
        <f t="shared" si="139"/>
        <v>0</v>
      </c>
      <c r="R1013" s="3">
        <f t="shared" si="140"/>
        <v>0</v>
      </c>
      <c r="S1013" s="3" t="e" cm="1">
        <f t="array" aca="1" ref="S1013" ca="1">SUMPRODUCT(MID($P1013,ROW(INDIRECT("1:23")),1)*2^(-ROW(INDIRECT("1:23"))))</f>
        <v>#VALUE!</v>
      </c>
      <c r="T1013" s="3" t="e">
        <f t="shared" ca="1" si="141"/>
        <v>#VALUE!</v>
      </c>
      <c r="U1013" s="3" t="e">
        <f t="shared" ca="1" si="142"/>
        <v>#VALUE!</v>
      </c>
      <c r="V1013" s="73"/>
      <c r="W1013" s="9" t="str">
        <f t="shared" si="143"/>
        <v>OK</v>
      </c>
    </row>
    <row r="1014" spans="1:23" x14ac:dyDescent="0.3">
      <c r="A1014" s="44">
        <v>1011</v>
      </c>
      <c r="B1014" s="14">
        <v>9</v>
      </c>
      <c r="C1014" s="4">
        <v>32</v>
      </c>
      <c r="D1014" s="3" t="str">
        <f>VLOOKUP($C1014,Overall!$K$5:$T$36,2)</f>
        <v>Normal</v>
      </c>
      <c r="E1014" s="3">
        <f ca="1">VLOOKUP($C1014,Overall!$K$5:$T$36,10)</f>
        <v>-3.4028234663852886E+38</v>
      </c>
      <c r="F1014" s="9" t="str">
        <f>VLOOKUP($C1014,Overall!$K$5:$T$36,6)</f>
        <v>11111111011111111111111111111111</v>
      </c>
      <c r="G1014" s="8">
        <v>19</v>
      </c>
      <c r="H1014" s="3" t="str">
        <f>VLOOKUP($G1014,Overall!$K$5:$T$36,2)</f>
        <v>Normal</v>
      </c>
      <c r="I1014" s="3">
        <f ca="1">VLOOKUP($G1014,Overall!$K$5:$T$36,10)</f>
        <v>1.5</v>
      </c>
      <c r="J1014" s="62" t="str">
        <f>VLOOKUP($G1014,Overall!$K$5:$T$36,6)</f>
        <v>00111111110000000000000000000000</v>
      </c>
      <c r="K1014" s="8">
        <f t="shared" ca="1" si="135"/>
        <v>-5.1042351995779329E+38</v>
      </c>
      <c r="L1014" s="62">
        <f>VLOOKUP($B1014,Overall!$B$5:$I$13,8)</f>
        <v>0</v>
      </c>
      <c r="M1014" s="58"/>
      <c r="N1014" s="3" t="str">
        <f t="shared" si="136"/>
        <v/>
      </c>
      <c r="O1014" s="3" t="str">
        <f t="shared" si="137"/>
        <v/>
      </c>
      <c r="P1014" s="3" t="str">
        <f t="shared" si="138"/>
        <v/>
      </c>
      <c r="Q1014" s="3">
        <f t="shared" si="139"/>
        <v>0</v>
      </c>
      <c r="R1014" s="3">
        <f t="shared" si="140"/>
        <v>0</v>
      </c>
      <c r="S1014" s="3" t="e" cm="1">
        <f t="array" aca="1" ref="S1014" ca="1">SUMPRODUCT(MID($P1014,ROW(INDIRECT("1:23")),1)*2^(-ROW(INDIRECT("1:23"))))</f>
        <v>#VALUE!</v>
      </c>
      <c r="T1014" s="3" t="e">
        <f t="shared" ca="1" si="141"/>
        <v>#VALUE!</v>
      </c>
      <c r="U1014" s="3" t="e">
        <f t="shared" ca="1" si="142"/>
        <v>#VALUE!</v>
      </c>
      <c r="V1014" s="73"/>
      <c r="W1014" s="9" t="str">
        <f t="shared" si="143"/>
        <v>OK</v>
      </c>
    </row>
    <row r="1015" spans="1:23" x14ac:dyDescent="0.3">
      <c r="A1015" s="44">
        <v>1012</v>
      </c>
      <c r="B1015" s="14">
        <v>9</v>
      </c>
      <c r="C1015" s="4">
        <v>32</v>
      </c>
      <c r="D1015" s="3" t="str">
        <f>VLOOKUP($C1015,Overall!$K$5:$T$36,2)</f>
        <v>Normal</v>
      </c>
      <c r="E1015" s="3">
        <f ca="1">VLOOKUP($C1015,Overall!$K$5:$T$36,10)</f>
        <v>-3.4028234663852886E+38</v>
      </c>
      <c r="F1015" s="9" t="str">
        <f>VLOOKUP($C1015,Overall!$K$5:$T$36,6)</f>
        <v>11111111011111111111111111111111</v>
      </c>
      <c r="G1015" s="8">
        <v>20</v>
      </c>
      <c r="H1015" s="3" t="str">
        <f>VLOOKUP($G1015,Overall!$K$5:$T$36,2)</f>
        <v>Normal</v>
      </c>
      <c r="I1015" s="3">
        <f ca="1">VLOOKUP($G1015,Overall!$K$5:$T$36,10)</f>
        <v>12345.6787109375</v>
      </c>
      <c r="J1015" s="62" t="str">
        <f>VLOOKUP($G1015,Overall!$K$5:$T$36,6)</f>
        <v>001000110010000001110011010110111</v>
      </c>
      <c r="K1015" s="8">
        <f t="shared" ca="1" si="135"/>
        <v>-4.2010165226031405E+42</v>
      </c>
      <c r="L1015" s="62">
        <f>VLOOKUP($B1015,Overall!$B$5:$I$13,8)</f>
        <v>0</v>
      </c>
      <c r="M1015" s="58"/>
      <c r="N1015" s="3" t="str">
        <f t="shared" si="136"/>
        <v/>
      </c>
      <c r="O1015" s="3" t="str">
        <f t="shared" si="137"/>
        <v/>
      </c>
      <c r="P1015" s="3" t="str">
        <f t="shared" si="138"/>
        <v/>
      </c>
      <c r="Q1015" s="3">
        <f t="shared" si="139"/>
        <v>0</v>
      </c>
      <c r="R1015" s="3">
        <f t="shared" si="140"/>
        <v>0</v>
      </c>
      <c r="S1015" s="3" t="e" cm="1">
        <f t="array" aca="1" ref="S1015" ca="1">SUMPRODUCT(MID($P1015,ROW(INDIRECT("1:23")),1)*2^(-ROW(INDIRECT("1:23"))))</f>
        <v>#VALUE!</v>
      </c>
      <c r="T1015" s="3" t="e">
        <f t="shared" ca="1" si="141"/>
        <v>#VALUE!</v>
      </c>
      <c r="U1015" s="3" t="e">
        <f t="shared" ca="1" si="142"/>
        <v>#VALUE!</v>
      </c>
      <c r="V1015" s="73"/>
      <c r="W1015" s="9" t="str">
        <f t="shared" si="143"/>
        <v>OK</v>
      </c>
    </row>
    <row r="1016" spans="1:23" x14ac:dyDescent="0.3">
      <c r="A1016" s="44">
        <v>1013</v>
      </c>
      <c r="B1016" s="14">
        <v>9</v>
      </c>
      <c r="C1016" s="4">
        <v>32</v>
      </c>
      <c r="D1016" s="3" t="str">
        <f>VLOOKUP($C1016,Overall!$K$5:$T$36,2)</f>
        <v>Normal</v>
      </c>
      <c r="E1016" s="3">
        <f ca="1">VLOOKUP($C1016,Overall!$K$5:$T$36,10)</f>
        <v>-3.4028234663852886E+38</v>
      </c>
      <c r="F1016" s="9" t="str">
        <f>VLOOKUP($C1016,Overall!$K$5:$T$36,6)</f>
        <v>11111111011111111111111111111111</v>
      </c>
      <c r="G1016" s="8">
        <v>21</v>
      </c>
      <c r="H1016" s="3" t="str">
        <f>VLOOKUP($G1016,Overall!$K$5:$T$36,2)</f>
        <v>Normal</v>
      </c>
      <c r="I1016" s="3">
        <f ca="1">VLOOKUP($G1016,Overall!$K$5:$T$36,10)</f>
        <v>2.345678924830959E+38</v>
      </c>
      <c r="J1016" s="62" t="str">
        <f>VLOOKUP($G1016,Overall!$K$5:$T$36,6)</f>
        <v>01111111001100000111100000100010</v>
      </c>
      <c r="K1016" s="8">
        <f t="shared" ca="1" si="135"/>
        <v>-7.9819312900202006E+76</v>
      </c>
      <c r="L1016" s="62">
        <f>VLOOKUP($B1016,Overall!$B$5:$I$13,8)</f>
        <v>0</v>
      </c>
      <c r="M1016" s="58"/>
      <c r="N1016" s="3" t="str">
        <f t="shared" si="136"/>
        <v/>
      </c>
      <c r="O1016" s="3" t="str">
        <f t="shared" si="137"/>
        <v/>
      </c>
      <c r="P1016" s="3" t="str">
        <f t="shared" si="138"/>
        <v/>
      </c>
      <c r="Q1016" s="3">
        <f t="shared" si="139"/>
        <v>0</v>
      </c>
      <c r="R1016" s="3">
        <f t="shared" si="140"/>
        <v>0</v>
      </c>
      <c r="S1016" s="3" t="e" cm="1">
        <f t="array" aca="1" ref="S1016" ca="1">SUMPRODUCT(MID($P1016,ROW(INDIRECT("1:23")),1)*2^(-ROW(INDIRECT("1:23"))))</f>
        <v>#VALUE!</v>
      </c>
      <c r="T1016" s="3" t="e">
        <f t="shared" ca="1" si="141"/>
        <v>#VALUE!</v>
      </c>
      <c r="U1016" s="3" t="e">
        <f t="shared" ca="1" si="142"/>
        <v>#VALUE!</v>
      </c>
      <c r="V1016" s="73"/>
      <c r="W1016" s="9" t="str">
        <f t="shared" si="143"/>
        <v>OK</v>
      </c>
    </row>
    <row r="1017" spans="1:23" x14ac:dyDescent="0.3">
      <c r="A1017" s="44">
        <v>1014</v>
      </c>
      <c r="B1017" s="14">
        <v>9</v>
      </c>
      <c r="C1017" s="4">
        <v>32</v>
      </c>
      <c r="D1017" s="3" t="str">
        <f>VLOOKUP($C1017,Overall!$K$5:$T$36,2)</f>
        <v>Normal</v>
      </c>
      <c r="E1017" s="3">
        <f ca="1">VLOOKUP($C1017,Overall!$K$5:$T$36,10)</f>
        <v>-3.4028234663852886E+38</v>
      </c>
      <c r="F1017" s="9" t="str">
        <f>VLOOKUP($C1017,Overall!$K$5:$T$36,6)</f>
        <v>11111111011111111111111111111111</v>
      </c>
      <c r="G1017" s="8">
        <v>22</v>
      </c>
      <c r="H1017" s="3" t="str">
        <f>VLOOKUP($G1017,Overall!$K$5:$T$36,2)</f>
        <v>Normal</v>
      </c>
      <c r="I1017" s="3">
        <f ca="1">VLOOKUP($G1017,Overall!$K$5:$T$36,10)</f>
        <v>3.4028232635611926E+38</v>
      </c>
      <c r="J1017" s="62" t="str">
        <f>VLOOKUP($G1017,Overall!$K$5:$T$36,6)</f>
        <v>01111111011111111111111111111110</v>
      </c>
      <c r="K1017" s="8">
        <f t="shared" ca="1" si="135"/>
        <v>-1.1579206853207798E+77</v>
      </c>
      <c r="L1017" s="62">
        <f>VLOOKUP($B1017,Overall!$B$5:$I$13,8)</f>
        <v>0</v>
      </c>
      <c r="M1017" s="58"/>
      <c r="N1017" s="3" t="str">
        <f t="shared" si="136"/>
        <v/>
      </c>
      <c r="O1017" s="3" t="str">
        <f t="shared" si="137"/>
        <v/>
      </c>
      <c r="P1017" s="3" t="str">
        <f t="shared" si="138"/>
        <v/>
      </c>
      <c r="Q1017" s="3">
        <f t="shared" si="139"/>
        <v>0</v>
      </c>
      <c r="R1017" s="3">
        <f t="shared" si="140"/>
        <v>0</v>
      </c>
      <c r="S1017" s="3" t="e" cm="1">
        <f t="array" aca="1" ref="S1017" ca="1">SUMPRODUCT(MID($P1017,ROW(INDIRECT("1:23")),1)*2^(-ROW(INDIRECT("1:23"))))</f>
        <v>#VALUE!</v>
      </c>
      <c r="T1017" s="3" t="e">
        <f t="shared" ca="1" si="141"/>
        <v>#VALUE!</v>
      </c>
      <c r="U1017" s="3" t="e">
        <f t="shared" ca="1" si="142"/>
        <v>#VALUE!</v>
      </c>
      <c r="V1017" s="73"/>
      <c r="W1017" s="9" t="str">
        <f t="shared" si="143"/>
        <v>OK</v>
      </c>
    </row>
    <row r="1018" spans="1:23" x14ac:dyDescent="0.3">
      <c r="A1018" s="44">
        <v>1015</v>
      </c>
      <c r="B1018" s="14">
        <v>9</v>
      </c>
      <c r="C1018" s="4">
        <v>32</v>
      </c>
      <c r="D1018" s="3" t="str">
        <f>VLOOKUP($C1018,Overall!$K$5:$T$36,2)</f>
        <v>Normal</v>
      </c>
      <c r="E1018" s="3">
        <f ca="1">VLOOKUP($C1018,Overall!$K$5:$T$36,10)</f>
        <v>-3.4028234663852886E+38</v>
      </c>
      <c r="F1018" s="9" t="str">
        <f>VLOOKUP($C1018,Overall!$K$5:$T$36,6)</f>
        <v>11111111011111111111111111111111</v>
      </c>
      <c r="G1018" s="8">
        <v>23</v>
      </c>
      <c r="H1018" s="3" t="str">
        <f>VLOOKUP($G1018,Overall!$K$5:$T$36,2)</f>
        <v>Normal</v>
      </c>
      <c r="I1018" s="3">
        <f ca="1">VLOOKUP($G1018,Overall!$K$5:$T$36,10)</f>
        <v>3.4028234663852886E+38</v>
      </c>
      <c r="J1018" s="62" t="str">
        <f>VLOOKUP($G1018,Overall!$K$5:$T$36,6)</f>
        <v>01111111011111111111111111111111</v>
      </c>
      <c r="K1018" s="8">
        <f t="shared" ca="1" si="135"/>
        <v>-1.1579207543382391E+77</v>
      </c>
      <c r="L1018" s="62">
        <f>VLOOKUP($B1018,Overall!$B$5:$I$13,8)</f>
        <v>0</v>
      </c>
      <c r="M1018" s="58"/>
      <c r="N1018" s="3" t="str">
        <f t="shared" si="136"/>
        <v/>
      </c>
      <c r="O1018" s="3" t="str">
        <f t="shared" si="137"/>
        <v/>
      </c>
      <c r="P1018" s="3" t="str">
        <f t="shared" si="138"/>
        <v/>
      </c>
      <c r="Q1018" s="3">
        <f t="shared" si="139"/>
        <v>0</v>
      </c>
      <c r="R1018" s="3">
        <f t="shared" si="140"/>
        <v>0</v>
      </c>
      <c r="S1018" s="3" t="e" cm="1">
        <f t="array" aca="1" ref="S1018" ca="1">SUMPRODUCT(MID($P1018,ROW(INDIRECT("1:23")),1)*2^(-ROW(INDIRECT("1:23"))))</f>
        <v>#VALUE!</v>
      </c>
      <c r="T1018" s="3" t="e">
        <f t="shared" ca="1" si="141"/>
        <v>#VALUE!</v>
      </c>
      <c r="U1018" s="3" t="e">
        <f t="shared" ca="1" si="142"/>
        <v>#VALUE!</v>
      </c>
      <c r="V1018" s="73"/>
      <c r="W1018" s="9" t="str">
        <f t="shared" si="143"/>
        <v>OK</v>
      </c>
    </row>
    <row r="1019" spans="1:23" x14ac:dyDescent="0.3">
      <c r="A1019" s="44">
        <v>1016</v>
      </c>
      <c r="B1019" s="14">
        <v>9</v>
      </c>
      <c r="C1019" s="4">
        <v>32</v>
      </c>
      <c r="D1019" s="3" t="str">
        <f>VLOOKUP($C1019,Overall!$K$5:$T$36,2)</f>
        <v>Normal</v>
      </c>
      <c r="E1019" s="3">
        <f ca="1">VLOOKUP($C1019,Overall!$K$5:$T$36,10)</f>
        <v>-3.4028234663852886E+38</v>
      </c>
      <c r="F1019" s="9" t="str">
        <f>VLOOKUP($C1019,Overall!$K$5:$T$36,6)</f>
        <v>11111111011111111111111111111111</v>
      </c>
      <c r="G1019" s="8">
        <v>24</v>
      </c>
      <c r="H1019" s="3" t="str">
        <f>VLOOKUP($G1019,Overall!$K$5:$T$36,2)</f>
        <v>Normal</v>
      </c>
      <c r="I1019" s="3">
        <f ca="1">VLOOKUP($G1019,Overall!$K$5:$T$36,10)</f>
        <v>-1.1754943508222875E-38</v>
      </c>
      <c r="J1019" s="62" t="str">
        <f>VLOOKUP($G1019,Overall!$K$5:$T$36,6)</f>
        <v>10000000100000000000000000000000</v>
      </c>
      <c r="K1019" s="8">
        <f t="shared" ca="1" si="135"/>
        <v>3.9999997615814209</v>
      </c>
      <c r="L1019" s="62">
        <f>VLOOKUP($B1019,Overall!$B$5:$I$13,8)</f>
        <v>0</v>
      </c>
      <c r="M1019" s="58"/>
      <c r="N1019" s="3" t="str">
        <f t="shared" si="136"/>
        <v/>
      </c>
      <c r="O1019" s="3" t="str">
        <f t="shared" si="137"/>
        <v/>
      </c>
      <c r="P1019" s="3" t="str">
        <f t="shared" si="138"/>
        <v/>
      </c>
      <c r="Q1019" s="3">
        <f t="shared" si="139"/>
        <v>0</v>
      </c>
      <c r="R1019" s="3">
        <f t="shared" si="140"/>
        <v>0</v>
      </c>
      <c r="S1019" s="3" t="e" cm="1">
        <f t="array" aca="1" ref="S1019" ca="1">SUMPRODUCT(MID($P1019,ROW(INDIRECT("1:23")),1)*2^(-ROW(INDIRECT("1:23"))))</f>
        <v>#VALUE!</v>
      </c>
      <c r="T1019" s="3" t="e">
        <f t="shared" ca="1" si="141"/>
        <v>#VALUE!</v>
      </c>
      <c r="U1019" s="3" t="e">
        <f t="shared" ca="1" si="142"/>
        <v>#VALUE!</v>
      </c>
      <c r="V1019" s="73"/>
      <c r="W1019" s="9" t="str">
        <f t="shared" si="143"/>
        <v>OK</v>
      </c>
    </row>
    <row r="1020" spans="1:23" x14ac:dyDescent="0.3">
      <c r="A1020" s="44">
        <v>1017</v>
      </c>
      <c r="B1020" s="14">
        <v>9</v>
      </c>
      <c r="C1020" s="4">
        <v>32</v>
      </c>
      <c r="D1020" s="3" t="str">
        <f>VLOOKUP($C1020,Overall!$K$5:$T$36,2)</f>
        <v>Normal</v>
      </c>
      <c r="E1020" s="3">
        <f ca="1">VLOOKUP($C1020,Overall!$K$5:$T$36,10)</f>
        <v>-3.4028234663852886E+38</v>
      </c>
      <c r="F1020" s="9" t="str">
        <f>VLOOKUP($C1020,Overall!$K$5:$T$36,6)</f>
        <v>11111111011111111111111111111111</v>
      </c>
      <c r="G1020" s="8">
        <v>25</v>
      </c>
      <c r="H1020" s="3" t="str">
        <f>VLOOKUP($G1020,Overall!$K$5:$T$36,2)</f>
        <v>Normal</v>
      </c>
      <c r="I1020" s="3">
        <f ca="1">VLOOKUP($G1020,Overall!$K$5:$T$36,10)</f>
        <v>-1.1754944909521339E-38</v>
      </c>
      <c r="J1020" s="62" t="str">
        <f>VLOOKUP($G1020,Overall!$K$5:$T$36,6)</f>
        <v>10000000100000000000000000000001</v>
      </c>
      <c r="K1020" s="8">
        <f t="shared" ca="1" si="135"/>
        <v>4.0000002384185507</v>
      </c>
      <c r="L1020" s="62">
        <f>VLOOKUP($B1020,Overall!$B$5:$I$13,8)</f>
        <v>0</v>
      </c>
      <c r="M1020" s="58"/>
      <c r="N1020" s="3" t="str">
        <f t="shared" si="136"/>
        <v/>
      </c>
      <c r="O1020" s="3" t="str">
        <f t="shared" si="137"/>
        <v/>
      </c>
      <c r="P1020" s="3" t="str">
        <f t="shared" si="138"/>
        <v/>
      </c>
      <c r="Q1020" s="3">
        <f t="shared" si="139"/>
        <v>0</v>
      </c>
      <c r="R1020" s="3">
        <f t="shared" si="140"/>
        <v>0</v>
      </c>
      <c r="S1020" s="3" t="e" cm="1">
        <f t="array" aca="1" ref="S1020" ca="1">SUMPRODUCT(MID($P1020,ROW(INDIRECT("1:23")),1)*2^(-ROW(INDIRECT("1:23"))))</f>
        <v>#VALUE!</v>
      </c>
      <c r="T1020" s="3" t="e">
        <f t="shared" ca="1" si="141"/>
        <v>#VALUE!</v>
      </c>
      <c r="U1020" s="3" t="e">
        <f t="shared" ca="1" si="142"/>
        <v>#VALUE!</v>
      </c>
      <c r="V1020" s="73"/>
      <c r="W1020" s="9" t="str">
        <f t="shared" si="143"/>
        <v>OK</v>
      </c>
    </row>
    <row r="1021" spans="1:23" x14ac:dyDescent="0.3">
      <c r="A1021" s="44">
        <v>1018</v>
      </c>
      <c r="B1021" s="14">
        <v>9</v>
      </c>
      <c r="C1021" s="4">
        <v>32</v>
      </c>
      <c r="D1021" s="3" t="str">
        <f>VLOOKUP($C1021,Overall!$K$5:$T$36,2)</f>
        <v>Normal</v>
      </c>
      <c r="E1021" s="3">
        <f ca="1">VLOOKUP($C1021,Overall!$K$5:$T$36,10)</f>
        <v>-3.4028234663852886E+38</v>
      </c>
      <c r="F1021" s="9" t="str">
        <f>VLOOKUP($C1021,Overall!$K$5:$T$36,6)</f>
        <v>11111111011111111111111111111111</v>
      </c>
      <c r="G1021" s="8">
        <v>26</v>
      </c>
      <c r="H1021" s="3" t="str">
        <f>VLOOKUP($G1021,Overall!$K$5:$T$36,2)</f>
        <v>Normal</v>
      </c>
      <c r="I1021" s="3">
        <f ca="1">VLOOKUP($G1021,Overall!$K$5:$T$36,10)</f>
        <v>-0.5</v>
      </c>
      <c r="J1021" s="62" t="str">
        <f>VLOOKUP($G1021,Overall!$K$5:$T$36,6)</f>
        <v>10111111000000000000000000000000</v>
      </c>
      <c r="K1021" s="8">
        <f t="shared" ca="1" si="135"/>
        <v>1.7014117331926443E+38</v>
      </c>
      <c r="L1021" s="62">
        <f>VLOOKUP($B1021,Overall!$B$5:$I$13,8)</f>
        <v>0</v>
      </c>
      <c r="M1021" s="58"/>
      <c r="N1021" s="3" t="str">
        <f t="shared" si="136"/>
        <v/>
      </c>
      <c r="O1021" s="3" t="str">
        <f t="shared" si="137"/>
        <v/>
      </c>
      <c r="P1021" s="3" t="str">
        <f t="shared" si="138"/>
        <v/>
      </c>
      <c r="Q1021" s="3">
        <f t="shared" si="139"/>
        <v>0</v>
      </c>
      <c r="R1021" s="3">
        <f t="shared" si="140"/>
        <v>0</v>
      </c>
      <c r="S1021" s="3" t="e" cm="1">
        <f t="array" aca="1" ref="S1021" ca="1">SUMPRODUCT(MID($P1021,ROW(INDIRECT("1:23")),1)*2^(-ROW(INDIRECT("1:23"))))</f>
        <v>#VALUE!</v>
      </c>
      <c r="T1021" s="3" t="e">
        <f t="shared" ca="1" si="141"/>
        <v>#VALUE!</v>
      </c>
      <c r="U1021" s="3" t="e">
        <f t="shared" ca="1" si="142"/>
        <v>#VALUE!</v>
      </c>
      <c r="V1021" s="73"/>
      <c r="W1021" s="9" t="str">
        <f t="shared" si="143"/>
        <v>OK</v>
      </c>
    </row>
    <row r="1022" spans="1:23" x14ac:dyDescent="0.3">
      <c r="A1022" s="44">
        <v>1019</v>
      </c>
      <c r="B1022" s="14">
        <v>9</v>
      </c>
      <c r="C1022" s="4">
        <v>32</v>
      </c>
      <c r="D1022" s="3" t="str">
        <f>VLOOKUP($C1022,Overall!$K$5:$T$36,2)</f>
        <v>Normal</v>
      </c>
      <c r="E1022" s="3">
        <f ca="1">VLOOKUP($C1022,Overall!$K$5:$T$36,10)</f>
        <v>-3.4028234663852886E+38</v>
      </c>
      <c r="F1022" s="9" t="str">
        <f>VLOOKUP($C1022,Overall!$K$5:$T$36,6)</f>
        <v>11111111011111111111111111111111</v>
      </c>
      <c r="G1022" s="8">
        <v>27</v>
      </c>
      <c r="H1022" s="3" t="str">
        <f>VLOOKUP($G1022,Overall!$K$5:$T$36,2)</f>
        <v>Normal</v>
      </c>
      <c r="I1022" s="3">
        <f ca="1">VLOOKUP($G1022,Overall!$K$5:$T$36,10)</f>
        <v>-1</v>
      </c>
      <c r="J1022" s="62" t="str">
        <f>VLOOKUP($G1022,Overall!$K$5:$T$36,6)</f>
        <v>10111111100000000000000000000000</v>
      </c>
      <c r="K1022" s="8">
        <f t="shared" ca="1" si="135"/>
        <v>3.4028234663852886E+38</v>
      </c>
      <c r="L1022" s="62">
        <f>VLOOKUP($B1022,Overall!$B$5:$I$13,8)</f>
        <v>0</v>
      </c>
      <c r="M1022" s="58"/>
      <c r="N1022" s="3" t="str">
        <f t="shared" si="136"/>
        <v/>
      </c>
      <c r="O1022" s="3" t="str">
        <f t="shared" si="137"/>
        <v/>
      </c>
      <c r="P1022" s="3" t="str">
        <f t="shared" si="138"/>
        <v/>
      </c>
      <c r="Q1022" s="3">
        <f t="shared" si="139"/>
        <v>0</v>
      </c>
      <c r="R1022" s="3">
        <f t="shared" si="140"/>
        <v>0</v>
      </c>
      <c r="S1022" s="3" t="e" cm="1">
        <f t="array" aca="1" ref="S1022" ca="1">SUMPRODUCT(MID($P1022,ROW(INDIRECT("1:23")),1)*2^(-ROW(INDIRECT("1:23"))))</f>
        <v>#VALUE!</v>
      </c>
      <c r="T1022" s="3" t="e">
        <f t="shared" ca="1" si="141"/>
        <v>#VALUE!</v>
      </c>
      <c r="U1022" s="3" t="e">
        <f t="shared" ca="1" si="142"/>
        <v>#VALUE!</v>
      </c>
      <c r="V1022" s="73"/>
      <c r="W1022" s="9" t="str">
        <f t="shared" si="143"/>
        <v>OK</v>
      </c>
    </row>
    <row r="1023" spans="1:23" x14ac:dyDescent="0.3">
      <c r="A1023" s="44">
        <v>1020</v>
      </c>
      <c r="B1023" s="14">
        <v>9</v>
      </c>
      <c r="C1023" s="4">
        <v>32</v>
      </c>
      <c r="D1023" s="3" t="str">
        <f>VLOOKUP($C1023,Overall!$K$5:$T$36,2)</f>
        <v>Normal</v>
      </c>
      <c r="E1023" s="3">
        <f ca="1">VLOOKUP($C1023,Overall!$K$5:$T$36,10)</f>
        <v>-3.4028234663852886E+38</v>
      </c>
      <c r="F1023" s="9" t="str">
        <f>VLOOKUP($C1023,Overall!$K$5:$T$36,6)</f>
        <v>11111111011111111111111111111111</v>
      </c>
      <c r="G1023" s="8">
        <v>28</v>
      </c>
      <c r="H1023" s="3" t="str">
        <f>VLOOKUP($G1023,Overall!$K$5:$T$36,2)</f>
        <v>Normal</v>
      </c>
      <c r="I1023" s="3">
        <f ca="1">VLOOKUP($G1023,Overall!$K$5:$T$36,10)</f>
        <v>-1.5</v>
      </c>
      <c r="J1023" s="62" t="str">
        <f>VLOOKUP($G1023,Overall!$K$5:$T$36,6)</f>
        <v>10111111110000000000000000000000</v>
      </c>
      <c r="K1023" s="8">
        <f t="shared" ca="1" si="135"/>
        <v>5.1042351995779329E+38</v>
      </c>
      <c r="L1023" s="62">
        <f>VLOOKUP($B1023,Overall!$B$5:$I$13,8)</f>
        <v>0</v>
      </c>
      <c r="M1023" s="58"/>
      <c r="N1023" s="3" t="str">
        <f t="shared" si="136"/>
        <v/>
      </c>
      <c r="O1023" s="3" t="str">
        <f t="shared" si="137"/>
        <v/>
      </c>
      <c r="P1023" s="3" t="str">
        <f t="shared" si="138"/>
        <v/>
      </c>
      <c r="Q1023" s="3">
        <f t="shared" si="139"/>
        <v>0</v>
      </c>
      <c r="R1023" s="3">
        <f t="shared" si="140"/>
        <v>0</v>
      </c>
      <c r="S1023" s="3" t="e" cm="1">
        <f t="array" aca="1" ref="S1023" ca="1">SUMPRODUCT(MID($P1023,ROW(INDIRECT("1:23")),1)*2^(-ROW(INDIRECT("1:23"))))</f>
        <v>#VALUE!</v>
      </c>
      <c r="T1023" s="3" t="e">
        <f t="shared" ca="1" si="141"/>
        <v>#VALUE!</v>
      </c>
      <c r="U1023" s="3" t="e">
        <f t="shared" ca="1" si="142"/>
        <v>#VALUE!</v>
      </c>
      <c r="V1023" s="73"/>
      <c r="W1023" s="9" t="str">
        <f t="shared" si="143"/>
        <v>OK</v>
      </c>
    </row>
    <row r="1024" spans="1:23" x14ac:dyDescent="0.3">
      <c r="A1024" s="44">
        <v>1021</v>
      </c>
      <c r="B1024" s="14">
        <v>9</v>
      </c>
      <c r="C1024" s="4">
        <v>32</v>
      </c>
      <c r="D1024" s="3" t="str">
        <f>VLOOKUP($C1024,Overall!$K$5:$T$36,2)</f>
        <v>Normal</v>
      </c>
      <c r="E1024" s="3">
        <f ca="1">VLOOKUP($C1024,Overall!$K$5:$T$36,10)</f>
        <v>-3.4028234663852886E+38</v>
      </c>
      <c r="F1024" s="9" t="str">
        <f>VLOOKUP($C1024,Overall!$K$5:$T$36,6)</f>
        <v>11111111011111111111111111111111</v>
      </c>
      <c r="G1024" s="8">
        <v>29</v>
      </c>
      <c r="H1024" s="3" t="str">
        <f>VLOOKUP($G1024,Overall!$K$5:$T$36,2)</f>
        <v>Normal</v>
      </c>
      <c r="I1024" s="3">
        <f ca="1">VLOOKUP($G1024,Overall!$K$5:$T$36,10)</f>
        <v>-12345.6787109375</v>
      </c>
      <c r="J1024" s="62" t="str">
        <f>VLOOKUP($G1024,Overall!$K$5:$T$36,6)</f>
        <v>101000110010000001110011010110111</v>
      </c>
      <c r="K1024" s="8">
        <f t="shared" ca="1" si="135"/>
        <v>4.2010165226031405E+42</v>
      </c>
      <c r="L1024" s="62">
        <f>VLOOKUP($B1024,Overall!$B$5:$I$13,8)</f>
        <v>0</v>
      </c>
      <c r="M1024" s="58"/>
      <c r="N1024" s="3" t="str">
        <f t="shared" si="136"/>
        <v/>
      </c>
      <c r="O1024" s="3" t="str">
        <f t="shared" si="137"/>
        <v/>
      </c>
      <c r="P1024" s="3" t="str">
        <f t="shared" si="138"/>
        <v/>
      </c>
      <c r="Q1024" s="3">
        <f t="shared" si="139"/>
        <v>0</v>
      </c>
      <c r="R1024" s="3">
        <f t="shared" si="140"/>
        <v>0</v>
      </c>
      <c r="S1024" s="3" t="e" cm="1">
        <f t="array" aca="1" ref="S1024" ca="1">SUMPRODUCT(MID($P1024,ROW(INDIRECT("1:23")),1)*2^(-ROW(INDIRECT("1:23"))))</f>
        <v>#VALUE!</v>
      </c>
      <c r="T1024" s="3" t="e">
        <f t="shared" ca="1" si="141"/>
        <v>#VALUE!</v>
      </c>
      <c r="U1024" s="3" t="e">
        <f t="shared" ca="1" si="142"/>
        <v>#VALUE!</v>
      </c>
      <c r="V1024" s="73"/>
      <c r="W1024" s="9" t="str">
        <f t="shared" si="143"/>
        <v>OK</v>
      </c>
    </row>
    <row r="1025" spans="1:23" x14ac:dyDescent="0.3">
      <c r="A1025" s="44">
        <v>1022</v>
      </c>
      <c r="B1025" s="14">
        <v>9</v>
      </c>
      <c r="C1025" s="4">
        <v>32</v>
      </c>
      <c r="D1025" s="3" t="str">
        <f>VLOOKUP($C1025,Overall!$K$5:$T$36,2)</f>
        <v>Normal</v>
      </c>
      <c r="E1025" s="3">
        <f ca="1">VLOOKUP($C1025,Overall!$K$5:$T$36,10)</f>
        <v>-3.4028234663852886E+38</v>
      </c>
      <c r="F1025" s="9" t="str">
        <f>VLOOKUP($C1025,Overall!$K$5:$T$36,6)</f>
        <v>11111111011111111111111111111111</v>
      </c>
      <c r="G1025" s="8">
        <v>30</v>
      </c>
      <c r="H1025" s="3" t="str">
        <f>VLOOKUP($G1025,Overall!$K$5:$T$36,2)</f>
        <v>Normal</v>
      </c>
      <c r="I1025" s="3">
        <f ca="1">VLOOKUP($G1025,Overall!$K$5:$T$36,10)</f>
        <v>-2.345678924830959E+38</v>
      </c>
      <c r="J1025" s="62" t="str">
        <f>VLOOKUP($G1025,Overall!$K$5:$T$36,6)</f>
        <v>11111111001100000111100000100010</v>
      </c>
      <c r="K1025" s="8">
        <f t="shared" ca="1" si="135"/>
        <v>7.9819312900202006E+76</v>
      </c>
      <c r="L1025" s="62">
        <f>VLOOKUP($B1025,Overall!$B$5:$I$13,8)</f>
        <v>0</v>
      </c>
      <c r="M1025" s="58"/>
      <c r="N1025" s="3" t="str">
        <f t="shared" si="136"/>
        <v/>
      </c>
      <c r="O1025" s="3" t="str">
        <f t="shared" si="137"/>
        <v/>
      </c>
      <c r="P1025" s="3" t="str">
        <f t="shared" si="138"/>
        <v/>
      </c>
      <c r="Q1025" s="3">
        <f t="shared" si="139"/>
        <v>0</v>
      </c>
      <c r="R1025" s="3">
        <f t="shared" si="140"/>
        <v>0</v>
      </c>
      <c r="S1025" s="3" t="e" cm="1">
        <f t="array" aca="1" ref="S1025" ca="1">SUMPRODUCT(MID($P1025,ROW(INDIRECT("1:23")),1)*2^(-ROW(INDIRECT("1:23"))))</f>
        <v>#VALUE!</v>
      </c>
      <c r="T1025" s="3" t="e">
        <f t="shared" ca="1" si="141"/>
        <v>#VALUE!</v>
      </c>
      <c r="U1025" s="3" t="e">
        <f t="shared" ca="1" si="142"/>
        <v>#VALUE!</v>
      </c>
      <c r="V1025" s="73"/>
      <c r="W1025" s="9" t="str">
        <f t="shared" si="143"/>
        <v>OK</v>
      </c>
    </row>
    <row r="1026" spans="1:23" x14ac:dyDescent="0.3">
      <c r="A1026" s="44">
        <v>1023</v>
      </c>
      <c r="B1026" s="14">
        <v>9</v>
      </c>
      <c r="C1026" s="4">
        <v>32</v>
      </c>
      <c r="D1026" s="3" t="str">
        <f>VLOOKUP($C1026,Overall!$K$5:$T$36,2)</f>
        <v>Normal</v>
      </c>
      <c r="E1026" s="3">
        <f ca="1">VLOOKUP($C1026,Overall!$K$5:$T$36,10)</f>
        <v>-3.4028234663852886E+38</v>
      </c>
      <c r="F1026" s="9" t="str">
        <f>VLOOKUP($C1026,Overall!$K$5:$T$36,6)</f>
        <v>11111111011111111111111111111111</v>
      </c>
      <c r="G1026" s="8">
        <v>31</v>
      </c>
      <c r="H1026" s="3" t="str">
        <f>VLOOKUP($G1026,Overall!$K$5:$T$36,2)</f>
        <v>Normal</v>
      </c>
      <c r="I1026" s="3">
        <f ca="1">VLOOKUP($G1026,Overall!$K$5:$T$36,10)</f>
        <v>-3.4028232635611926E+38</v>
      </c>
      <c r="J1026" s="62" t="str">
        <f>VLOOKUP($G1026,Overall!$K$5:$T$36,6)</f>
        <v>11111111011111111111111111111110</v>
      </c>
      <c r="K1026" s="8">
        <f t="shared" ca="1" si="135"/>
        <v>1.1579206853207798E+77</v>
      </c>
      <c r="L1026" s="62">
        <f>VLOOKUP($B1026,Overall!$B$5:$I$13,8)</f>
        <v>0</v>
      </c>
      <c r="M1026" s="58"/>
      <c r="N1026" s="3" t="str">
        <f t="shared" si="136"/>
        <v/>
      </c>
      <c r="O1026" s="3" t="str">
        <f t="shared" si="137"/>
        <v/>
      </c>
      <c r="P1026" s="3" t="str">
        <f t="shared" si="138"/>
        <v/>
      </c>
      <c r="Q1026" s="3">
        <f t="shared" si="139"/>
        <v>0</v>
      </c>
      <c r="R1026" s="3">
        <f t="shared" si="140"/>
        <v>0</v>
      </c>
      <c r="S1026" s="3" t="e" cm="1">
        <f t="array" aca="1" ref="S1026" ca="1">SUMPRODUCT(MID($P1026,ROW(INDIRECT("1:23")),1)*2^(-ROW(INDIRECT("1:23"))))</f>
        <v>#VALUE!</v>
      </c>
      <c r="T1026" s="3" t="e">
        <f t="shared" ca="1" si="141"/>
        <v>#VALUE!</v>
      </c>
      <c r="U1026" s="3" t="e">
        <f t="shared" ca="1" si="142"/>
        <v>#VALUE!</v>
      </c>
      <c r="V1026" s="73"/>
      <c r="W1026" s="9" t="str">
        <f t="shared" si="143"/>
        <v>OK</v>
      </c>
    </row>
    <row r="1027" spans="1:23" ht="17.25" thickBot="1" x14ac:dyDescent="0.35">
      <c r="A1027" s="45">
        <v>1024</v>
      </c>
      <c r="B1027" s="15">
        <v>9</v>
      </c>
      <c r="C1027" s="41">
        <v>32</v>
      </c>
      <c r="D1027" s="11" t="str">
        <f>VLOOKUP($C1027,Overall!$K$5:$T$36,2)</f>
        <v>Normal</v>
      </c>
      <c r="E1027" s="11">
        <f ca="1">VLOOKUP($C1027,Overall!$K$5:$T$36,10)</f>
        <v>-3.4028234663852886E+38</v>
      </c>
      <c r="F1027" s="12" t="str">
        <f>VLOOKUP($C1027,Overall!$K$5:$T$36,6)</f>
        <v>11111111011111111111111111111111</v>
      </c>
      <c r="G1027" s="10">
        <v>32</v>
      </c>
      <c r="H1027" s="11" t="str">
        <f>VLOOKUP($G1027,Overall!$K$5:$T$36,2)</f>
        <v>Normal</v>
      </c>
      <c r="I1027" s="11">
        <f ca="1">VLOOKUP($G1027,Overall!$K$5:$T$36,10)</f>
        <v>-3.4028234663852886E+38</v>
      </c>
      <c r="J1027" s="60" t="str">
        <f>VLOOKUP($G1027,Overall!$K$5:$T$36,6)</f>
        <v>11111111011111111111111111111111</v>
      </c>
      <c r="K1027" s="10">
        <f t="shared" ca="1" si="135"/>
        <v>1.1579207543382391E+77</v>
      </c>
      <c r="L1027" s="60">
        <f>VLOOKUP($B1027,Overall!$B$5:$I$13,8)</f>
        <v>0</v>
      </c>
      <c r="M1027" s="59"/>
      <c r="N1027" s="11" t="str">
        <f t="shared" si="136"/>
        <v/>
      </c>
      <c r="O1027" s="11" t="str">
        <f t="shared" si="137"/>
        <v/>
      </c>
      <c r="P1027" s="11" t="str">
        <f t="shared" si="138"/>
        <v/>
      </c>
      <c r="Q1027" s="11">
        <f t="shared" si="139"/>
        <v>0</v>
      </c>
      <c r="R1027" s="11">
        <f t="shared" si="140"/>
        <v>0</v>
      </c>
      <c r="S1027" s="11" t="e" cm="1">
        <f t="array" aca="1" ref="S1027" ca="1">SUMPRODUCT(MID($P1027,ROW(INDIRECT("1:23")),1)*2^(-ROW(INDIRECT("1:23"))))</f>
        <v>#VALUE!</v>
      </c>
      <c r="T1027" s="11" t="e">
        <f t="shared" ca="1" si="141"/>
        <v>#VALUE!</v>
      </c>
      <c r="U1027" s="11" t="e">
        <f t="shared" ca="1" si="142"/>
        <v>#VALUE!</v>
      </c>
      <c r="V1027" s="76"/>
      <c r="W1027" s="9" t="str">
        <f t="shared" si="143"/>
        <v>OK</v>
      </c>
    </row>
  </sheetData>
  <mergeCells count="20">
    <mergeCell ref="V2:V3"/>
    <mergeCell ref="B1:B3"/>
    <mergeCell ref="W2:W3"/>
    <mergeCell ref="M1:W1"/>
    <mergeCell ref="I2:I3"/>
    <mergeCell ref="J2:J3"/>
    <mergeCell ref="K2:K3"/>
    <mergeCell ref="A1:A3"/>
    <mergeCell ref="L2:L3"/>
    <mergeCell ref="C2:C3"/>
    <mergeCell ref="D2:D3"/>
    <mergeCell ref="E2:E3"/>
    <mergeCell ref="F2:F3"/>
    <mergeCell ref="G2:G3"/>
    <mergeCell ref="H2:H3"/>
    <mergeCell ref="M2:P2"/>
    <mergeCell ref="Q2:U2"/>
    <mergeCell ref="C1:F1"/>
    <mergeCell ref="G1:J1"/>
    <mergeCell ref="K1:L1"/>
  </mergeCells>
  <conditionalFormatting sqref="W4:W1027">
    <cfRule type="cellIs" dxfId="2" priority="2" operator="equal">
      <formula>"OK"</formula>
    </cfRule>
    <cfRule type="cellIs" dxfId="1" priority="1" operator="equal">
      <formula>"NG"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</vt:lpstr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SIRAPHOP VESPAIBOON</dc:creator>
  <cp:lastModifiedBy>SIRAPHOP VESPAIBOON</cp:lastModifiedBy>
  <dcterms:created xsi:type="dcterms:W3CDTF">2026-01-15T13:50:40Z</dcterms:created>
  <dcterms:modified xsi:type="dcterms:W3CDTF">2026-01-15T17:03:18Z</dcterms:modified>
</cp:coreProperties>
</file>